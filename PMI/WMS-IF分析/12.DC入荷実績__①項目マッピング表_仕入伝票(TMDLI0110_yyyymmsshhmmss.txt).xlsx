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400030801_西友ﾄﾗｲｱﾙ基幹統合PJ MDSCM\12.DC入荷実績\"/>
    </mc:Choice>
  </mc:AlternateContent>
  <bookViews>
    <workbookView windowWidth="28800" windowHeight="12240" tabRatio="500"/>
  </bookViews>
  <sheets>
    <sheet name="仕入伝票(purchase_slip)" sheetId="1" r:id="rId1"/>
    <sheet name="判定サマリ" sheetId="2" state="hidden" r:id="rId2"/>
    <sheet name="入出力仕様(Hitluster)" sheetId="1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0" hidden="1">'仕入伝票(purchase_slip)'!$A$3:$I$38</definedName>
    <definedName name="__123Graph_A" hidden="1">[11]ﾌﾟﾚｾﾞﾝ資!$BK$256:$BV$256</definedName>
    <definedName name="__123Graph_ASEN" hidden="1">#REF!</definedName>
    <definedName name="__123Graph_Aウィンスロップ" hidden="1">[11]ﾌﾟﾚｾﾞﾝ資!$AD$215:$AG$215</definedName>
    <definedName name="__123Graph_Aオーラルケア" hidden="1">[11]ﾌﾟﾚｾﾞﾝ資!$AD$115:$AG$115</definedName>
    <definedName name="_______123Graph_Aｸﾞﾗﾌ_1" hidden="1">#REF!</definedName>
    <definedName name="____123Graph_Aｸﾞﾗﾌ_2" hidden="1">#REF!</definedName>
    <definedName name="__123Graph_Aスキンケア" hidden="1">[11]ﾌﾟﾚｾﾞﾝ資!$AD$105:$AG$105</definedName>
    <definedName name="__123Graph_Aその他" hidden="1">[11]ﾌﾟﾚｾﾞﾝ資!$AD$205:$AG$205</definedName>
    <definedName name="__123Graph_Aフットケア" hidden="1">[11]ﾌﾟﾚｾﾞﾝ資!$AD$125:$AG$125</definedName>
    <definedName name="__123Graph_A医薬品" hidden="1">[11]ﾌﾟﾚｾﾞﾝ資!$AD$95:$AG$95</definedName>
    <definedName name="__123Graph_A衛生関連" hidden="1">[11]ﾌﾟﾚｾﾞﾝ資!$AD$140:$AG$140</definedName>
    <definedName name="__123Graph_A月別カテゴリー" hidden="1">[11]ﾌﾟﾚｾﾞﾝ資!$AD$57:$AO$57</definedName>
    <definedName name="__123Graph_A月別実績" hidden="1">[11]ﾌﾟﾚｾﾞﾝ資!$BK$250:$BV$250</definedName>
    <definedName name="__123Graph_A構成比1" hidden="1">[11]ﾌﾟﾚｾﾞﾝ資!$AW$226:$AW$234</definedName>
    <definedName name="__123Graph_A構成比2" hidden="1">[11]ﾌﾟﾚｾﾞﾝ資!$BA$226:$BA$234</definedName>
    <definedName name="__123Graph_A収納箱" hidden="1">[11]ﾌﾟﾚｾﾞﾝ資!$AD$170:$AG$170</definedName>
    <definedName name="__123Graph_A住居洗剤" hidden="1">[11]ﾌﾟﾚｾﾞﾝ資!$AD$185:$AG$185</definedName>
    <definedName name="__123Graph_A除湿剤" hidden="1">[11]ﾌﾟﾚｾﾞﾝ資!$AD$195:$AL$195</definedName>
    <definedName name="__123Graph_A全品目" hidden="1">[11]ﾌﾟﾚｾﾞﾝ資!$BK$256:$BN$256</definedName>
    <definedName name="__123Graph_A売上推移" hidden="1">[11]ﾌﾟﾚｾﾞﾝ資!$O$47:$O$51</definedName>
    <definedName name="__123Graph_A芳香剤関連" hidden="1">[11]ﾌﾟﾚｾﾞﾝ資!$AD$150:$AG$150</definedName>
    <definedName name="__123Graph_A防虫剤" hidden="1">[11]ﾌﾟﾚｾﾞﾝ資!$AD$160:$AG$160</definedName>
    <definedName name="__123Graph_A累計実績" hidden="1">[11]ﾌﾟﾚｾﾞﾝ資!$M$63:$X$63</definedName>
    <definedName name="__123Graph_B" hidden="1">[11]ﾌﾟﾚｾﾞﾝ資!$BK$257:$BV$257</definedName>
    <definedName name="__123Graph_BSEN" hidden="1">#REF!</definedName>
    <definedName name="__123Graph_Bウィンスロップ" hidden="1">[11]ﾌﾟﾚｾﾞﾝ資!$AD$216:$AO$216</definedName>
    <definedName name="__123Graph_Bオーラルケア" hidden="1">[11]ﾌﾟﾚｾﾞﾝ資!$AD$116:$AO$116</definedName>
    <definedName name="__123Graph_Bスキンケア" hidden="1">[11]ﾌﾟﾚｾﾞﾝ資!$AD$106:$AO$106</definedName>
    <definedName name="__123Graph_Bその他" hidden="1">[11]ﾌﾟﾚｾﾞﾝ資!$AD$206:$AO$206</definedName>
    <definedName name="__123Graph_Bフットケア" hidden="1">[11]ﾌﾟﾚｾﾞﾝ資!$AD$126:$AO$126</definedName>
    <definedName name="__123Graph_B医薬品" hidden="1">[11]ﾌﾟﾚｾﾞﾝ資!$AD$96:$AO$96</definedName>
    <definedName name="__123Graph_B衛生関連" hidden="1">[11]ﾌﾟﾚｾﾞﾝ資!$AD$141:$AO$141</definedName>
    <definedName name="__123Graph_B月別カテゴリー" hidden="1">[11]ﾌﾟﾚｾﾞﾝ資!$AD$58:$AO$58</definedName>
    <definedName name="__123Graph_B月別実績" hidden="1">[11]ﾌﾟﾚｾﾞﾝ資!$BK$251:$BV$251</definedName>
    <definedName name="__123Graph_B構成比1" hidden="1">[11]ﾌﾟﾚｾﾞﾝ資!$AU$226:$AU$234</definedName>
    <definedName name="__123Graph_B構成比2" hidden="1">[11]ﾌﾟﾚｾﾞﾝ資!$AU$226:$AU$234</definedName>
    <definedName name="__123Graph_B収納箱" hidden="1">[11]ﾌﾟﾚｾﾞﾝ資!$AD$171:$AO$171</definedName>
    <definedName name="__123Graph_B住居洗剤" hidden="1">[11]ﾌﾟﾚｾﾞﾝ資!$AD$186:$AO$186</definedName>
    <definedName name="__123Graph_B除湿剤" hidden="1">[11]ﾌﾟﾚｾﾞﾝ資!$AD$196:$AO$196</definedName>
    <definedName name="__123Graph_B全品目" hidden="1">[11]ﾌﾟﾚｾﾞﾝ資!$BK$257:$BV$257</definedName>
    <definedName name="__123Graph_B芳香剤関連" hidden="1">[11]ﾌﾟﾚｾﾞﾝ資!$AD$151:$AO$151</definedName>
    <definedName name="__123Graph_B防虫剤" hidden="1">[11]ﾌﾟﾚｾﾞﾝ資!$AD$161:$AO$161</definedName>
    <definedName name="__123Graph_B累計実績" hidden="1">[11]ﾌﾟﾚｾﾞﾝ資!$M$64:$X$64</definedName>
    <definedName name="__123Graph_C" hidden="1">[11]ﾌﾟﾚｾﾞﾝ資!$BK$258:$BV$258</definedName>
    <definedName name="__123Graph_Cウィンスロップ" hidden="1">[11]ﾌﾟﾚｾﾞﾝ資!$AD$217:$AO$217</definedName>
    <definedName name="__123Graph_Cオーラルケア" hidden="1">[11]ﾌﾟﾚｾﾞﾝ資!$AD$117:$AO$117</definedName>
    <definedName name="____123Graph_Cｸﾞﾗﾌ_3" hidden="1">#REF!</definedName>
    <definedName name="__123Graph_Cスキンケア" hidden="1">[11]ﾌﾟﾚｾﾞﾝ資!$AD$107:$AO$107</definedName>
    <definedName name="__123Graph_Cその他" hidden="1">[11]ﾌﾟﾚｾﾞﾝ資!$AD$207:$AO$207</definedName>
    <definedName name="__123Graph_Cフットケア" hidden="1">[11]ﾌﾟﾚｾﾞﾝ資!$AD$127:$AO$127</definedName>
    <definedName name="__123Graph_C医薬品" hidden="1">[11]ﾌﾟﾚｾﾞﾝ資!$AD$97:$AO$97</definedName>
    <definedName name="__123Graph_C衛生関連" hidden="1">[11]ﾌﾟﾚｾﾞﾝ資!$AD$142:$AO$142</definedName>
    <definedName name="__123Graph_C月別カテゴリー" hidden="1">[11]ﾌﾟﾚｾﾞﾝ資!$AD$59:$AO$59</definedName>
    <definedName name="__123Graph_C月別実績" hidden="1">[11]ﾌﾟﾚｾﾞﾝ資!$BK$252:$BV$252</definedName>
    <definedName name="__123Graph_C収納箱" hidden="1">[11]ﾌﾟﾚｾﾞﾝ資!$AD$172:$AO$172</definedName>
    <definedName name="__123Graph_C住居洗剤" hidden="1">[11]ﾌﾟﾚｾﾞﾝ資!$AD$187:$AO$187</definedName>
    <definedName name="__123Graph_C除湿剤" hidden="1">[11]ﾌﾟﾚｾﾞﾝ資!$AD$197:$AO$197</definedName>
    <definedName name="__123Graph_C全品目" hidden="1">[11]ﾌﾟﾚｾﾞﾝ資!$BK$258:$BV$258</definedName>
    <definedName name="__123Graph_C芳香剤関連" hidden="1">[11]ﾌﾟﾚｾﾞﾝ資!$AD$152:$AO$152</definedName>
    <definedName name="__123Graph_C防虫剤" hidden="1">[11]ﾌﾟﾚｾﾞﾝ資!$AD$162:$AO$162</definedName>
    <definedName name="__123Graph_C累計実績" hidden="1">[11]ﾌﾟﾚｾﾞﾝ資!$M$65:$X$65</definedName>
    <definedName name="__123Graph_D月別カテゴリー" hidden="1">[11]ﾌﾟﾚｾﾞﾝ資!$AD$60:$AO$60</definedName>
    <definedName name="__123Graph_E月別カテゴリー" hidden="1">[11]ﾌﾟﾚｾﾞﾝ資!$AD$61:$AO$61</definedName>
    <definedName name="__123Graph_F月別カテゴリー" hidden="1">[11]ﾌﾟﾚｾﾞﾝ資!$AD$69:$AO$69</definedName>
    <definedName name="____123Graph_LBL_Aｸﾞﾗﾌ_1" hidden="1">#REF!</definedName>
    <definedName name="__123Graph_LBL_A売上推移" hidden="1">[11]ﾌﾟﾚｾﾞﾝ資!$P$47:$P$51</definedName>
    <definedName name="__123Graph_X" hidden="1">[11]ﾌﾟﾚｾﾞﾝ資!$BK$249:$BV$249</definedName>
    <definedName name="__123Graph_XSEN" hidden="1">#REF!</definedName>
    <definedName name="__123Graph_Xウィンスロップ" hidden="1">[11]ﾌﾟﾚｾﾞﾝ資!$AD$89:$AO$89</definedName>
    <definedName name="__123Graph_Xオーラルケア" hidden="1">[11]ﾌﾟﾚｾﾞﾝ資!$AD$89:$AO$89</definedName>
    <definedName name="____123Graph_Xｸﾞﾗﾌ_2" hidden="1">#REF!</definedName>
    <definedName name="____123Graph_Xｸﾞﾗﾌ_3" hidden="1">#REF!</definedName>
    <definedName name="__123Graph_Xスキンケア" hidden="1">[11]ﾌﾟﾚｾﾞﾝ資!$AD$89:$AO$89</definedName>
    <definedName name="__123Graph_Xその他" hidden="1">[11]ﾌﾟﾚｾﾞﾝ資!$AD$89:$AO$89</definedName>
    <definedName name="__123Graph_Xフットケア" hidden="1">[11]ﾌﾟﾚｾﾞﾝ資!$AD$89:$AO$89</definedName>
    <definedName name="__123Graph_X医薬品" hidden="1">[11]ﾌﾟﾚｾﾞﾝ資!$AD$89:$AO$89</definedName>
    <definedName name="__123Graph_X衛生関連" hidden="1">[11]ﾌﾟﾚｾﾞﾝ資!$AD$89:$AO$89</definedName>
    <definedName name="__123Graph_X月別カテゴリー" hidden="1">[11]ﾌﾟﾚｾﾞﾝ資!$AD$55:$AO$55</definedName>
    <definedName name="__123Graph_X月別実績" hidden="1">[11]ﾌﾟﾚｾﾞﾝ資!$M$56:$X$56</definedName>
    <definedName name="__123Graph_X構成比1" hidden="1">[11]ﾌﾟﾚｾﾞﾝ資!$AV$226:$AV$234</definedName>
    <definedName name="__123Graph_X構成比2" hidden="1">[11]ﾌﾟﾚｾﾞﾝ資!$AV$226:$AV$234</definedName>
    <definedName name="__123Graph_X収納箱" hidden="1">[11]ﾌﾟﾚｾﾞﾝ資!$AD$89:$AO$89</definedName>
    <definedName name="__123Graph_X住居洗剤" hidden="1">[11]ﾌﾟﾚｾﾞﾝ資!$AD$89:$AO$89</definedName>
    <definedName name="__123Graph_X除湿剤" hidden="1">[11]ﾌﾟﾚｾﾞﾝ資!$AD$89:$AO$89</definedName>
    <definedName name="__123Graph_X全品目" hidden="1">[11]ﾌﾟﾚｾﾞﾝ資!$BK$249:$BV$249</definedName>
    <definedName name="__123Graph_X売上推移" hidden="1">[11]ﾌﾟﾚｾﾞﾝ資!$M$47:$M$51</definedName>
    <definedName name="__123Graph_X芳香剤関連" hidden="1">[11]ﾌﾟﾚｾﾞﾝ資!$AD$89:$AO$89</definedName>
    <definedName name="__123Graph_X防虫剤" hidden="1">[11]ﾌﾟﾚｾﾞﾝ資!$AD$89:$AO$89</definedName>
    <definedName name="__123Graph_X累計実績" hidden="1">[11]ﾌﾟﾚｾﾞﾝ資!$M$56:$X$56</definedName>
    <definedName name="_1">#N/A</definedName>
    <definedName name="_111">#REF!</definedName>
    <definedName name="_2">#REF!</definedName>
    <definedName name="_222">#REF!</definedName>
    <definedName name="_4901070301881">#REF!</definedName>
    <definedName name="_9店ABC自社路線表">#REF!</definedName>
    <definedName name="_c">[3]配荷目標!$AH$4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1_Out" hidden="1">#REF!</definedName>
    <definedName name="_Table2_Out" hidden="1">#REF!</definedName>
    <definedName name="\a">[11]ﾌﾟﾚｾﾞﾝ資!$E$5</definedName>
    <definedName name="\b">[11]ﾌﾟﾚｾﾞﾝ資!$E$8</definedName>
    <definedName name="\c">[11]ﾌﾟﾚｾﾞﾝ資!$E$11:$E$13</definedName>
    <definedName name="\d">[11]ﾌﾟﾚｾﾞﾝ資!$E$16</definedName>
    <definedName name="\e">[11]ﾌﾟﾚｾﾞﾝ資!$E$19</definedName>
    <definedName name="\f">[11]ﾌﾟﾚｾﾞﾝ資!$E$21</definedName>
    <definedName name="\p">#REF!</definedName>
    <definedName name="⑧">[48]⑤優先順位表!#REF!</definedName>
    <definedName name="ａ">[3]配荷目標!$AV$1</definedName>
    <definedName name="_a1" hidden="1">#REF!</definedName>
    <definedName name="a1D114">#REF!</definedName>
    <definedName name="aa">[3]配荷目標!$A$1</definedName>
    <definedName name="aaa">#REF!</definedName>
    <definedName name="aaaa">[47]⑤優先順位表!#REF!</definedName>
    <definedName name="aaaaa">#REF!</definedName>
    <definedName name="aaaaaaaasssdsdfcc">#REF!</definedName>
    <definedName name="ac">[39]万代比数!#REF!</definedName>
    <definedName name="AccessDatabase" hidden="1">"C:\My Documents\プラネット\KHPマスタ1.mdb"</definedName>
    <definedName name="ARARI">#REF!</definedName>
    <definedName name="aw">#REF!</definedName>
    <definedName name="B">#REF!</definedName>
    <definedName name="ＢＢ">[37]Sheet1!$E$107</definedName>
    <definedName name="_bbb123" hidden="1">{"'M&amp;I案内状'!$J$47"}</definedName>
    <definedName name="ｂｇｂ">#REF!</definedName>
    <definedName name="ｂｎ">#REF!</definedName>
    <definedName name="COLNUM">#REF!</definedName>
    <definedName name="COLSZ">#REF!</definedName>
    <definedName name="DATA">#REF!</definedName>
    <definedName name="Data1" hidden="1">[8]H7昇格者!#REF!</definedName>
    <definedName name="Data10" hidden="1">#REF!</definedName>
    <definedName name="Data2" hidden="1">[8]H7昇格者!#REF!</definedName>
    <definedName name="Data3" hidden="1">[8]H7昇格者!#REF!</definedName>
    <definedName name="Data4" hidden="1">#REF!</definedName>
    <definedName name="Data5" hidden="1">#REF!</definedName>
    <definedName name="Data6" hidden="1">#REF!</definedName>
    <definedName name="Data7" hidden="1">#REF!</definedName>
    <definedName name="Data8" hidden="1">#REF!</definedName>
    <definedName name="Data9" hidden="1">#REF!</definedName>
    <definedName name="Database" hidden="1">[30]商品台帳!$A$2:$E$221</definedName>
    <definedName name="db">[41]SPLDAT!$A$1:$H$1000</definedName>
    <definedName name="DD">[39]万代比数!#REF!</definedName>
    <definedName name="ｄｄｄ">#REF!</definedName>
    <definedName name="dgfhndhndhnhgnhf">[53]イレブン!#REF!</definedName>
    <definedName name="ｄｒｆｄｊｇｆｔｆｒｄｒどぇｒちゅいうおいｋじゅｈ" hidden="1">'[54]8以上社員'!#REF!</definedName>
    <definedName name="dtdrfddgtyret">#REF!</definedName>
    <definedName name="dzghjhgdfggdh">[50]コクミン!$C$2:$R$103</definedName>
    <definedName name="eretrytryg">#REF!</definedName>
    <definedName name="estrdyfuygio">#REF!</definedName>
    <definedName name="_xlnm.Extract">[47]⑤優先順位表!#REF!</definedName>
    <definedName name="Extract2">#REF!</definedName>
    <definedName name="Extract3">[47]⑤優先順位表!#REF!</definedName>
    <definedName name="Extract4">#REF!</definedName>
    <definedName name="extractie">#REF!</definedName>
    <definedName name="fcghyu">#REF!</definedName>
    <definedName name="fff">#REF!</definedName>
    <definedName name="fgjhgdhfdhjmghgdfhgg">#REF!</definedName>
    <definedName name="fgnfgmngfmfgjdfmgfg">[53]イレブン!#REF!</definedName>
    <definedName name="FILEHOZON">[57]!FILEHOZON</definedName>
    <definedName name="ｇ">[27]ﾃﾚｺTｼｬﾂ!$AD$343</definedName>
    <definedName name="ｇｆｄｇｄｒｓｇ" hidden="1">#REF!</definedName>
    <definedName name="gghvhysdfkuhgiyuiew">#REF!</definedName>
    <definedName name="goukei">[27]ﾃﾚｺTｼｬﾂ!#REF!</definedName>
    <definedName name="gyhfytfrdrd">#REF!</definedName>
    <definedName name="ｈ" hidden="1">#REF!</definedName>
    <definedName name="ＨＡ台帳">#REF!</definedName>
    <definedName name="ｈｄｓｒ">#REF!</definedName>
    <definedName name="hduyhaghyahgfuysa">[53]イレブン!#REF!</definedName>
    <definedName name="hfusiygiushyusiuhiys">[53]イレブン!#REF!</definedName>
    <definedName name="hgfhygfuysghfsgsgyshgi">#REF!</definedName>
    <definedName name="ｈｇｈｋｓｈｖｂｈｂｋ" hidden="1">'[54]8以上社員'!#REF!</definedName>
    <definedName name="hhkiuhyigtdstgo">#REF!</definedName>
    <definedName name="hiuyouoiuhuytrasdfguhkhj">#REF!</definedName>
    <definedName name="hjhkgfgfdfd">#REF!</definedName>
    <definedName name="HTML_CodePage" hidden="1">932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huhdiygighuukouiruhg">[53]イレブン!#REF!</definedName>
    <definedName name="huhgufrtgtredfgtedrkjftyj">#REF!</definedName>
    <definedName name="huisyhushusdyiugdsf" hidden="1">'[54]8以上社員'!#REF!</definedName>
    <definedName name="hushvistguskshyisu">#REF!</definedName>
    <definedName name="hyuisyhfiuystfiyusw" hidden="1">[55]H7昇格者!#REF!</definedName>
    <definedName name="i">[46]コクミン!$C$2:$R$103</definedName>
    <definedName name="ijiodjugiuygireghyuryhr">#REF!</definedName>
    <definedName name="ｊｈｇｂｆｄ">#REF!</definedName>
    <definedName name="jhgiuhieuyhgiuyegiwuyhgo">[52]ｶﾃｺﾞﾘｰ!$CY$12:$DE$40</definedName>
    <definedName name="jjrjrhrdjhrsjhj">#REF!</definedName>
    <definedName name="jushikuhysugyurhgkudh">#REF!</definedName>
    <definedName name="ｊふだｈｄ">#REF!</definedName>
    <definedName name="klo">#REF!</definedName>
    <definedName name="KNKIN">[41]SPLDAT!$H$1</definedName>
    <definedName name="KON">[42]SPLDAT!$F$1</definedName>
    <definedName name="kosikfsjgiushyguisyhgvdui">#REF!</definedName>
    <definedName name="kuhuhyiuttdr">#REF!</definedName>
    <definedName name="M">[37]Sheet1!$A$130:$A$135</definedName>
    <definedName name="master">[2]コクミン!$C$2:$R$103</definedName>
    <definedName name="mgmfgnjgdfjnfgjnfg">#REF!</definedName>
    <definedName name="ｍｍｍ">#REF!</definedName>
    <definedName name="monthly">[29]商品M!$A:$A</definedName>
    <definedName name="MS">#REF!</definedName>
    <definedName name="N">[37]Sheet1!$A$114:$A$124</definedName>
    <definedName name="_Ｎ１">[43]Sheet1!$A$114:$A$124</definedName>
    <definedName name="_na001">[41]登録!$R$155:$R$156</definedName>
    <definedName name="_na002">[41]登録!$R$158:$R$159</definedName>
    <definedName name="_na003">[41]登録!$R$161:$R$162</definedName>
    <definedName name="_na028">[41]登録!$R$236:$R$237</definedName>
    <definedName name="_na029">[41]登録!$R$239:$R$240</definedName>
    <definedName name="_na030">[41]登録!$R$242:$R$243</definedName>
    <definedName name="_na031">[41]登録!$R$245:$R$246</definedName>
    <definedName name="_na070">[41]登録!$R$362:$R$363</definedName>
    <definedName name="_nb001">[42]登録!$U$155:$V$156</definedName>
    <definedName name="_nb002">[42]登録!$U$159:$V$160</definedName>
    <definedName name="_nb003">[42]登録!$U$163:$V$164</definedName>
    <definedName name="_nc001">[42]登録!$X$155:$AA$158</definedName>
    <definedName name="_nc002">[42]登録!$X$159:$Y$162</definedName>
    <definedName name="_nc003">[42]登録!$X$163:$Y$166</definedName>
    <definedName name="_nd001">[42]登録!$AB$155:$AC$156</definedName>
    <definedName name="_nd002">[42]登録!$AB$159:$AC$160</definedName>
    <definedName name="_nd003">[42]登録!$AB$163:$AC$164</definedName>
    <definedName name="nfhgthdfghfdhdfhdfh">[53]イレブン!#REF!</definedName>
    <definedName name="ＮＯ">'[32]商品ﾏｽﾀｰ(7月8日)'!$A:$A</definedName>
    <definedName name="No.">#REF!</definedName>
    <definedName name="oiiushyygyustshygyufsgfs">[56]限定特価商品案内!$C$2:$R$103</definedName>
    <definedName name="oiuuygrsgtehkjuhyugfedrr">[52]ｶﾃｺﾞﾘｰ!$A$5:$U$39</definedName>
    <definedName name="PKNUM">#REF!</definedName>
    <definedName name="PKSZ">#REF!</definedName>
    <definedName name="_pop1">#REF!</definedName>
    <definedName name="Print">#REF!</definedName>
    <definedName name="PRINT_AR01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S">[37]全国ﾊﾞﾗＨ１１!$B$1:$B$196</definedName>
    <definedName name="_ＰＳ１">[37]ﾊﾞﾗ全国Ｈ１０!$B$2:$B$136</definedName>
    <definedName name="_ps2">[43]ﾊﾞﾗ全国Ｈ１０!$B$2:$B$136</definedName>
    <definedName name="ＰＳＳ">[43]全国ﾊﾞﾗＨ１１!$B$1:$B$196</definedName>
    <definedName name="ＰＳＳＳ">[43]ﾊﾞﾗ全国Ｈ１０!$B$2:$B$136</definedName>
    <definedName name="ｑ">[18]イレブン!#REF!</definedName>
    <definedName name="Q_PR汎用年度別販売">#REF!</definedName>
    <definedName name="Record1">#REF!</definedName>
    <definedName name="Record11">[31]!Record11</definedName>
    <definedName name="Record12">[31]!Record12</definedName>
    <definedName name="Record2">#REF!</definedName>
    <definedName name="Recorder" hidden="1">#REF!</definedName>
    <definedName name="rrsatfcutaruagjsygiysu">[53]イレブン!#REF!</definedName>
    <definedName name="ｓ">#REF!</definedName>
    <definedName name="sdcdsvsdvsdvsvs">[56]限定特価商品案内!$C$2:$R$103</definedName>
    <definedName name="se">[43]全国ﾊﾞﾗＨ１１!$B$1:$B$196</definedName>
    <definedName name="_SE4">[16]spot金額!#REF!,[16]spot金額!#REF!</definedName>
    <definedName name="sentaku">"ドロップ 4"</definedName>
    <definedName name="sil">#REF!</definedName>
    <definedName name="sinnseihinn">#REF!</definedName>
    <definedName name="ｓｒｄｔｆｇ">#REF!</definedName>
    <definedName name="ＳＳ">[18]イレブン!#REF!</definedName>
    <definedName name="swerdufuuyguytiuyouyiutytreftu">#REF!</definedName>
    <definedName name="syuryoku">#REF!</definedName>
    <definedName name="t">#REF!</definedName>
    <definedName name="tenmok">'[28]718店別目標'!$AA$97:$AB$585</definedName>
    <definedName name="ＴＭＣＤ">[36]コード表!$A$1:$C$212</definedName>
    <definedName name="ＴＭＣＤ１">[44]コード表!$A$1:$C$212</definedName>
    <definedName name="to">[26]大型店版!$AM$44</definedName>
    <definedName name="ＴＳＣＤ">[38]コード表・選択ＤＡＴＡ!$A$3:$E$103</definedName>
    <definedName name="TSCSTOCODE">[17]小林芳香剤送品PLAN①!#REF!</definedName>
    <definedName name="tt">#REF!</definedName>
    <definedName name="ｔふゃｆｇｔだふ">[51]配荷目標!$A$1</definedName>
    <definedName name="uhiuygtytfty">#REF!</definedName>
    <definedName name="ＵＸ_記号S__v.s._YS_記号Y">#REF!</definedName>
    <definedName name="ｖｃｘｚｇｓｈぐやぐあｇ" hidden="1">'[54]8以上社員'!#REF!</definedName>
    <definedName name="vghsj">#REF!</definedName>
    <definedName name="ｖｓｇｄｆｇｈｓｇ" hidden="1">#REF!</definedName>
    <definedName name="wertyudfghjvghjk">#REF!</definedName>
    <definedName name="wertyufghoiuy" hidden="1">[55]H7昇格者!#REF!</definedName>
    <definedName name="ｗｗｗ">#REF!</definedName>
    <definedName name="ｙ">#REF!</definedName>
    <definedName name="ＹＳ使用経験">#REF!</definedName>
    <definedName name="ZEN">[42]SPLDAT!$E$1</definedName>
    <definedName name="ZNKIN">[41]SPLDAT!$G$1</definedName>
    <definedName name="あああ">[59]下周里程碑计划!#REF!</definedName>
    <definedName name="い">#REF!</definedName>
    <definedName name="ｲｼﾊﾗ">[6]イレブン!#REF!</definedName>
    <definedName name="イシハラ前年">[6]イレブン!#REF!</definedName>
    <definedName name="ｲﾄｳﾔｽ">#REF!</definedName>
    <definedName name="うｆｒふｈｆｒつｈｒふるるｒｙうぇｒ" hidden="1">'[54]8以上社員'!#REF!</definedName>
    <definedName name="うｙｔれ" hidden="1">'[54]8以上社員'!#REF!</definedName>
    <definedName name="うぇえｒ">#REF!</definedName>
    <definedName name="おぃくｊｙｈｔｒｇｄふぇｓｄｆｇｈ">[51]配荷目標!$AH$4</definedName>
    <definedName name="ｷｬﾝﾍﾟｰﾝ">[13]限定特価商品案内!$C$2:$R$103</definedName>
    <definedName name="くぇｒちゅいおｋｊｈｇｆｆｇ" hidden="1">'[54]8以上社員'!#REF!</definedName>
    <definedName name="こくみｎ" hidden="1">0</definedName>
    <definedName name="コクミン">#REF!</definedName>
    <definedName name="ｻﾝﾊﾟﾙ">[6]イレブン!#REF!</definedName>
    <definedName name="サンパル前年">[6]イレブン!#REF!</definedName>
    <definedName name="システム">[1]表紙!#REF!</definedName>
    <definedName name="システム名">#REF!</definedName>
    <definedName name="システム名２">#REF!</definedName>
    <definedName name="ジョヴィ新システム">#REF!</definedName>
    <definedName name="シンプロ商品">#REF!</definedName>
    <definedName name="ストア">#REF!</definedName>
    <definedName name="せｄｆｇ">#REF!</definedName>
    <definedName name="その他">#REF!</definedName>
    <definedName name="タイトル">#REF!</definedName>
    <definedName name="タイトル２">#REF!</definedName>
    <definedName name="タイプ前回">#REF!</definedName>
    <definedName name="チラシパターン">[21]DATA!$Y$2:$Y$100</definedName>
    <definedName name="つぁｆづ" hidden="1">#REF!</definedName>
    <definedName name="ティーンズ">[25]大型店版!$AW$45:$AX$359</definedName>
    <definedName name="データ">#REF!</definedName>
    <definedName name="なし">#REF!</definedName>
    <definedName name="ﾊﾞｽ新">[49]⑤優先順位表!#REF!</definedName>
    <definedName name="パタン">#REF!</definedName>
    <definedName name="パタン1">#REF!</definedName>
    <definedName name="ﾊﾟﾙ">[5]ｶﾃｺﾞﾘｰ!$CY$12:$DE$40</definedName>
    <definedName name="パルタックコクミン">#REF!</definedName>
    <definedName name="ﾊﾟﾙﾀｯｸ前年">[5]ｶﾃｺﾞﾘｰ!$A$5:$U$39</definedName>
    <definedName name="フィット性">#REF!</definedName>
    <definedName name="マスター">[22]マスター!$A$2:$F$84</definedName>
    <definedName name="ﾏｽﾀｰA">#N/A</definedName>
    <definedName name="ﾒｰｶｰｷｬﾝﾍﾟｰﾝ">[13]限定特価商品案内!$C$2:$R$103</definedName>
    <definedName name="メーカー品目">[14]チラシ実績!$G$11:$G$110,[14]チラシ実績!$L$11:$L$110,[14]チラシ実績!$Q$11:$Q$110,[14]チラシ実績!$V$11:$V$110,[14]チラシ実績!$AA$11:$AA$110,[14]チラシ実績!$AF$11:$AF$110</definedName>
    <definedName name="メーカ別１">#REF!</definedName>
    <definedName name="モレ有無">#REF!</definedName>
    <definedName name="ﾛｰﾄ企画品1">#REF!</definedName>
    <definedName name="んｎ">#REF!</definedName>
    <definedName name="芦田">[6]イレブン!#REF!</definedName>
    <definedName name="芦田前年">[6]イレブン!#REF!</definedName>
    <definedName name="意識・行動">#REF!</definedName>
    <definedName name="医金額">#REF!</definedName>
    <definedName name="医売上">#REF!</definedName>
    <definedName name="井田">[6]イレブン!#REF!</definedName>
    <definedName name="井田前年">[6]イレブン!#REF!</definedName>
    <definedName name="印刷">[57]!印刷</definedName>
    <definedName name="羽前回">#REF!</definedName>
    <definedName name="営業部別配荷">[4]!営業部別配荷</definedName>
    <definedName name="下周工作计划合计">[58]下周里程碑计划!#REF!</definedName>
    <definedName name="価格">#REF!</definedName>
    <definedName name="価格意識">#REF!</definedName>
    <definedName name="価格帯">#REF!</definedName>
    <definedName name="加納">[5]ｶﾃｺﾞﾘｰ!$BA$12:$BG$33</definedName>
    <definedName name="加納前年">[5]ｶﾃｺﾞﾘｰ!$A$12:$T$33</definedName>
    <definedName name="課マスター">[22]マスター!$L$2:$M$19</definedName>
    <definedName name="会議">#REF!</definedName>
    <definedName name="会社名">#REF!</definedName>
    <definedName name="会社名２">#REF!</definedName>
    <definedName name="改版日">#REF!</definedName>
    <definedName name="各営業部">[4]!各営業部</definedName>
    <definedName name="丸井">[6]イレブン!#REF!</definedName>
    <definedName name="丸井前年">[6]イレブン!#REF!</definedName>
    <definedName name="企画番号">[23]Sheet1!$A$4:$A$300</definedName>
    <definedName name="基本情况概况">#REF!</definedName>
    <definedName name="基本情况客户支持">#REF!</definedName>
    <definedName name="基本情况事业部支持">#REF!</definedName>
    <definedName name="基本情况资源">#REF!</definedName>
    <definedName name="基本情况问题">#REF!</definedName>
    <definedName name="基本情况风险">#REF!</definedName>
    <definedName name="久光">[9]配荷目標!$AH$4</definedName>
    <definedName name="吸収性">#REF!</definedName>
    <definedName name="業態別配荷">[4]!業態別配荷</definedName>
    <definedName name="金額01案">[15]月別金額!#REF!,[15]月別金額!#REF!,[15]月別金額!#REF!,[15]月別金額!#REF!,[15]月別金額!#REF!,[15]月別金額!$D:$D,[15]月別金額!#REF!,[15]月別金額!#REF!,[15]月別金額!#REF!,[15]月別金額!#REF!,[15]月別金額!#REF!</definedName>
    <definedName name="金鳥ｲﾝｽﾄｱ">[13]限定特価商品案内!$AV$1</definedName>
    <definedName name="金鳥ﾀｲｱｯﾌﾟ">[13]限定特価商品案内!$AH$4</definedName>
    <definedName name="経血量">#REF!</definedName>
    <definedName name="経理用始め">#REF!</definedName>
    <definedName name="経理用書式始め">#REF!</definedName>
    <definedName name="月販データ出来上がり">'[19]10.20-11.12'!$A$2:$J$248</definedName>
    <definedName name="月別クレジット集計テーブル">#REF!</definedName>
    <definedName name="個数">'[12]３ヶ月計画書(10-12)'!$C$15:$C$29,'[12]３ヶ月計画書(10-12)'!$E$15:$E$29,'[12]３ヶ月計画書(10-12)'!$G$15:$G$29,'[12]３ヶ月計画書(10-12)'!$I$15:$I$29,'[12]３ヶ月計画書(10-12)'!$K$15:$K$29,'[12]３ヶ月計画書(10-12)'!$M$15:$M$29,'[12]３ヶ月計画書(10-12)'!$K$32:$K$40,'[12]３ヶ月計画書(10-12)'!$G$32:$G$40,'[12]３ヶ月計画書(10-12)'!$C$39,'[12]３ヶ月計画書(10-12)'!$C$32:$C$40</definedName>
    <definedName name="厚さ前回">#REF!</definedName>
    <definedName name="購入意向１">#REF!</definedName>
    <definedName name="購入意向２">#REF!</definedName>
    <definedName name="購入店名">#REF!</definedName>
    <definedName name="購入理由１">#REF!</definedName>
    <definedName name="購入理由10">#REF!</definedName>
    <definedName name="購入理由１１">#REF!</definedName>
    <definedName name="購入理由２">#REF!</definedName>
    <definedName name="購入理由３">#REF!</definedName>
    <definedName name="購入理由４">#REF!</definedName>
    <definedName name="購入理由５">#REF!</definedName>
    <definedName name="購入理由６">#REF!</definedName>
    <definedName name="購入理由７">#REF!</definedName>
    <definedName name="購入理由８">#REF!</definedName>
    <definedName name="購入理由９">#REF!</definedName>
    <definedName name="項目名">#REF!</definedName>
    <definedName name="殺支払">#REF!</definedName>
    <definedName name="殺虫剤マスタ">#REF!</definedName>
    <definedName name="殺売">#REF!</definedName>
    <definedName name="山積">#REF!</definedName>
    <definedName name="山積応援">#REF!</definedName>
    <definedName name="使用意向">#REF!</definedName>
    <definedName name="使用場面１">#REF!</definedName>
    <definedName name="使用場面２">#REF!</definedName>
    <definedName name="使用場面３">#REF!</definedName>
    <definedName name="使用場面４">#REF!</definedName>
    <definedName name="使用枚数">#REF!</definedName>
    <definedName name="使用枚数2枚毎">#REF!</definedName>
    <definedName name="指値出力">#REF!</definedName>
    <definedName name="次回購入意向">#REF!</definedName>
    <definedName name="次回購入意向理由">#REF!</definedName>
    <definedName name="自動改表示">[10]!自動改表示</definedName>
    <definedName name="自由意見">#REF!</definedName>
    <definedName name="実績">#REF!</definedName>
    <definedName name="取込フォーム設定">[3]配荷目標!$AK$2</definedName>
    <definedName name="終了">[4]!終了</definedName>
    <definedName name="集計GRP">#REF!</definedName>
    <definedName name="純既存Ｆ">[22]DATA!$X$2:$X$100</definedName>
    <definedName name="巡回②">#REF!</definedName>
    <definedName name="巡回割当">#REF!</definedName>
    <definedName name="商品CD">#REF!</definedName>
    <definedName name="商品CDﾘｽﾄ">[29]商品M!$A:$A</definedName>
    <definedName name="商品ＣＬ">#N/A</definedName>
    <definedName name="商品M">'[32]商品ﾏｽﾀｰ(7月8日)'!$A$1:$T$92</definedName>
    <definedName name="商品ﾏｽﾀ">[29]商品M!$A$1:$H$1000</definedName>
    <definedName name="商品マスター">'[33]商品ﾏｽﾀｰ(7月2日)'!$A$1:$H$420</definedName>
    <definedName name="消費者ｷｬﾝﾍﾟｰﾝ">[2]コクミン!$C$2:$R$103</definedName>
    <definedName name="職業">#REF!</definedName>
    <definedName name="新MST">#REF!</definedName>
    <definedName name="新商品">#REF!</definedName>
    <definedName name="新数表">[45]!営業部別配荷</definedName>
    <definedName name="推販申請">'[34]商品ﾏｽﾀｰ(1月25日)'!$A$1:$O$396</definedName>
    <definedName name="推販申請2001秋">'[35]商品ﾏｽﾀｰ(1月25日)'!$A:$A</definedName>
    <definedName name="千円">'[12]３ヶ月計画書(10-12)'!$C$30,'[12]３ヶ月計画書(10-12)'!$E$30,'[12]３ヶ月計画書(10-12)'!$G$30,'[12]３ヶ月計画書(10-12)'!$I$30,'[12]３ヶ月計画書(10-12)'!$K$30,'[12]３ヶ月計画書(10-12)'!$M$30,'[12]３ヶ月計画書(10-12)'!$K$41,'[12]３ヶ月計画書(10-12)'!$G$41,'[12]３ヶ月計画書(10-12)'!$C$41</definedName>
    <definedName name="全体評価">#REF!</definedName>
    <definedName name="全体評価OA">#REF!</definedName>
    <definedName name="相関用">#REF!,#REF!,#REF!</definedName>
    <definedName name="多夜意向OA">#REF!</definedName>
    <definedName name="多夜使用意向">#REF!</definedName>
    <definedName name="大成">[5]ｶﾃｺﾞﾘｰ!$BA$12:$BG$33</definedName>
    <definedName name="単品リスト１">#REF!</definedName>
    <definedName name="段01案">[15]月別金額!#REF!,[15]月別金額!#REF!,[15]月別金額!$C:$C,[15]月別金額!#REF!,[15]月別金額!#REF!,[15]月別金額!#REF!,[15]月別金額!#REF!,[15]月別金額!#REF!,[15]月別金額!#REF!,[15]月別金額!#REF!,[15]月別金額!#REF!</definedName>
    <definedName name="調整Ｆ">[21]DATA!$W$2:$W$100</definedName>
    <definedName name="調整後ストア">[22]DATA!$AA$2:$AA$100</definedName>
    <definedName name="調整後チラシ">[21]DATA!$AN$2:$AN$100</definedName>
    <definedName name="調整後差替">[21]DATA!$AO$2:$AO$100</definedName>
    <definedName name="長さ">#REF!</definedName>
    <definedName name="直前使用品１">#REF!</definedName>
    <definedName name="直前使用品２">#REF!</definedName>
    <definedName name="直前使用品３">#REF!</definedName>
    <definedName name="直前使用品４">#REF!</definedName>
    <definedName name="直前使用品５">#REF!</definedName>
    <definedName name="直前使用品６">#REF!</definedName>
    <definedName name="直前使用品７">#REF!</definedName>
    <definedName name="直前使用品８">#REF!</definedName>
    <definedName name="直前使用品その他">#REF!</definedName>
    <definedName name="直前使用品分類">#REF!</definedName>
    <definedName name="店">[24]大型店版!$V$4</definedName>
    <definedName name="登録番号">#REF!</definedName>
    <definedName name="日華京都">[7]ｶﾃｺﾞﾘｰ!#REF!</definedName>
    <definedName name="日華神戸">#REF!</definedName>
    <definedName name="日華神戸前年">#REF!</definedName>
    <definedName name="日華前年">[7]ｶﾃｺﾞﾘｰ!#REF!</definedName>
    <definedName name="日別昨年">[22]クロス昨年!$A$2:$G$84</definedName>
    <definedName name="日別当年">[22]クロス売上!$A$2:$G$84</definedName>
    <definedName name="入力">#REF!</definedName>
    <definedName name="入力用">[22]入力用!$C$2:$H$100</definedName>
    <definedName name="年月度実績数">[40]旭商会!#REF!</definedName>
    <definedName name="年代１０">#REF!</definedName>
    <definedName name="年代５">#REF!</definedName>
    <definedName name="年齢">#REF!</definedName>
    <definedName name="売価差替">[21]DATA!$Z$2:$Z$100</definedName>
    <definedName name="判断">#REF!</definedName>
    <definedName name="版">#REF!</definedName>
    <definedName name="表紙２">#REF!,#REF!,#REF!</definedName>
    <definedName name="品数前回">#REF!</definedName>
    <definedName name="不明">'[20]10.20-11.12'!$A$2:$J$248</definedName>
    <definedName name="報告書始め">#REF!</definedName>
    <definedName name="報告書書式始め">#REF!</definedName>
    <definedName name="未既婚">#REF!</definedName>
    <definedName name="名簿">#REF!</definedName>
    <definedName name="木村">[6]イレブン!#REF!</definedName>
    <definedName name="木村前年">[6]イレブン!#REF!</definedName>
    <definedName name="目標" hidden="1">#REF!</definedName>
    <definedName name="夜のモレ回数">#REF!</definedName>
    <definedName name="夜のモレ頻度">#REF!</definedName>
    <definedName name="夜羽根使用場面">#REF!</definedName>
    <definedName name="夜厚羽">#REF!</definedName>
    <definedName name="夜用">#REF!</definedName>
    <definedName name="夜用として安心感">#REF!</definedName>
    <definedName name="夜用商品名">#REF!</definedName>
    <definedName name="役職ｺｰﾄﾞ">#REF!</definedName>
    <definedName name="理由その他">#REF!</definedName>
    <definedName name="稟議書B5最後">#REF!</definedName>
    <definedName name="稟議書B5始め">#REF!</definedName>
    <definedName name="报告日期">#REF!</definedName>
    <definedName name="资源总数">#REF!</definedName>
    <definedName name="项目名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<sst xmlns="http://schemas.openxmlformats.org/spreadsheetml/2006/main" count="405" uniqueCount="214">
  <si>
    <t>項目マッピング表 ― 仕入伝票（MD基幹システム 標準外部IF／WMS→MD基幹 IFSYLMS210R DC入荷実績データ）</t>
  </si>
  <si>
    <t>判定凡例：  ○ 直接マッピング可　△ 変換・加工が必要　✕ GAPあり（要対応）　― 固定値／NULL／システム内部採番のため対象外　｜ MD基幹＝統合先（仕入伝票 標準外部IF）、WMS＝統合元（IFSYLMS210R DC入荷実績データ）</t>
  </si>
  <si>
    <t>No.</t>
  </si>
  <si>
    <t>必須</t>
  </si>
  <si>
    <r>
      <rPr>
        <b/>
        <sz val="10"/>
        <color rgb="FFFFFFFF"/>
        <rFont val="Meiryo UI"/>
        <charset val="1"/>
      </rPr>
      <t>MD</t>
    </r>
    <r>
      <rPr>
        <b/>
        <sz val="10"/>
        <color rgb="FFFFFFFF"/>
        <rFont val="Meiryo UI"/>
        <charset val="134"/>
      </rPr>
      <t>基幹
項目名</t>
    </r>
  </si>
  <si>
    <r>
      <rPr>
        <b/>
        <sz val="10"/>
        <color rgb="FFFFFFFF"/>
        <rFont val="Meiryo UI"/>
        <charset val="1"/>
      </rPr>
      <t>MD</t>
    </r>
    <r>
      <rPr>
        <b/>
        <sz val="10"/>
        <color rgb="FFFFFFFF"/>
        <rFont val="Meiryo UI"/>
        <charset val="134"/>
      </rPr>
      <t>基幹
型</t>
    </r>
    <r>
      <rPr>
        <b/>
        <sz val="10"/>
        <color rgb="FFFFFFFF"/>
        <rFont val="Meiryo UI"/>
        <charset val="1"/>
      </rPr>
      <t>/</t>
    </r>
    <r>
      <rPr>
        <b/>
        <sz val="10"/>
        <color rgb="FFFFFFFF"/>
        <rFont val="Meiryo UI"/>
        <charset val="134"/>
      </rPr>
      <t>桁</t>
    </r>
  </si>
  <si>
    <t>FMT内容</t>
  </si>
  <si>
    <t>Hitluster
項目名</t>
  </si>
  <si>
    <t>Hitluster
型/バイト</t>
  </si>
  <si>
    <t>判定</t>
  </si>
  <si>
    <t>変換ルール・留意事項</t>
  </si>
  <si>
    <t>○</t>
  </si>
  <si>
    <t>納品日</t>
  </si>
  <si>
    <t>dbDate_t/8</t>
  </si>
  <si>
    <t xml:space="preserve">CONVERT(VARCHAR(12) , DCAM.INSPDATE, 112 ) </t>
  </si>
  <si>
    <t>検品倉庫着荷指定日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</si>
  <si>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/8</t>
    </r>
  </si>
  <si>
    <t>〇</t>
  </si>
  <si>
    <t>WMSの「検品倉庫着荷指定日（検品TC倉庫作業予定日）」をMD基幹の納品日として使用する想定。</t>
  </si>
  <si>
    <t>伝票ID</t>
  </si>
  <si>
    <t>int64_t/19</t>
  </si>
  <si>
    <t>NULL</t>
  </si>
  <si>
    <t>―</t>
  </si>
  <si>
    <t>現状TRIAL：NULL</t>
  </si>
  <si>
    <r>
      <rPr>
        <sz val="10"/>
        <color rgb="FF000000"/>
        <rFont val="Meiryo UI"/>
        <charset val="134"/>
      </rPr>
      <t>伝票履歴先頭</t>
    </r>
    <r>
      <rPr>
        <sz val="10"/>
        <color rgb="FF000000"/>
        <rFont val="Meiryo UI"/>
        <charset val="1"/>
      </rPr>
      <t>ID</t>
    </r>
  </si>
  <si>
    <t>伝票区分</t>
  </si>
  <si>
    <t>int16_t/5</t>
  </si>
  <si>
    <t>DCAM.SLIPDIVISION</t>
  </si>
  <si>
    <t>（該当なし）</t>
  </si>
  <si>
    <t>✕</t>
  </si>
  <si>
    <t>GAPあり：仕入の場合：10
振替の場合：30</t>
  </si>
  <si>
    <t>伝票番号</t>
  </si>
  <si>
    <t>char/10</t>
  </si>
  <si>
    <t>DCAM.SLIPNO</t>
  </si>
  <si>
    <t>伝票番号（備考：発注伝票番号）</t>
  </si>
  <si>
    <t>文字列/10</t>
  </si>
  <si>
    <t>店舗コード</t>
  </si>
  <si>
    <t>char/6</t>
  </si>
  <si>
    <t>DCAM.DEMANDCD</t>
  </si>
  <si>
    <t>△</t>
  </si>
  <si>
    <t>納品センターしかない
出荷実績と繋がって出力するか、要検討。</t>
  </si>
  <si>
    <t>部門コード</t>
  </si>
  <si>
    <t>char/8</t>
  </si>
  <si>
    <t>DCAM.DEPARTMENTCD</t>
  </si>
  <si>
    <t>文字列/2</t>
  </si>
  <si>
    <t>カテゴリマスタ統合に関わります</t>
  </si>
  <si>
    <t>仕入先コード</t>
  </si>
  <si>
    <t>DCAM.SUPPCD</t>
  </si>
  <si>
    <t>取引先コード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</si>
  <si>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/9</t>
    </r>
  </si>
  <si>
    <t>WMS_コード変換テーブル.xlsxの「仕入先コード」
【商品マスタ統合プロジェクト】課題から設計内容の確認が必要</t>
  </si>
  <si>
    <t>納品先店舗・センターコード</t>
  </si>
  <si>
    <t>DCAM.WAREHOUSECD</t>
  </si>
  <si>
    <t>検品倉庫コード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</si>
  <si>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/6</t>
    </r>
  </si>
  <si>
    <t>センターCD
「WMS_コード変換テーブル.xlsx」参考の「店舗コード」</t>
  </si>
  <si>
    <t>発注伝票番号</t>
  </si>
  <si>
    <t>int64_t/10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</si>
  <si>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/10</t>
    </r>
  </si>
  <si>
    <t>納品経路区分</t>
  </si>
  <si>
    <t>DCAM.dlvroute_typeid</t>
  </si>
  <si>
    <t>GAPあり：現状TRIAL：1:店舗直納 2:センター納品
「WMS_コード変換テーブル.xlsx」参考</t>
  </si>
  <si>
    <t>通過在庫区分</t>
  </si>
  <si>
    <t>DCAM.tcdc_typeid</t>
  </si>
  <si>
    <t>GAPあり：現状TRIAL：0:無指定 1:TC 2:預りDC 3:買取DC
「WMS_コード変換テーブル.xlsx」参考</t>
  </si>
  <si>
    <t>納品形式区分</t>
  </si>
  <si>
    <t>DCAM.dlvway_typeid</t>
  </si>
  <si>
    <t>納品形態区分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</si>
  <si>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/2</t>
    </r>
  </si>
  <si>
    <t>GAPあり：現状TRIAL：01:総量 02:店別
MD基幹側マスタとのコード対応が必要。
「WMS_コード変換テーブル.xlsx」参考</t>
  </si>
  <si>
    <t>物流タイプ</t>
  </si>
  <si>
    <t>DCAM.DISTRIBUTIONTYPE</t>
  </si>
  <si>
    <t>GAPあり：現状TRIAL：0:DC(5:DC補充) 1:TC店別 2:TC総量 3:店舗直納 4:預託在庫
DIFBRANCHPURCHASEINFO.(適用)納品方法</t>
  </si>
  <si>
    <t>温度帯区分</t>
  </si>
  <si>
    <t>DCAM.thermal_zone_typeid</t>
  </si>
  <si>
    <r>
      <rPr>
        <sz val="10"/>
        <color rgb="FF000000"/>
        <rFont val="Meiryo UI"/>
        <charset val="1"/>
      </rPr>
      <t xml:space="preserve">WMS側にソースなし。商品マスタから補完
</t>
    </r>
    <r>
      <rPr>
        <b/>
        <sz val="10"/>
        <color rgb="FFFF0000"/>
        <rFont val="Meiryo UI"/>
        <charset val="1"/>
      </rPr>
      <t>PRODUCTS.管理温度帯コード</t>
    </r>
  </si>
  <si>
    <t>検品チェック済みフラグ</t>
  </si>
  <si>
    <t>int8_t/1</t>
  </si>
  <si>
    <t>現状TRIAL：1</t>
  </si>
  <si>
    <r>
      <rPr>
        <sz val="10"/>
        <color rgb="FF000000"/>
        <rFont val="Meiryo UI"/>
        <charset val="134"/>
      </rPr>
      <t>原価金額</t>
    </r>
    <r>
      <rPr>
        <sz val="10"/>
        <color rgb="FF000000"/>
        <rFont val="Meiryo UI"/>
        <charset val="1"/>
      </rPr>
      <t>(</t>
    </r>
    <r>
      <rPr>
        <sz val="10"/>
        <color rgb="FF000000"/>
        <rFont val="Meiryo UI"/>
        <charset val="134"/>
      </rPr>
      <t>税抜</t>
    </r>
    <r>
      <rPr>
        <sz val="10"/>
        <color rgb="FF000000"/>
        <rFont val="Meiryo UI"/>
        <charset val="1"/>
      </rPr>
      <t>)</t>
    </r>
  </si>
  <si>
    <t>現状TRIAL：0</t>
  </si>
  <si>
    <r>
      <rPr>
        <sz val="10"/>
        <color rgb="FF000000"/>
        <rFont val="Meiryo UI"/>
        <charset val="134"/>
      </rPr>
      <t>売価金額</t>
    </r>
    <r>
      <rPr>
        <sz val="10"/>
        <color rgb="FF000000"/>
        <rFont val="Meiryo UI"/>
        <charset val="1"/>
      </rPr>
      <t>(</t>
    </r>
    <r>
      <rPr>
        <sz val="10"/>
        <color rgb="FF000000"/>
        <rFont val="Meiryo UI"/>
        <charset val="134"/>
      </rPr>
      <t>税込</t>
    </r>
    <r>
      <rPr>
        <sz val="10"/>
        <color rgb="FF000000"/>
        <rFont val="Meiryo UI"/>
        <charset val="1"/>
      </rPr>
      <t>)</t>
    </r>
  </si>
  <si>
    <t>税区分</t>
  </si>
  <si>
    <t>tax_typeid</t>
  </si>
  <si>
    <r>
      <rPr>
        <sz val="10"/>
        <color rgb="FF000000"/>
        <rFont val="Meiryo UI"/>
        <charset val="1"/>
      </rPr>
      <t xml:space="preserve">WMS側にソースなし。商品マスタから補完
</t>
    </r>
    <r>
      <rPr>
        <b/>
        <sz val="10"/>
        <color rgb="FFFF0000"/>
        <rFont val="Meiryo UI"/>
        <charset val="1"/>
      </rPr>
      <t>MST_INCLUSIVE_TAX_TARGET.税フラグ</t>
    </r>
  </si>
  <si>
    <t>税率コード</t>
  </si>
  <si>
    <t>tax_id</t>
  </si>
  <si>
    <r>
      <rPr>
        <sz val="10"/>
        <color rgb="FF000000"/>
        <rFont val="Meiryo UI"/>
        <charset val="134"/>
      </rPr>
      <t xml:space="preserve">WMS側にソースなし。商品マスタから補完
</t>
    </r>
    <r>
      <rPr>
        <b/>
        <sz val="10"/>
        <color rgb="FFFF0000"/>
        <rFont val="Meiryo UI"/>
        <charset val="134"/>
      </rPr>
      <t>PRODUCTS.税率コード</t>
    </r>
  </si>
  <si>
    <t>計上日</t>
  </si>
  <si>
    <t>CONVERT(VARCHAR(12),DCAM.INSPDATE,112)</t>
  </si>
  <si>
    <t>計上日（実績確定日）</t>
  </si>
  <si>
    <t>削除フラグ</t>
  </si>
  <si>
    <t>登録日</t>
  </si>
  <si>
    <t>null</t>
  </si>
  <si>
    <t>登録時分秒</t>
  </si>
  <si>
    <t>dbTime_t/6</t>
  </si>
  <si>
    <t>登録者コード</t>
  </si>
  <si>
    <t>char/16</t>
  </si>
  <si>
    <t>DCAM.MAINTAINER</t>
  </si>
  <si>
    <t>西友固定指定を勧める
現状トライアル:99000112</t>
  </si>
  <si>
    <t>登録機能コード</t>
  </si>
  <si>
    <t>登録操作コード</t>
  </si>
  <si>
    <t>@ins_ope_id</t>
  </si>
  <si>
    <t>西友固定指定を勧める
現状トライアル:oulm00101</t>
  </si>
  <si>
    <t>行番号</t>
  </si>
  <si>
    <t>int8_t/2</t>
  </si>
  <si>
    <t>DCAM.SLIPLINENO</t>
  </si>
  <si>
    <t>伝票行番号</t>
  </si>
  <si>
    <r>
      <rPr>
        <sz val="10"/>
        <color rgb="FF000000"/>
        <rFont val="Meiryo UI"/>
        <charset val="134"/>
      </rPr>
      <t>数値</t>
    </r>
    <r>
      <rPr>
        <sz val="10"/>
        <color rgb="FF000000"/>
        <rFont val="Meiryo UI"/>
        <charset val="1"/>
      </rPr>
      <t>/3</t>
    </r>
  </si>
  <si>
    <t>MGAPあり：D基幹はint8_t(最大2桁=99まで)だが、WMSは3桁(最大999)。1伝票あたりの行数が100行を超えるケースがないか要確認（桁溢れリスク）。</t>
  </si>
  <si>
    <r>
      <rPr>
        <sz val="10"/>
        <color rgb="FF000000"/>
        <rFont val="Meiryo UI"/>
        <charset val="134"/>
      </rPr>
      <t>数量（</t>
    </r>
    <r>
      <rPr>
        <sz val="10"/>
        <color rgb="FF000000"/>
        <rFont val="Meiryo UI"/>
        <charset val="1"/>
      </rPr>
      <t>1000</t>
    </r>
    <r>
      <rPr>
        <sz val="10"/>
        <color rgb="FF000000"/>
        <rFont val="Meiryo UI"/>
        <charset val="134"/>
      </rPr>
      <t>倍）</t>
    </r>
  </si>
  <si>
    <t>DCAM.PKGQTY*1000</t>
  </si>
  <si>
    <t>確定数量（バラ）</t>
  </si>
  <si>
    <r>
      <rPr>
        <sz val="10"/>
        <color rgb="FF000000"/>
        <rFont val="Meiryo UI"/>
        <charset val="134"/>
      </rPr>
      <t>数値</t>
    </r>
    <r>
      <rPr>
        <sz val="10"/>
        <color rgb="FF000000"/>
        <rFont val="Meiryo UI"/>
        <charset val="1"/>
      </rPr>
      <t>/7</t>
    </r>
  </si>
  <si>
    <t>GAPあり：WMSの確定数量（バラ、入荷数量の実績値）を1000倍した値をMD基幹へ設定するロジックが必要。</t>
  </si>
  <si>
    <t>原単価（1000倍）</t>
  </si>
  <si>
    <t>DCAM.COSTPRICE*1000</t>
  </si>
  <si>
    <r>
      <rPr>
        <sz val="10"/>
        <color rgb="FF000000"/>
        <rFont val="Meiryo UI"/>
        <charset val="1"/>
      </rPr>
      <t xml:space="preserve">GAPあり：WMS側にソースなし。商品マスタから補完
</t>
    </r>
    <r>
      <rPr>
        <b/>
        <sz val="10"/>
        <color rgb="FFFF0000"/>
        <rFont val="Meiryo UI"/>
        <charset val="1"/>
      </rPr>
      <t>DIFBRANCHPURCHASEINFO.(適用)発注原価(8)*1000</t>
    </r>
  </si>
  <si>
    <t>原価金額</t>
  </si>
  <si>
    <t>cast(round(COSTPRICE*PKGQTY,0) as bigint)</t>
  </si>
  <si>
    <t>原単価*確定数量（バラ）</t>
  </si>
  <si>
    <t>売価金額</t>
  </si>
  <si>
    <t>cast(round(SALEPRICE*PKGQTY,0) as bigint)</t>
  </si>
  <si>
    <t>売単価*確定数量（バラ）</t>
  </si>
  <si>
    <t>売単価</t>
  </si>
  <si>
    <t>int32_t/10</t>
  </si>
  <si>
    <t>DCAM.SALEPRICE</t>
  </si>
  <si>
    <r>
      <rPr>
        <sz val="10"/>
        <color rgb="FF000000"/>
        <rFont val="Meiryo UI"/>
        <charset val="1"/>
      </rPr>
      <t xml:space="preserve">GAPあり：WMS側にソースなし。商品マスタから補完
</t>
    </r>
    <r>
      <rPr>
        <b/>
        <sz val="10"/>
        <color rgb="FFFF0000"/>
        <rFont val="Meiryo UI"/>
        <charset val="1"/>
      </rPr>
      <t>DIFBRANCHSALESINFO.(適用)基準売価(4)*1000</t>
    </r>
  </si>
  <si>
    <t>JAN</t>
  </si>
  <si>
    <t>char/13</t>
  </si>
  <si>
    <t>DCAM.PRODUCTCD</t>
  </si>
  <si>
    <t>商品コード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</si>
  <si>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/14</t>
    </r>
  </si>
  <si>
    <t>桁数差異（MD基幹13桁 / WMS14桁）</t>
  </si>
  <si>
    <t>理由区分</t>
  </si>
  <si>
    <t>DCAM.reason_typeid</t>
  </si>
  <si>
    <t>欠品理由区分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</si>
  <si>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/5</t>
    </r>
  </si>
  <si>
    <r>
      <rPr>
        <sz val="10"/>
        <color rgb="FF000000"/>
        <rFont val="Meiryo UI"/>
        <charset val="1"/>
      </rPr>
      <t>WMS</t>
    </r>
    <r>
      <rPr>
        <sz val="10"/>
        <color rgb="FF000000"/>
        <rFont val="Meiryo UI"/>
        <charset val="134"/>
      </rPr>
      <t>は「欠品無し＝</t>
    </r>
    <r>
      <rPr>
        <sz val="10"/>
        <color rgb="FF000000"/>
        <rFont val="Meiryo UI"/>
        <charset val="1"/>
      </rPr>
      <t>00000</t>
    </r>
    <r>
      <rPr>
        <sz val="10"/>
        <color rgb="FF000000"/>
        <rFont val="Meiryo UI"/>
        <charset val="134"/>
      </rPr>
      <t>固定／欠品有り＝</t>
    </r>
    <r>
      <rPr>
        <sz val="10"/>
        <color rgb="FF000000"/>
        <rFont val="Meiryo UI"/>
        <charset val="1"/>
      </rPr>
      <t>00001</t>
    </r>
    <r>
      <rPr>
        <sz val="10"/>
        <color rgb="FF000000"/>
        <rFont val="Meiryo UI"/>
        <charset val="134"/>
      </rPr>
      <t>固定（取引先責）」の</t>
    </r>
    <r>
      <rPr>
        <sz val="10"/>
        <color rgb="FF000000"/>
        <rFont val="Meiryo UI"/>
        <charset val="1"/>
      </rPr>
      <t>2</t>
    </r>
    <r>
      <rPr>
        <sz val="10"/>
        <color rgb="FF000000"/>
        <rFont val="Meiryo UI"/>
        <charset val="134"/>
      </rPr>
      <t>値。</t>
    </r>
    <r>
      <rPr>
        <sz val="10"/>
        <color rgb="FF000000"/>
        <rFont val="Meiryo UI"/>
        <charset val="1"/>
      </rPr>
      <t>MD</t>
    </r>
    <r>
      <rPr>
        <sz val="10"/>
        <color rgb="FF000000"/>
        <rFont val="Meiryo UI"/>
        <charset val="134"/>
      </rPr>
      <t>基幹の理由区分マスタへのコード変換が必要。</t>
    </r>
  </si>
  <si>
    <r>
      <rPr>
        <b/>
        <sz val="12"/>
        <color rgb="FFFFFFFF"/>
        <rFont val="Noto Sans CJK SC"/>
        <charset val="134"/>
      </rPr>
      <t>項目マッピング 判定サマリ ― 仕入伝票（</t>
    </r>
    <r>
      <rPr>
        <b/>
        <sz val="12"/>
        <color rgb="FFFFFFFF"/>
        <rFont val="Meiryo UI"/>
        <charset val="1"/>
      </rPr>
      <t>MD</t>
    </r>
    <r>
      <rPr>
        <b/>
        <sz val="12"/>
        <color rgb="FFFFFFFF"/>
        <rFont val="Noto Sans CJK SC"/>
        <charset val="134"/>
      </rPr>
      <t>基幹⇔</t>
    </r>
    <r>
      <rPr>
        <b/>
        <sz val="12"/>
        <color rgb="FFFFFFFF"/>
        <rFont val="Meiryo UI"/>
        <charset val="1"/>
      </rPr>
      <t>WMS IFSYLMS230R TC</t>
    </r>
    <r>
      <rPr>
        <b/>
        <sz val="12"/>
        <color rgb="FFFFFFFF"/>
        <rFont val="Noto Sans CJK SC"/>
        <charset val="134"/>
      </rPr>
      <t>総量入荷実績データ／</t>
    </r>
    <r>
      <rPr>
        <b/>
        <sz val="12"/>
        <color rgb="FFFFFFFF"/>
        <rFont val="Meiryo UI"/>
        <charset val="1"/>
      </rPr>
      <t>35</t>
    </r>
    <r>
      <rPr>
        <b/>
        <sz val="12"/>
        <color rgb="FFFFFFFF"/>
        <rFont val="Noto Sans CJK SC"/>
        <charset val="134"/>
      </rPr>
      <t>項目）</t>
    </r>
  </si>
  <si>
    <r>
      <rPr>
        <b/>
        <sz val="10"/>
        <color rgb="FFFFFFFF"/>
        <rFont val="Noto Sans CJK SC"/>
        <charset val="134"/>
      </rPr>
      <t>マスタ</t>
    </r>
    <r>
      <rPr>
        <b/>
        <sz val="10"/>
        <color rgb="FFFFFFFF"/>
        <rFont val="Meiryo UI"/>
        <charset val="1"/>
      </rPr>
      <t>/IF</t>
    </r>
    <r>
      <rPr>
        <b/>
        <sz val="10"/>
        <color rgb="FFFFFFFF"/>
        <rFont val="Noto Sans CJK SC"/>
        <charset val="134"/>
      </rPr>
      <t>区分</t>
    </r>
  </si>
  <si>
    <t>件数</t>
  </si>
  <si>
    <t>割合</t>
  </si>
  <si>
    <t>主な内容・対応方針</t>
  </si>
  <si>
    <r>
      <rPr>
        <sz val="11"/>
        <color theme="1"/>
        <rFont val="Noto Sans CJK SC"/>
        <charset val="134"/>
      </rPr>
      <t>仕入伝票（</t>
    </r>
    <r>
      <rPr>
        <sz val="11"/>
        <color theme="1"/>
        <rFont val="Calibri"/>
        <charset val="1"/>
      </rPr>
      <t>35</t>
    </r>
    <r>
      <rPr>
        <sz val="11"/>
        <color theme="1"/>
        <rFont val="Noto Sans CJK SC"/>
        <charset val="134"/>
      </rPr>
      <t>項目）</t>
    </r>
  </si>
  <si>
    <t>○ 直接マッピング可</t>
  </si>
  <si>
    <r>
      <rPr>
        <sz val="11"/>
        <color theme="1"/>
        <rFont val="Noto Sans CJK SC"/>
        <charset val="134"/>
      </rPr>
      <t>計上日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名称一致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、発注伝票番号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発注伝票番号として意味一致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の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項目のみ。</t>
    </r>
  </si>
  <si>
    <t>△ 変換・加工が必要</t>
  </si>
  <si>
    <r>
      <rPr>
        <sz val="11"/>
        <color theme="1"/>
        <rFont val="Noto Sans CJK SC"/>
        <charset val="134"/>
      </rPr>
      <t>部門コード階層結合、数量</t>
    </r>
    <r>
      <rPr>
        <sz val="11"/>
        <color theme="1"/>
        <rFont val="Calibri"/>
        <charset val="1"/>
      </rPr>
      <t>1000</t>
    </r>
    <r>
      <rPr>
        <sz val="11"/>
        <color theme="1"/>
        <rFont val="Noto Sans CJK SC"/>
        <charset val="134"/>
      </rPr>
      <t>倍変換、</t>
    </r>
    <r>
      <rPr>
        <sz val="11"/>
        <color theme="1"/>
        <rFont val="Calibri"/>
        <charset val="1"/>
      </rPr>
      <t>JAN</t>
    </r>
    <r>
      <rPr>
        <sz val="11"/>
        <color theme="1"/>
        <rFont val="Noto Sans CJK SC"/>
        <charset val="134"/>
      </rPr>
      <t>桁数変換、伝票区分候補データの変換、行番号桁数変換 等</t>
    </r>
  </si>
  <si>
    <r>
      <rPr>
        <b/>
        <sz val="10"/>
        <color rgb="FFC00000"/>
        <rFont val="Meiryo UI"/>
        <charset val="1"/>
      </rPr>
      <t>✕ GAP</t>
    </r>
    <r>
      <rPr>
        <b/>
        <sz val="10"/>
        <color rgb="FFC00000"/>
        <rFont val="Noto Sans CJK SC"/>
        <charset val="134"/>
      </rPr>
      <t>あり</t>
    </r>
  </si>
  <si>
    <r>
      <rPr>
        <sz val="11"/>
        <color theme="1"/>
        <rFont val="Noto Sans CJK SC"/>
        <charset val="134"/>
      </rPr>
      <t>原単価・原価金額・売単価・売価金額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単価情報が</t>
    </r>
    <r>
      <rPr>
        <sz val="11"/>
        <color theme="1"/>
        <rFont val="Calibri"/>
        <charset val="1"/>
      </rPr>
      <t>WMS</t>
    </r>
    <r>
      <rPr>
        <sz val="11"/>
        <color theme="1"/>
        <rFont val="Noto Sans CJK SC"/>
        <charset val="134"/>
      </rPr>
      <t>に存在しない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、伝票区分・伝票番号・通過在庫区分・温度帯区分の対応未定義</t>
    </r>
  </si>
  <si>
    <r>
      <rPr>
        <b/>
        <sz val="10"/>
        <color rgb="FF595959"/>
        <rFont val="Noto Sans CJK SC"/>
        <charset val="134"/>
      </rPr>
      <t>― 固定値</t>
    </r>
    <r>
      <rPr>
        <b/>
        <sz val="10"/>
        <color rgb="FF595959"/>
        <rFont val="Meiryo UI"/>
        <charset val="1"/>
      </rPr>
      <t>/NULL/</t>
    </r>
    <r>
      <rPr>
        <b/>
        <sz val="10"/>
        <color rgb="FF595959"/>
        <rFont val="Noto Sans CJK SC"/>
        <charset val="134"/>
      </rPr>
      <t>対象外</t>
    </r>
  </si>
  <si>
    <r>
      <rPr>
        <sz val="11"/>
        <color theme="1"/>
        <rFont val="Noto Sans CJK SC"/>
        <charset val="134"/>
      </rPr>
      <t>伝票</t>
    </r>
    <r>
      <rPr>
        <sz val="11"/>
        <color theme="1"/>
        <rFont val="Calibri"/>
        <charset val="1"/>
      </rPr>
      <t>ID</t>
    </r>
    <r>
      <rPr>
        <sz val="11"/>
        <color theme="1"/>
        <rFont val="Noto Sans CJK SC"/>
        <charset val="134"/>
      </rPr>
      <t>等</t>
    </r>
    <r>
      <rPr>
        <sz val="11"/>
        <color theme="1"/>
        <rFont val="Calibri"/>
        <charset val="1"/>
      </rPr>
      <t>MD</t>
    </r>
    <r>
      <rPr>
        <sz val="11"/>
        <color theme="1"/>
        <rFont val="Noto Sans CJK SC"/>
        <charset val="134"/>
      </rPr>
      <t>基幹内部採番項目、税区分・税率コード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必須緩和済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、登録者情報等の自動設定項目</t>
    </r>
  </si>
  <si>
    <t>ドキュメント名</t>
  </si>
  <si>
    <t>項目移送表</t>
  </si>
  <si>
    <t>インターフェースID</t>
  </si>
  <si>
    <t>IFSYLMS210R</t>
  </si>
  <si>
    <t>インターフェース名</t>
  </si>
  <si>
    <t>DC入荷実績データ</t>
  </si>
  <si>
    <t>連携方式</t>
  </si>
  <si>
    <t>インターフェース方向</t>
  </si>
  <si>
    <t>WMS⇒MD基幹システム</t>
  </si>
  <si>
    <t>データ連携方式</t>
  </si>
  <si>
    <t>SFTP（GET）</t>
  </si>
  <si>
    <t>全件／差分</t>
  </si>
  <si>
    <t>差分更新</t>
  </si>
  <si>
    <t>ファイル</t>
  </si>
  <si>
    <t>ファイル名</t>
  </si>
  <si>
    <t>IFSYLMS210R_倉庫コード(6桁)_YYYYMMDDhhmmss_NNNNNN(連番6桁).DAT</t>
  </si>
  <si>
    <t>フォーマット</t>
  </si>
  <si>
    <t>固定長</t>
  </si>
  <si>
    <t>文字コード</t>
  </si>
  <si>
    <t>ShiftJIS</t>
  </si>
  <si>
    <t>編集仕様
（【処理名】を記述）</t>
  </si>
  <si>
    <t>WMS</t>
  </si>
  <si>
    <t>No</t>
  </si>
  <si>
    <t>項目名称</t>
  </si>
  <si>
    <t>項目ＩＤ</t>
  </si>
  <si>
    <t>タイプ</t>
  </si>
  <si>
    <t>バイト</t>
  </si>
  <si>
    <t>実績</t>
  </si>
  <si>
    <t>備考</t>
  </si>
  <si>
    <t>データ区分</t>
  </si>
  <si>
    <t>文字列</t>
  </si>
  <si>
    <t>21固定</t>
  </si>
  <si>
    <t>処理日</t>
  </si>
  <si>
    <t>●</t>
  </si>
  <si>
    <t>MD基幹管理項目</t>
  </si>
  <si>
    <t>入力連番</t>
  </si>
  <si>
    <t>数値</t>
  </si>
  <si>
    <t>検品DC倉庫コード</t>
  </si>
  <si>
    <t>取引先コード6桁＋枝番3桁(デパ2桁＋連番1桁)</t>
  </si>
  <si>
    <t>30：DC総量入荷(買取)</t>
  </si>
  <si>
    <t>発注区分</t>
  </si>
  <si>
    <t>WMSからMD基幹へ送信する際にMD基幹内で管理している以下コードへ変換する
01：定番　　　→　0：通常
22：特売　　　→　2：特売
21：本部発注　→　7：本部</t>
  </si>
  <si>
    <t>発注日</t>
  </si>
  <si>
    <t>YYYYMMDD</t>
  </si>
  <si>
    <t>YYYYMMDD　検品DC倉庫作業予定日</t>
  </si>
  <si>
    <t>YYYYMMDD　実績確定日</t>
  </si>
  <si>
    <t>部門グループコード</t>
  </si>
  <si>
    <t>Division</t>
  </si>
  <si>
    <t>Depa</t>
  </si>
  <si>
    <t>中分類コード</t>
  </si>
  <si>
    <t>西友ライン</t>
  </si>
  <si>
    <t>小分類コード</t>
  </si>
  <si>
    <t>Fineline</t>
  </si>
  <si>
    <t>発注数量（バラ）</t>
  </si>
  <si>
    <t>発注単位数</t>
  </si>
  <si>
    <t>入荷数量</t>
  </si>
  <si>
    <t>欠品無しの場合、00000固定
欠品有りの場合、00001固定（取引先責）</t>
  </si>
  <si>
    <t>欠品数量（バラ）</t>
  </si>
  <si>
    <t>欠品無しの場合、0000000固定
欠品有りの場合、XXXXXXX（欠品数量）
過剰有りの場合、-XXXXXX（過剰数量）</t>
  </si>
  <si>
    <t>FILLER</t>
  </si>
  <si>
    <t>半角スペース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</si>
</sst>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\&quot;* #,##0_ ;_ &quot;\&quot;* \-#,##0_ ;_ &quot;\&quot;* &quot;-&quot;_ ;_ @_ "/>
    <numFmt numFmtId="43" formatCode="_ * #,##0.00_ ;_ * \-#,##0.00_ ;_ * &quot;-&quot;??_ ;_ @_ "/>
    <numFmt numFmtId="44" formatCode="_ &quot;\&quot;* #,##0.00_ ;_ &quot;\&quot;* \-#,##0.00_ ;_ &quot;\&quot;* &quot;-&quot;??_ ;_ @_ "/>
  </numFmts>
  <fonts count="48">
    <font>
      <sz val="11"/>
      <color theme="1"/>
      <name val="Calibri"/>
      <charset val="1"/>
    </font>
    <font>
      <sz val="12"/>
      <name val="ＭＳ ゴシック"/>
      <charset val="128"/>
    </font>
    <font>
      <sz val="12"/>
      <color rgb="FFFF0000"/>
      <name val="ＭＳ ゴシック"/>
      <charset val="128"/>
    </font>
    <font>
      <sz val="10"/>
      <name val="ＭＳ ゴシック"/>
      <charset val="128"/>
    </font>
    <font>
      <b/>
      <sz val="16"/>
      <name val="ＭＳ ゴシック"/>
      <charset val="128"/>
    </font>
    <font>
      <b/>
      <sz val="12"/>
      <color rgb="FFFFFFFF"/>
      <name val="Noto Sans CJK SC"/>
      <charset val="134"/>
    </font>
    <font>
      <b/>
      <sz val="10"/>
      <color rgb="FFFFFFFF"/>
      <name val="Noto Sans CJK SC"/>
      <charset val="134"/>
    </font>
    <font>
      <sz val="11"/>
      <color theme="1"/>
      <name val="Noto Sans CJK SC"/>
      <charset val="134"/>
    </font>
    <font>
      <b/>
      <sz val="10"/>
      <color rgb="FF1A7340"/>
      <name val="Noto Sans CJK SC"/>
      <charset val="134"/>
    </font>
    <font>
      <b/>
      <sz val="10"/>
      <color rgb="FF7F4F00"/>
      <name val="Noto Sans CJK SC"/>
      <charset val="134"/>
    </font>
    <font>
      <b/>
      <sz val="10"/>
      <color rgb="FFC00000"/>
      <name val="Meiryo UI"/>
      <charset val="1"/>
    </font>
    <font>
      <b/>
      <sz val="10"/>
      <color rgb="FF595959"/>
      <name val="Noto Sans CJK SC"/>
      <charset val="134"/>
    </font>
    <font>
      <sz val="11"/>
      <color theme="1"/>
      <name val="Meiryo UI"/>
      <charset val="1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"/>
    </font>
    <font>
      <b/>
      <sz val="10"/>
      <color rgb="FFFFFFFF"/>
      <name val="Meiryo UI"/>
      <charset val="134"/>
    </font>
    <font>
      <sz val="10"/>
      <color rgb="FF000000"/>
      <name val="Meiryo UI"/>
      <charset val="1"/>
    </font>
    <font>
      <b/>
      <sz val="10"/>
      <color rgb="FF7F4F00"/>
      <name val="Meiryo UI"/>
      <charset val="1"/>
    </font>
    <font>
      <b/>
      <sz val="9"/>
      <color rgb="FF475569"/>
      <name val="Meiryo UI"/>
      <charset val="134"/>
    </font>
    <font>
      <sz val="9"/>
      <color rgb="FF1A2E4A"/>
      <name val="Meiryo UI"/>
      <charset val="134"/>
    </font>
    <font>
      <b/>
      <sz val="10"/>
      <color rgb="FFFF0000"/>
      <name val="Meiryo UI"/>
      <charset val="1"/>
    </font>
    <font>
      <b/>
      <sz val="10"/>
      <color rgb="FFFF0000"/>
      <name val="Meiryo UI"/>
      <charset val="134"/>
    </font>
    <font>
      <b/>
      <sz val="10"/>
      <color rgb="FF1A7340"/>
      <name val="Meiryo UI"/>
      <charset val="1"/>
    </font>
    <font>
      <b/>
      <sz val="10"/>
      <color rgb="FF595959"/>
      <name val="Meiryo U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Meiryo U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FFFF"/>
      <name val="Meiryo UI"/>
      <charset val="1"/>
    </font>
    <font>
      <b/>
      <sz val="10"/>
      <color rgb="FFC00000"/>
      <name val="Noto Sans CJK SC"/>
      <charset val="134"/>
    </font>
  </fonts>
  <fills count="4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2F7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7FB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Border="0" applyAlignment="0" applyProtection="0"/>
    <xf numFmtId="44" fontId="25" fillId="0" borderId="0" applyBorder="0" applyAlignment="0" applyProtection="0"/>
    <xf numFmtId="9" fontId="25" fillId="0" borderId="0" applyBorder="0" applyAlignment="0" applyProtection="0"/>
    <xf numFmtId="41" fontId="25" fillId="0" borderId="0" applyBorder="0" applyAlignment="0" applyProtection="0"/>
    <xf numFmtId="42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5" borderId="12" applyNumberFormat="0" applyAlignment="0" applyProtection="0">
      <alignment vertical="center"/>
    </xf>
    <xf numFmtId="0" fontId="36" fillId="16" borderId="13" applyNumberFormat="0" applyAlignment="0" applyProtection="0">
      <alignment vertical="center"/>
    </xf>
    <xf numFmtId="0" fontId="37" fillId="16" borderId="12" applyNumberFormat="0" applyAlignment="0" applyProtection="0">
      <alignment vertical="center"/>
    </xf>
    <xf numFmtId="0" fontId="38" fillId="17" borderId="14" applyNumberFormat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7" fillId="9" borderId="8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0" fontId="11" fillId="9" borderId="8" xfId="0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Border="1"/>
    <xf numFmtId="0" fontId="13" fillId="6" borderId="8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left" vertical="center" wrapText="1"/>
    </xf>
    <xf numFmtId="0" fontId="17" fillId="8" borderId="8" xfId="0" applyFont="1" applyFill="1" applyBorder="1" applyAlignment="1">
      <alignment horizontal="left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left" vertical="center" wrapText="1"/>
    </xf>
    <xf numFmtId="0" fontId="17" fillId="11" borderId="8" xfId="0" applyFont="1" applyFill="1" applyBorder="1" applyAlignment="1">
      <alignment horizontal="left" vertical="center" wrapText="1"/>
    </xf>
    <xf numFmtId="0" fontId="17" fillId="12" borderId="8" xfId="0" applyFont="1" applyFill="1" applyBorder="1" applyAlignment="1">
      <alignment horizontal="left" vertical="center" wrapText="1"/>
    </xf>
    <xf numFmtId="0" fontId="19" fillId="13" borderId="8" xfId="0" applyFont="1" applyFill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left" vertical="center" wrapText="1"/>
    </xf>
    <xf numFmtId="0" fontId="17" fillId="12" borderId="8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left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horizontal="left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left" vertical="center" wrapText="1"/>
    </xf>
    <xf numFmtId="0" fontId="23" fillId="11" borderId="8" xfId="0" applyFont="1" applyFill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left" vertical="center" wrapText="1"/>
    </xf>
    <xf numFmtId="0" fontId="24" fillId="11" borderId="8" xfId="0" applyFont="1" applyFill="1" applyBorder="1" applyAlignment="1">
      <alignment horizontal="center" vertical="center" wrapText="1"/>
    </xf>
    <xf numFmtId="0" fontId="24" fillId="1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indexed="42"/>
        </patternFill>
      </fill>
    </dxf>
    <dxf>
      <fill>
        <patternFill patternType="solid">
          <bgColor indexed="2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734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7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7F4F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5" Type="http://schemas.openxmlformats.org/officeDocument/2006/relationships/styles" Target="styl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externalLink" Target="externalLinks/externalLink59.xml"/><Relationship Id="rId61" Type="http://schemas.openxmlformats.org/officeDocument/2006/relationships/externalLink" Target="externalLinks/externalLink58.xml"/><Relationship Id="rId60" Type="http://schemas.openxmlformats.org/officeDocument/2006/relationships/externalLink" Target="externalLinks/externalLink57.xml"/><Relationship Id="rId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56.xml"/><Relationship Id="rId58" Type="http://schemas.openxmlformats.org/officeDocument/2006/relationships/externalLink" Target="externalLinks/externalLink55.xml"/><Relationship Id="rId57" Type="http://schemas.openxmlformats.org/officeDocument/2006/relationships/externalLink" Target="externalLinks/externalLink54.xml"/><Relationship Id="rId56" Type="http://schemas.openxmlformats.org/officeDocument/2006/relationships/externalLink" Target="externalLinks/externalLink53.xml"/><Relationship Id="rId55" Type="http://schemas.openxmlformats.org/officeDocument/2006/relationships/externalLink" Target="externalLinks/externalLink52.xml"/><Relationship Id="rId54" Type="http://schemas.openxmlformats.org/officeDocument/2006/relationships/externalLink" Target="externalLinks/externalLink51.xml"/><Relationship Id="rId53" Type="http://schemas.openxmlformats.org/officeDocument/2006/relationships/externalLink" Target="externalLinks/externalLink50.xml"/><Relationship Id="rId52" Type="http://schemas.openxmlformats.org/officeDocument/2006/relationships/externalLink" Target="externalLinks/externalLink49.xml"/><Relationship Id="rId51" Type="http://schemas.openxmlformats.org/officeDocument/2006/relationships/externalLink" Target="externalLinks/externalLink48.xml"/><Relationship Id="rId50" Type="http://schemas.openxmlformats.org/officeDocument/2006/relationships/externalLink" Target="externalLinks/externalLink47.xml"/><Relationship Id="rId5" Type="http://schemas.openxmlformats.org/officeDocument/2006/relationships/externalLink" Target="externalLinks/externalLink2.xml"/><Relationship Id="rId49" Type="http://schemas.openxmlformats.org/officeDocument/2006/relationships/externalLink" Target="externalLinks/externalLink46.xml"/><Relationship Id="rId48" Type="http://schemas.openxmlformats.org/officeDocument/2006/relationships/externalLink" Target="externalLinks/externalLink45.xml"/><Relationship Id="rId47" Type="http://schemas.openxmlformats.org/officeDocument/2006/relationships/externalLink" Target="externalLinks/externalLink44.xml"/><Relationship Id="rId46" Type="http://schemas.openxmlformats.org/officeDocument/2006/relationships/externalLink" Target="externalLinks/externalLink43.xml"/><Relationship Id="rId45" Type="http://schemas.openxmlformats.org/officeDocument/2006/relationships/externalLink" Target="externalLinks/externalLink42.xml"/><Relationship Id="rId44" Type="http://schemas.openxmlformats.org/officeDocument/2006/relationships/externalLink" Target="externalLinks/externalLink41.xml"/><Relationship Id="rId43" Type="http://schemas.openxmlformats.org/officeDocument/2006/relationships/externalLink" Target="externalLinks/externalLink40.xml"/><Relationship Id="rId42" Type="http://schemas.openxmlformats.org/officeDocument/2006/relationships/externalLink" Target="externalLinks/externalLink39.xml"/><Relationship Id="rId41" Type="http://schemas.openxmlformats.org/officeDocument/2006/relationships/externalLink" Target="externalLinks/externalLink38.xml"/><Relationship Id="rId40" Type="http://schemas.openxmlformats.org/officeDocument/2006/relationships/externalLink" Target="externalLinks/externalLink37.xml"/><Relationship Id="rId4" Type="http://schemas.openxmlformats.org/officeDocument/2006/relationships/externalLink" Target="externalLinks/externalLink1.xml"/><Relationship Id="rId39" Type="http://schemas.openxmlformats.org/officeDocument/2006/relationships/externalLink" Target="externalLinks/externalLink36.xml"/><Relationship Id="rId38" Type="http://schemas.openxmlformats.org/officeDocument/2006/relationships/externalLink" Target="externalLinks/externalLink35.xml"/><Relationship Id="rId37" Type="http://schemas.openxmlformats.org/officeDocument/2006/relationships/externalLink" Target="externalLinks/externalLink34.xml"/><Relationship Id="rId36" Type="http://schemas.openxmlformats.org/officeDocument/2006/relationships/externalLink" Target="externalLinks/externalLink33.xml"/><Relationship Id="rId35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31.xml"/><Relationship Id="rId33" Type="http://schemas.openxmlformats.org/officeDocument/2006/relationships/externalLink" Target="externalLinks/externalLink30.xml"/><Relationship Id="rId32" Type="http://schemas.openxmlformats.org/officeDocument/2006/relationships/externalLink" Target="externalLinks/externalLink29.xml"/><Relationship Id="rId31" Type="http://schemas.openxmlformats.org/officeDocument/2006/relationships/externalLink" Target="externalLinks/externalLink28.xml"/><Relationship Id="rId30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6.xml"/><Relationship Id="rId28" Type="http://schemas.openxmlformats.org/officeDocument/2006/relationships/externalLink" Target="externalLinks/externalLink25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1181735</xdr:colOff>
      <xdr:row>5</xdr:row>
      <xdr:rowOff>47625</xdr:rowOff>
    </xdr:from>
    <xdr:to>
      <xdr:col>25</xdr:col>
      <xdr:colOff>149860</xdr:colOff>
      <xdr:row>7</xdr:row>
      <xdr:rowOff>313690</xdr:rowOff>
    </xdr:to>
    <xdr:sp>
      <xdr:nvSpPr>
        <xdr:cNvPr id="2" name="矩形 1"/>
        <xdr:cNvSpPr/>
      </xdr:nvSpPr>
      <xdr:spPr>
        <a:xfrm>
          <a:off x="11440160" y="2217420"/>
          <a:ext cx="11481435" cy="13709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>
              <a:sym typeface="+mn-ea"/>
            </a:rPr>
            <a:t>(IFSYLMS210R_007455_20260625170526_027705.DAT_20260625173500)</a:t>
          </a:r>
          <a:r>
            <a:rPr lang="ja-JP" altLang="zh-CN">
              <a:sym typeface="+mn-ea"/>
            </a:rPr>
            <a:t>サンプルデータ：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データ区分,処理日,入力連番,検品倉庫コード,取引先コード,納品形態区分,発注区分,発注日,検品倉庫着荷指定日,計上日,部門グループコード,部門コード,中分類コード,小分類コード,伝票番号,伝票行番号,商品コード,発注数量（バラ）,発注単位数,確定数量（バラ）,欠品理由区分,欠品数量（バラ）,FILLER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21,20260623,00000033,007455,011684920,30,7,20260623,20260625,20260625,28,92,03,1026,0008510177,001,4979803180119,0000400,0000040,0000400,00000,0000000,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21,20260620,00000063,007455,011684924,30,7,20260620,20260625,20260625,28,92,02,1040,0008487033,001,4901138883809,0000040,0000010,0000040,00000,0000000,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21,20260620,00000063,007455,011684924,30,7,20260620,20260625,20260625,28,92,02,1040,0008487033,002,4901138883830,0000040,0000010,0000040,00000,0000000,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ird\01_&#27161;&#28310;\&#20316;&#26989;&#12356;&#12429;&#12356;&#12429;\&#12450;&#12469;&#12498;&#12499;&#12540;&#12523;\C2311_&#12471;&#12540;&#12465;&#12531;&#12473;&#2225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30690;&#37096;\&#31168;&#20809;&#33294;&#36009;&#22770;&#24215;&#20225;&#30011;&#26360;\&#19975;&#20195;\&#19975;&#20195;15&#19979;&#26399;&#36009;&#20419;&#26045;&#3157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DOCUME~1\KIKAKU\LOCALS~1\Temp\&#26032;&#32862;&#20986;&#31295;2003%205-7&#20195;&#29702;&#24215;&#2102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temp\DOCUME~1\&#26666;&#24335;&#20250;~1\LOCALS~1\Temp\WINDOWS\&#65411;&#65438;&#65405;&#65400;&#65412;&#65391;&#65420;&#65439;\0406THEPLAN&#12381;&#12398;&#2018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060&#65423;&#65405;&#65408;&#6539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471;&#12540;&#12474;&#12531;&#6533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:\172.31.106.2\Xaebd99cb9d9a9b9a9cc806b5c0d7\attach\main\10\1\&#12452;&#12474;&#12511;&#12516;&#65288;&#26893;&#26408;&#652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:\172.31.106.2\Xae9a989ccf9c9892ce9306b5c0d7\attach\main\9\1\&#65331;&#65330;&#65321;&#24066;&#22580;&#21205;&#21521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My%20Documents\&#26441;&#2800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My%20Documents\&#21513;&#3000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&#12452;&#12474;&#12511;&#12516;&#65305;&#65305;\&#12452;&#12474;&#12511;&#12516;&#65288;&#26893;&#26408;&#65289;'9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DATA\SEND\REC00022\&#38619;&#2441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DATA\SEND\REC00005\&#38619;&#2441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excel\5md\lima\lima&#65394;&#65437;&#65412;&#65431;\&#65296;&#65296;&#19979;\&#33258;&#25512;&#36820;&#12375;\&#38619;&#2441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116\intec&#20154;&#20107;&#37096;&#25991;&#26360;\ruyworktext\&#24037;&#20316;&#39033;&#30446;&#25991;&#26723;\TelMeCall2\&#39033;&#30446;&#21608;&#25253;\IN850217-PWR-2002101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32.nsl.ad.nec.co.jp\a01037-01\ruyworktext\&#24037;&#20316;&#39033;&#30446;&#25991;&#26723;\TelMeCall2\&#39033;&#30446;&#21608;&#25253;\IN850217-PWR-200210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シーケンス図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月別金額"/>
      <sheetName val="素材別金額"/>
      <sheetName val="素材のみ"/>
      <sheetName val="電通"/>
      <sheetName val="博報堂"/>
      <sheetName val="大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小林芳香剤送品PLAN①"/>
      <sheetName val="小林芳香剤送品PLAN②"/>
      <sheetName val="芳香剤導入案ｱｰｽ"/>
      <sheetName val="金鳥RG初回送品PLAN①"/>
      <sheetName val="金鳥RG初回送品PLAN②"/>
      <sheetName val="金鳥04殺虫チラシ提案 "/>
      <sheetName val="ﾁﾗｼ提案ｱｰｽSD"/>
      <sheetName val="ﾁﾗｼ提案ｱｰｽ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シーズンＲ"/>
      <sheetName val="商品ﾏｽﾀｰ(1月25日)"/>
      <sheetName val="商品ﾏｽﾀｰ_1月25日_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万代比数"/>
      <sheetName val="ｾｶﾞﾐ本社"/>
      <sheetName val="セガミ関西実績"/>
      <sheetName val="万代比金"/>
      <sheetName val="大福特約店等"/>
      <sheetName val="Ｈ８ ライフ"/>
      <sheetName val="Ｈ９ ライフ "/>
      <sheetName val="Ｈ９ ライフ 東京"/>
      <sheetName val="9年セガミ本社"/>
      <sheetName val="セガミ関西実績8年度"/>
      <sheetName val="セガミ関西実績9年度"/>
      <sheetName val="丹平中田予定"/>
      <sheetName val="マルゼン"/>
      <sheetName val="近畿ユニショー"/>
      <sheetName val="近畿ユニショー’９７予定"/>
      <sheetName val="H.Cｺｰﾅﾝ"/>
      <sheetName val="マルゼン (2)"/>
      <sheetName val="長崎屋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サンキ"/>
      <sheetName val="旭商会"/>
      <sheetName val="平成9年度カイロ原本"/>
      <sheetName val="ピップ見積"/>
      <sheetName val="ナカ薬局"/>
      <sheetName val="銀ビル"/>
      <sheetName val="ゴダイ薬局"/>
      <sheetName val="金光薬品"/>
      <sheetName val="セガミ"/>
      <sheetName val="ﾗﾌﾞﾄﾞﾗｯｸﾞ"/>
      <sheetName val="松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8以上社員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showGridLines="0" tabSelected="1" workbookViewId="0">
      <pane ySplit="3" topLeftCell="A28" activePane="bottomLeft" state="frozen"/>
      <selection/>
      <selection pane="bottomLeft" activeCell="I17" sqref="I17"/>
    </sheetView>
  </sheetViews>
  <sheetFormatPr defaultColWidth="8.67619047619048" defaultRowHeight="15.75"/>
  <cols>
    <col min="1" max="2" width="6" style="31" customWidth="1"/>
    <col min="3" max="3" width="21" style="31" customWidth="1"/>
    <col min="4" max="4" width="13.4285714285714" style="31" customWidth="1"/>
    <col min="5" max="5" width="51.7142857142857" style="31" customWidth="1"/>
    <col min="6" max="6" width="27.8571428571429" style="31" customWidth="1"/>
    <col min="7" max="7" width="18.1428571428571" style="31" customWidth="1"/>
    <col min="8" max="8" width="9.71428571428571" style="31" customWidth="1"/>
    <col min="9" max="9" width="48.8571428571429" style="31" customWidth="1"/>
    <col min="10" max="16384" width="8.67619047619048" style="32"/>
  </cols>
  <sheetData>
    <row r="1" ht="24" customHeight="1" spans="1:9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ht="29.85" customHeight="1" spans="1:9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ht="30" customHeight="1" spans="1:9">
      <c r="A3" s="35" t="s">
        <v>2</v>
      </c>
      <c r="B3" s="36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8</v>
      </c>
      <c r="H3" s="36" t="s">
        <v>9</v>
      </c>
      <c r="I3" s="36" t="s">
        <v>10</v>
      </c>
    </row>
    <row r="4" ht="43.5" customHeight="1" spans="1:9">
      <c r="A4" s="37">
        <v>1</v>
      </c>
      <c r="B4" s="37" t="s">
        <v>11</v>
      </c>
      <c r="C4" s="38" t="s">
        <v>12</v>
      </c>
      <c r="D4" s="39" t="s">
        <v>13</v>
      </c>
      <c r="E4" s="39" t="s">
        <v>14</v>
      </c>
      <c r="F4" s="38" t="s">
        <v>15</v>
      </c>
      <c r="G4" s="38" t="s">
        <v>16</v>
      </c>
      <c r="H4" s="40" t="s">
        <v>17</v>
      </c>
      <c r="I4" s="39" t="s">
        <v>18</v>
      </c>
    </row>
    <row r="5" ht="43.5" customHeight="1" spans="1:9">
      <c r="A5" s="41">
        <v>2</v>
      </c>
      <c r="B5" s="41"/>
      <c r="C5" s="42" t="s">
        <v>19</v>
      </c>
      <c r="D5" s="43" t="s">
        <v>20</v>
      </c>
      <c r="E5" s="44" t="s">
        <v>21</v>
      </c>
      <c r="F5" s="43" t="s">
        <v>22</v>
      </c>
      <c r="G5" s="43" t="s">
        <v>22</v>
      </c>
      <c r="H5" s="45" t="s">
        <v>22</v>
      </c>
      <c r="I5" s="46" t="s">
        <v>23</v>
      </c>
    </row>
    <row r="6" ht="43.5" customHeight="1" spans="1:9">
      <c r="A6" s="47">
        <v>3</v>
      </c>
      <c r="B6" s="47"/>
      <c r="C6" s="48" t="s">
        <v>24</v>
      </c>
      <c r="D6" s="44" t="s">
        <v>20</v>
      </c>
      <c r="E6" s="44" t="s">
        <v>21</v>
      </c>
      <c r="F6" s="44" t="s">
        <v>22</v>
      </c>
      <c r="G6" s="44" t="s">
        <v>22</v>
      </c>
      <c r="H6" s="45" t="s">
        <v>22</v>
      </c>
      <c r="I6" s="46" t="s">
        <v>23</v>
      </c>
    </row>
    <row r="7" ht="43.5" customHeight="1" spans="1:9">
      <c r="A7" s="41">
        <v>4</v>
      </c>
      <c r="B7" s="41" t="s">
        <v>11</v>
      </c>
      <c r="C7" s="42" t="s">
        <v>25</v>
      </c>
      <c r="D7" s="43" t="s">
        <v>26</v>
      </c>
      <c r="E7" s="44" t="s">
        <v>27</v>
      </c>
      <c r="F7" s="42" t="s">
        <v>28</v>
      </c>
      <c r="G7" s="43" t="s">
        <v>22</v>
      </c>
      <c r="H7" s="49" t="s">
        <v>29</v>
      </c>
      <c r="I7" s="50" t="s">
        <v>30</v>
      </c>
    </row>
    <row r="8" ht="43.5" customHeight="1" spans="1:9">
      <c r="A8" s="47">
        <v>5</v>
      </c>
      <c r="B8" s="47" t="s">
        <v>11</v>
      </c>
      <c r="C8" s="48" t="s">
        <v>31</v>
      </c>
      <c r="D8" s="44" t="s">
        <v>32</v>
      </c>
      <c r="E8" s="44" t="s">
        <v>33</v>
      </c>
      <c r="F8" s="48" t="s">
        <v>34</v>
      </c>
      <c r="G8" s="44" t="s">
        <v>35</v>
      </c>
      <c r="H8" s="51" t="s">
        <v>11</v>
      </c>
      <c r="I8" s="44" t="s">
        <v>34</v>
      </c>
    </row>
    <row r="9" ht="43.5" customHeight="1" spans="1:9">
      <c r="A9" s="41">
        <v>6</v>
      </c>
      <c r="B9" s="41" t="s">
        <v>11</v>
      </c>
      <c r="C9" s="42" t="s">
        <v>36</v>
      </c>
      <c r="D9" s="43" t="s">
        <v>37</v>
      </c>
      <c r="E9" s="44" t="s">
        <v>38</v>
      </c>
      <c r="F9" s="42" t="s">
        <v>28</v>
      </c>
      <c r="G9" s="43" t="s">
        <v>22</v>
      </c>
      <c r="H9" s="52" t="s">
        <v>39</v>
      </c>
      <c r="I9" s="53" t="s">
        <v>40</v>
      </c>
    </row>
    <row r="10" ht="58" customHeight="1" spans="1:9">
      <c r="A10" s="47">
        <v>7</v>
      </c>
      <c r="B10" s="47"/>
      <c r="C10" s="48" t="s">
        <v>41</v>
      </c>
      <c r="D10" s="44" t="s">
        <v>42</v>
      </c>
      <c r="E10" s="44" t="s">
        <v>43</v>
      </c>
      <c r="F10" s="48" t="s">
        <v>41</v>
      </c>
      <c r="G10" s="48" t="s">
        <v>44</v>
      </c>
      <c r="H10" s="54" t="s">
        <v>39</v>
      </c>
      <c r="I10" s="55" t="s">
        <v>45</v>
      </c>
    </row>
    <row r="11" ht="43.5" customHeight="1" spans="1:9">
      <c r="A11" s="41">
        <v>8</v>
      </c>
      <c r="B11" s="41" t="s">
        <v>11</v>
      </c>
      <c r="C11" s="42" t="s">
        <v>46</v>
      </c>
      <c r="D11" s="43" t="s">
        <v>42</v>
      </c>
      <c r="E11" s="44" t="s">
        <v>47</v>
      </c>
      <c r="F11" s="42" t="s">
        <v>48</v>
      </c>
      <c r="G11" s="42" t="s">
        <v>49</v>
      </c>
      <c r="H11" s="52" t="s">
        <v>39</v>
      </c>
      <c r="I11" s="50" t="s">
        <v>50</v>
      </c>
    </row>
    <row r="12" ht="43.5" customHeight="1" spans="1:9">
      <c r="A12" s="47">
        <v>9</v>
      </c>
      <c r="B12" s="47"/>
      <c r="C12" s="48" t="s">
        <v>51</v>
      </c>
      <c r="D12" s="44" t="s">
        <v>37</v>
      </c>
      <c r="E12" s="44" t="s">
        <v>52</v>
      </c>
      <c r="F12" s="48" t="s">
        <v>53</v>
      </c>
      <c r="G12" s="48" t="s">
        <v>54</v>
      </c>
      <c r="H12" s="54" t="s">
        <v>39</v>
      </c>
      <c r="I12" s="53" t="s">
        <v>55</v>
      </c>
    </row>
    <row r="13" ht="43.5" customHeight="1" spans="1:9">
      <c r="A13" s="41">
        <v>10</v>
      </c>
      <c r="B13" s="41" t="s">
        <v>11</v>
      </c>
      <c r="C13" s="42" t="s">
        <v>56</v>
      </c>
      <c r="D13" s="43" t="s">
        <v>57</v>
      </c>
      <c r="E13" s="44" t="s">
        <v>33</v>
      </c>
      <c r="F13" s="42" t="s">
        <v>34</v>
      </c>
      <c r="G13" s="42" t="s">
        <v>58</v>
      </c>
      <c r="H13" s="56" t="s">
        <v>11</v>
      </c>
      <c r="I13" s="43"/>
    </row>
    <row r="14" ht="43.5" customHeight="1" spans="1:9">
      <c r="A14" s="47">
        <v>11</v>
      </c>
      <c r="B14" s="47" t="s">
        <v>11</v>
      </c>
      <c r="C14" s="48" t="s">
        <v>59</v>
      </c>
      <c r="D14" s="44" t="s">
        <v>26</v>
      </c>
      <c r="E14" s="44" t="s">
        <v>60</v>
      </c>
      <c r="F14" s="48" t="s">
        <v>28</v>
      </c>
      <c r="G14" s="44" t="s">
        <v>22</v>
      </c>
      <c r="H14" s="54" t="s">
        <v>22</v>
      </c>
      <c r="I14" s="57" t="s">
        <v>61</v>
      </c>
    </row>
    <row r="15" ht="43.5" customHeight="1" spans="1:9">
      <c r="A15" s="41">
        <v>12</v>
      </c>
      <c r="B15" s="41" t="s">
        <v>11</v>
      </c>
      <c r="C15" s="42" t="s">
        <v>62</v>
      </c>
      <c r="D15" s="43" t="s">
        <v>26</v>
      </c>
      <c r="E15" s="44" t="s">
        <v>63</v>
      </c>
      <c r="F15" s="42" t="s">
        <v>28</v>
      </c>
      <c r="G15" s="43" t="s">
        <v>22</v>
      </c>
      <c r="H15" s="49" t="s">
        <v>22</v>
      </c>
      <c r="I15" s="53" t="s">
        <v>64</v>
      </c>
    </row>
    <row r="16" ht="43.5" customHeight="1" spans="1:9">
      <c r="A16" s="47">
        <v>13</v>
      </c>
      <c r="B16" s="47" t="s">
        <v>11</v>
      </c>
      <c r="C16" s="48" t="s">
        <v>65</v>
      </c>
      <c r="D16" s="44" t="s">
        <v>26</v>
      </c>
      <c r="E16" s="44" t="s">
        <v>66</v>
      </c>
      <c r="F16" s="48" t="s">
        <v>67</v>
      </c>
      <c r="G16" s="48" t="s">
        <v>68</v>
      </c>
      <c r="H16" s="54" t="s">
        <v>39</v>
      </c>
      <c r="I16" s="57" t="s">
        <v>69</v>
      </c>
    </row>
    <row r="17" ht="43.5" customHeight="1" spans="1:9">
      <c r="A17" s="41">
        <v>14</v>
      </c>
      <c r="B17" s="41"/>
      <c r="C17" s="42" t="s">
        <v>70</v>
      </c>
      <c r="D17" s="43" t="s">
        <v>26</v>
      </c>
      <c r="E17" s="44" t="s">
        <v>71</v>
      </c>
      <c r="F17" s="42" t="s">
        <v>28</v>
      </c>
      <c r="G17" s="43" t="s">
        <v>22</v>
      </c>
      <c r="H17" s="58" t="s">
        <v>39</v>
      </c>
      <c r="I17" s="50" t="s">
        <v>72</v>
      </c>
    </row>
    <row r="18" ht="43.5" customHeight="1" spans="1:9">
      <c r="A18" s="47">
        <v>15</v>
      </c>
      <c r="B18" s="47"/>
      <c r="C18" s="48" t="s">
        <v>73</v>
      </c>
      <c r="D18" s="44" t="s">
        <v>26</v>
      </c>
      <c r="E18" s="44" t="s">
        <v>74</v>
      </c>
      <c r="F18" s="48" t="s">
        <v>28</v>
      </c>
      <c r="G18" s="44" t="s">
        <v>22</v>
      </c>
      <c r="H18" s="51" t="s">
        <v>39</v>
      </c>
      <c r="I18" s="44" t="s">
        <v>75</v>
      </c>
    </row>
    <row r="19" ht="43.5" customHeight="1" spans="1:9">
      <c r="A19" s="41">
        <v>16</v>
      </c>
      <c r="B19" s="41"/>
      <c r="C19" s="42" t="s">
        <v>76</v>
      </c>
      <c r="D19" s="43" t="s">
        <v>77</v>
      </c>
      <c r="E19" s="44">
        <v>1</v>
      </c>
      <c r="F19" s="43" t="s">
        <v>22</v>
      </c>
      <c r="G19" s="43" t="s">
        <v>22</v>
      </c>
      <c r="H19" s="45" t="s">
        <v>22</v>
      </c>
      <c r="I19" s="46" t="s">
        <v>78</v>
      </c>
    </row>
    <row r="20" ht="43.5" customHeight="1" spans="1:9">
      <c r="A20" s="47">
        <v>17</v>
      </c>
      <c r="B20" s="47" t="s">
        <v>11</v>
      </c>
      <c r="C20" s="48" t="s">
        <v>79</v>
      </c>
      <c r="D20" s="44" t="s">
        <v>20</v>
      </c>
      <c r="E20" s="44">
        <v>0</v>
      </c>
      <c r="F20" s="44" t="s">
        <v>22</v>
      </c>
      <c r="G20" s="44" t="s">
        <v>22</v>
      </c>
      <c r="H20" s="45" t="s">
        <v>22</v>
      </c>
      <c r="I20" s="46" t="s">
        <v>80</v>
      </c>
    </row>
    <row r="21" ht="43.5" customHeight="1" spans="1:9">
      <c r="A21" s="41">
        <v>18</v>
      </c>
      <c r="B21" s="41" t="s">
        <v>11</v>
      </c>
      <c r="C21" s="42" t="s">
        <v>81</v>
      </c>
      <c r="D21" s="43" t="s">
        <v>20</v>
      </c>
      <c r="E21" s="44">
        <v>0</v>
      </c>
      <c r="F21" s="43" t="s">
        <v>22</v>
      </c>
      <c r="G21" s="43" t="s">
        <v>22</v>
      </c>
      <c r="H21" s="45" t="s">
        <v>22</v>
      </c>
      <c r="I21" s="46" t="s">
        <v>80</v>
      </c>
    </row>
    <row r="22" ht="43.5" customHeight="1" spans="1:9">
      <c r="A22" s="47">
        <v>19</v>
      </c>
      <c r="B22" s="47" t="s">
        <v>11</v>
      </c>
      <c r="C22" s="48" t="s">
        <v>82</v>
      </c>
      <c r="D22" s="44" t="s">
        <v>37</v>
      </c>
      <c r="E22" s="44" t="s">
        <v>83</v>
      </c>
      <c r="F22" s="48" t="s">
        <v>28</v>
      </c>
      <c r="G22" s="44" t="s">
        <v>22</v>
      </c>
      <c r="H22" s="59" t="s">
        <v>22</v>
      </c>
      <c r="I22" s="44" t="s">
        <v>84</v>
      </c>
    </row>
    <row r="23" ht="43.5" customHeight="1" spans="1:9">
      <c r="A23" s="41">
        <v>20</v>
      </c>
      <c r="B23" s="41" t="s">
        <v>11</v>
      </c>
      <c r="C23" s="42" t="s">
        <v>85</v>
      </c>
      <c r="D23" s="43" t="s">
        <v>26</v>
      </c>
      <c r="E23" s="44" t="s">
        <v>86</v>
      </c>
      <c r="F23" s="42" t="s">
        <v>28</v>
      </c>
      <c r="G23" s="43" t="s">
        <v>22</v>
      </c>
      <c r="H23" s="58" t="s">
        <v>22</v>
      </c>
      <c r="I23" s="42" t="s">
        <v>87</v>
      </c>
    </row>
    <row r="24" ht="43.5" customHeight="1" spans="1:9">
      <c r="A24" s="47">
        <v>21</v>
      </c>
      <c r="B24" s="47"/>
      <c r="C24" s="48" t="s">
        <v>88</v>
      </c>
      <c r="D24" s="44" t="s">
        <v>13</v>
      </c>
      <c r="E24" s="44" t="s">
        <v>89</v>
      </c>
      <c r="F24" s="48" t="s">
        <v>90</v>
      </c>
      <c r="G24" s="48" t="s">
        <v>16</v>
      </c>
      <c r="H24" s="54" t="s">
        <v>39</v>
      </c>
      <c r="I24" s="48"/>
    </row>
    <row r="25" ht="43.5" customHeight="1" spans="1:9">
      <c r="A25" s="41">
        <v>22</v>
      </c>
      <c r="B25" s="41"/>
      <c r="C25" s="42" t="s">
        <v>91</v>
      </c>
      <c r="D25" s="43" t="s">
        <v>77</v>
      </c>
      <c r="E25" s="44">
        <v>0</v>
      </c>
      <c r="F25" s="43" t="s">
        <v>22</v>
      </c>
      <c r="G25" s="43" t="s">
        <v>22</v>
      </c>
      <c r="H25" s="45" t="s">
        <v>22</v>
      </c>
      <c r="I25" s="46" t="s">
        <v>80</v>
      </c>
    </row>
    <row r="26" ht="43.5" customHeight="1" spans="1:9">
      <c r="A26" s="47">
        <v>23</v>
      </c>
      <c r="B26" s="47"/>
      <c r="C26" s="48" t="s">
        <v>92</v>
      </c>
      <c r="D26" s="44" t="s">
        <v>13</v>
      </c>
      <c r="E26" s="44" t="s">
        <v>93</v>
      </c>
      <c r="F26" s="44" t="s">
        <v>22</v>
      </c>
      <c r="G26" s="44" t="s">
        <v>22</v>
      </c>
      <c r="H26" s="45" t="s">
        <v>22</v>
      </c>
      <c r="I26" s="46" t="s">
        <v>23</v>
      </c>
    </row>
    <row r="27" ht="43.5" customHeight="1" spans="1:9">
      <c r="A27" s="41">
        <v>24</v>
      </c>
      <c r="B27" s="41"/>
      <c r="C27" s="42" t="s">
        <v>94</v>
      </c>
      <c r="D27" s="43" t="s">
        <v>95</v>
      </c>
      <c r="E27" s="44" t="s">
        <v>93</v>
      </c>
      <c r="F27" s="43" t="s">
        <v>22</v>
      </c>
      <c r="G27" s="43" t="s">
        <v>22</v>
      </c>
      <c r="H27" s="45" t="s">
        <v>22</v>
      </c>
      <c r="I27" s="46" t="s">
        <v>23</v>
      </c>
    </row>
    <row r="28" ht="43.5" customHeight="1" spans="1:9">
      <c r="A28" s="47">
        <v>25</v>
      </c>
      <c r="B28" s="47"/>
      <c r="C28" s="48" t="s">
        <v>96</v>
      </c>
      <c r="D28" s="44" t="s">
        <v>97</v>
      </c>
      <c r="E28" s="44" t="s">
        <v>98</v>
      </c>
      <c r="F28" s="48" t="s">
        <v>28</v>
      </c>
      <c r="G28" s="44" t="s">
        <v>22</v>
      </c>
      <c r="H28" s="59" t="s">
        <v>22</v>
      </c>
      <c r="I28" s="55" t="s">
        <v>99</v>
      </c>
    </row>
    <row r="29" ht="43.5" customHeight="1" spans="1:9">
      <c r="A29" s="41">
        <v>26</v>
      </c>
      <c r="B29" s="41"/>
      <c r="C29" s="42" t="s">
        <v>100</v>
      </c>
      <c r="D29" s="43" t="s">
        <v>97</v>
      </c>
      <c r="E29" s="44" t="s">
        <v>93</v>
      </c>
      <c r="F29" s="43" t="s">
        <v>22</v>
      </c>
      <c r="G29" s="43" t="s">
        <v>22</v>
      </c>
      <c r="H29" s="45" t="s">
        <v>22</v>
      </c>
      <c r="I29" s="46" t="s">
        <v>23</v>
      </c>
    </row>
    <row r="30" ht="43.5" customHeight="1" spans="1:9">
      <c r="A30" s="47">
        <v>27</v>
      </c>
      <c r="B30" s="47"/>
      <c r="C30" s="48" t="s">
        <v>101</v>
      </c>
      <c r="D30" s="44" t="s">
        <v>97</v>
      </c>
      <c r="E30" s="44" t="s">
        <v>102</v>
      </c>
      <c r="F30" s="48" t="s">
        <v>28</v>
      </c>
      <c r="G30" s="44" t="s">
        <v>22</v>
      </c>
      <c r="H30" s="59" t="s">
        <v>22</v>
      </c>
      <c r="I30" s="55" t="s">
        <v>103</v>
      </c>
    </row>
    <row r="31" ht="43.5" customHeight="1" spans="1:9">
      <c r="A31" s="41">
        <v>28</v>
      </c>
      <c r="B31" s="41" t="s">
        <v>11</v>
      </c>
      <c r="C31" s="42" t="s">
        <v>104</v>
      </c>
      <c r="D31" s="43" t="s">
        <v>105</v>
      </c>
      <c r="E31" s="44" t="s">
        <v>106</v>
      </c>
      <c r="F31" s="42" t="s">
        <v>107</v>
      </c>
      <c r="G31" s="42" t="s">
        <v>108</v>
      </c>
      <c r="H31" s="52" t="s">
        <v>39</v>
      </c>
      <c r="I31" s="43" t="s">
        <v>109</v>
      </c>
    </row>
    <row r="32" ht="43.5" customHeight="1" spans="1:9">
      <c r="A32" s="47">
        <v>29</v>
      </c>
      <c r="B32" s="47" t="s">
        <v>11</v>
      </c>
      <c r="C32" s="48" t="s">
        <v>110</v>
      </c>
      <c r="D32" s="44" t="s">
        <v>20</v>
      </c>
      <c r="E32" s="44" t="s">
        <v>111</v>
      </c>
      <c r="F32" s="48" t="s">
        <v>112</v>
      </c>
      <c r="G32" s="48" t="s">
        <v>113</v>
      </c>
      <c r="H32" s="54" t="s">
        <v>39</v>
      </c>
      <c r="I32" s="44" t="s">
        <v>114</v>
      </c>
    </row>
    <row r="33" ht="43.5" customHeight="1" spans="1:9">
      <c r="A33" s="41">
        <v>30</v>
      </c>
      <c r="B33" s="41" t="s">
        <v>11</v>
      </c>
      <c r="C33" s="42" t="s">
        <v>115</v>
      </c>
      <c r="D33" s="43" t="s">
        <v>20</v>
      </c>
      <c r="E33" s="44" t="s">
        <v>116</v>
      </c>
      <c r="F33" s="42" t="s">
        <v>28</v>
      </c>
      <c r="G33" s="43" t="s">
        <v>22</v>
      </c>
      <c r="H33" s="49" t="s">
        <v>39</v>
      </c>
      <c r="I33" s="43" t="s">
        <v>117</v>
      </c>
    </row>
    <row r="34" ht="43.5" customHeight="1" spans="1:9">
      <c r="A34" s="47">
        <v>31</v>
      </c>
      <c r="B34" s="47" t="s">
        <v>11</v>
      </c>
      <c r="C34" s="48" t="s">
        <v>118</v>
      </c>
      <c r="D34" s="44" t="s">
        <v>20</v>
      </c>
      <c r="E34" s="44" t="s">
        <v>119</v>
      </c>
      <c r="F34" s="48" t="s">
        <v>28</v>
      </c>
      <c r="G34" s="44" t="s">
        <v>22</v>
      </c>
      <c r="H34" s="51" t="s">
        <v>39</v>
      </c>
      <c r="I34" s="55" t="s">
        <v>120</v>
      </c>
    </row>
    <row r="35" ht="43.5" customHeight="1" spans="1:9">
      <c r="A35" s="41">
        <v>32</v>
      </c>
      <c r="B35" s="41" t="s">
        <v>11</v>
      </c>
      <c r="C35" s="42" t="s">
        <v>121</v>
      </c>
      <c r="D35" s="43" t="s">
        <v>20</v>
      </c>
      <c r="E35" s="44" t="s">
        <v>122</v>
      </c>
      <c r="F35" s="42" t="s">
        <v>28</v>
      </c>
      <c r="G35" s="43" t="s">
        <v>22</v>
      </c>
      <c r="H35" s="49" t="s">
        <v>39</v>
      </c>
      <c r="I35" s="50" t="s">
        <v>123</v>
      </c>
    </row>
    <row r="36" ht="43.5" customHeight="1" spans="1:9">
      <c r="A36" s="47">
        <v>33</v>
      </c>
      <c r="B36" s="47" t="s">
        <v>11</v>
      </c>
      <c r="C36" s="48" t="s">
        <v>124</v>
      </c>
      <c r="D36" s="44" t="s">
        <v>125</v>
      </c>
      <c r="E36" s="44" t="s">
        <v>126</v>
      </c>
      <c r="F36" s="48" t="s">
        <v>28</v>
      </c>
      <c r="G36" s="44" t="s">
        <v>22</v>
      </c>
      <c r="H36" s="51" t="s">
        <v>39</v>
      </c>
      <c r="I36" s="44" t="s">
        <v>127</v>
      </c>
    </row>
    <row r="37" ht="43.5" customHeight="1" spans="1:9">
      <c r="A37" s="41">
        <v>34</v>
      </c>
      <c r="B37" s="41" t="s">
        <v>11</v>
      </c>
      <c r="C37" s="43" t="s">
        <v>128</v>
      </c>
      <c r="D37" s="43" t="s">
        <v>129</v>
      </c>
      <c r="E37" s="44" t="s">
        <v>130</v>
      </c>
      <c r="F37" s="42" t="s">
        <v>131</v>
      </c>
      <c r="G37" s="42" t="s">
        <v>132</v>
      </c>
      <c r="H37" s="52" t="s">
        <v>39</v>
      </c>
      <c r="I37" s="42" t="s">
        <v>133</v>
      </c>
    </row>
    <row r="38" ht="43.5" customHeight="1" spans="1:9">
      <c r="A38" s="47">
        <v>35</v>
      </c>
      <c r="B38" s="47"/>
      <c r="C38" s="48" t="s">
        <v>134</v>
      </c>
      <c r="D38" s="44" t="s">
        <v>26</v>
      </c>
      <c r="E38" s="44" t="s">
        <v>135</v>
      </c>
      <c r="F38" s="48" t="s">
        <v>136</v>
      </c>
      <c r="G38" s="48" t="s">
        <v>137</v>
      </c>
      <c r="H38" s="54" t="s">
        <v>39</v>
      </c>
      <c r="I38" s="44" t="s">
        <v>138</v>
      </c>
    </row>
  </sheetData>
  <autoFilter xmlns:etc="http://www.wps.cn/officeDocument/2017/etCustomData" ref="A3:I38" etc:filterBottomFollowUsedRange="0">
    <extLst/>
  </autoFilter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pane ySplit="2" topLeftCell="A3" activePane="bottomLeft" state="frozen"/>
      <selection/>
      <selection pane="bottomLeft" activeCell="E17" sqref="E17"/>
    </sheetView>
  </sheetViews>
  <sheetFormatPr defaultColWidth="8.67619047619048" defaultRowHeight="15" outlineLevelRow="5" outlineLevelCol="4"/>
  <cols>
    <col min="1" max="1" width="30" customWidth="1"/>
    <col min="2" max="2" width="18" customWidth="1"/>
    <col min="3" max="4" width="8" customWidth="1"/>
    <col min="5" max="5" width="65" customWidth="1"/>
  </cols>
  <sheetData>
    <row r="1" ht="24" customHeight="1" spans="1:5">
      <c r="A1" s="23" t="s">
        <v>139</v>
      </c>
      <c r="B1" s="23"/>
      <c r="C1" s="23"/>
      <c r="D1" s="23"/>
      <c r="E1" s="23"/>
    </row>
    <row r="2" spans="1:5">
      <c r="A2" s="24" t="s">
        <v>140</v>
      </c>
      <c r="B2" s="24" t="s">
        <v>9</v>
      </c>
      <c r="C2" s="24" t="s">
        <v>141</v>
      </c>
      <c r="D2" s="24" t="s">
        <v>142</v>
      </c>
      <c r="E2" s="24" t="s">
        <v>143</v>
      </c>
    </row>
    <row r="3" ht="30" spans="1:5">
      <c r="A3" s="25" t="s">
        <v>144</v>
      </c>
      <c r="B3" s="26" t="s">
        <v>145</v>
      </c>
      <c r="C3" s="25">
        <f>COUNTIF('仕入伝票(purchase_slip)'!H4:H38,"○")</f>
        <v>2</v>
      </c>
      <c r="D3" s="25" t="str">
        <f>TEXT(C3/COUNTA('仕入伝票(purchase_slip)'!A4:A38),"0%")</f>
        <v>6%</v>
      </c>
      <c r="E3" s="25" t="s">
        <v>146</v>
      </c>
    </row>
    <row r="4" ht="29.25" spans="1:5">
      <c r="A4" s="27" t="s">
        <v>144</v>
      </c>
      <c r="B4" s="28" t="s">
        <v>147</v>
      </c>
      <c r="C4" s="27">
        <f>COUNTIF('仕入伝票(purchase_slip)'!H4:H38,"△")</f>
        <v>16</v>
      </c>
      <c r="D4" s="27" t="str">
        <f>TEXT(C4/COUNTA('仕入伝票(purchase_slip)'!A4:A38),"0%")</f>
        <v>46%</v>
      </c>
      <c r="E4" s="27" t="s">
        <v>148</v>
      </c>
    </row>
    <row r="5" ht="43.5" spans="1:5">
      <c r="A5" s="25" t="s">
        <v>144</v>
      </c>
      <c r="B5" s="29" t="s">
        <v>149</v>
      </c>
      <c r="C5" s="25">
        <f>COUNTIF('仕入伝票(purchase_slip)'!H4:H38,"✕")</f>
        <v>1</v>
      </c>
      <c r="D5" s="25" t="str">
        <f>TEXT(C5/COUNTA('仕入伝票(purchase_slip)'!A4:A38),"0%")</f>
        <v>3%</v>
      </c>
      <c r="E5" s="25" t="s">
        <v>150</v>
      </c>
    </row>
    <row r="6" ht="28.5" spans="1:5">
      <c r="A6" s="27" t="s">
        <v>144</v>
      </c>
      <c r="B6" s="30" t="s">
        <v>151</v>
      </c>
      <c r="C6" s="27">
        <f>COUNTIF('仕入伝票(purchase_slip)'!H4:H38,"―")</f>
        <v>15</v>
      </c>
      <c r="D6" s="27" t="str">
        <f>TEXT(C6/COUNTA('仕入伝票(purchase_slip)'!A4:A38),"0%")</f>
        <v>43%</v>
      </c>
      <c r="E6" s="27" t="s">
        <v>152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showGridLines="0" workbookViewId="0">
      <selection activeCell="I18" sqref="I18"/>
    </sheetView>
  </sheetViews>
  <sheetFormatPr defaultColWidth="9.14285714285714" defaultRowHeight="15"/>
  <cols>
    <col min="1" max="1" width="5.57142857142857" customWidth="1"/>
    <col min="2" max="2" width="9.14285714285714" customWidth="1"/>
    <col min="3" max="3" width="20.7142857142857" customWidth="1"/>
    <col min="4" max="4" width="21.5714285714286" customWidth="1"/>
    <col min="5" max="6" width="7.57142857142857" customWidth="1"/>
    <col min="7" max="8" width="4.71428571428571" customWidth="1"/>
    <col min="9" max="9" width="49.4285714285714" customWidth="1"/>
  </cols>
  <sheetData>
    <row r="1" spans="1:9">
      <c r="A1" s="1" t="s">
        <v>153</v>
      </c>
      <c r="B1" s="2"/>
      <c r="C1" s="3"/>
      <c r="D1" s="4" t="s">
        <v>154</v>
      </c>
      <c r="E1" s="5"/>
      <c r="F1" s="5"/>
      <c r="G1" s="6"/>
      <c r="H1" s="6"/>
      <c r="I1" s="5"/>
    </row>
    <row r="2" spans="1:9">
      <c r="A2" s="1" t="s">
        <v>155</v>
      </c>
      <c r="B2" s="2"/>
      <c r="C2" s="3"/>
      <c r="D2" s="4" t="s">
        <v>156</v>
      </c>
      <c r="E2" s="5"/>
      <c r="F2" s="5"/>
      <c r="G2" s="6"/>
      <c r="H2" s="6"/>
      <c r="I2" s="5"/>
    </row>
    <row r="3" spans="1:9">
      <c r="A3" s="1" t="s">
        <v>157</v>
      </c>
      <c r="B3" s="2"/>
      <c r="C3" s="3"/>
      <c r="D3" s="4" t="s">
        <v>158</v>
      </c>
      <c r="E3" s="5"/>
      <c r="F3" s="5"/>
      <c r="G3" s="6"/>
      <c r="H3" s="6"/>
      <c r="I3" s="5"/>
    </row>
    <row r="4" spans="1:9">
      <c r="A4" s="7" t="s">
        <v>159</v>
      </c>
      <c r="B4" s="8" t="s">
        <v>160</v>
      </c>
      <c r="C4" s="9"/>
      <c r="D4" s="4" t="s">
        <v>161</v>
      </c>
      <c r="E4" s="5"/>
      <c r="F4" s="5"/>
      <c r="G4" s="6"/>
      <c r="H4" s="6"/>
      <c r="I4" s="5"/>
    </row>
    <row r="5" spans="1:9">
      <c r="A5" s="10"/>
      <c r="B5" s="8" t="s">
        <v>162</v>
      </c>
      <c r="C5" s="9"/>
      <c r="D5" s="4" t="s">
        <v>163</v>
      </c>
      <c r="E5" s="5"/>
      <c r="F5" s="5"/>
      <c r="G5" s="6"/>
      <c r="H5" s="6"/>
      <c r="I5" s="5"/>
    </row>
    <row r="6" spans="1:9">
      <c r="A6" s="11"/>
      <c r="B6" s="8" t="s">
        <v>164</v>
      </c>
      <c r="C6" s="9"/>
      <c r="D6" s="4" t="s">
        <v>165</v>
      </c>
      <c r="E6" s="5"/>
      <c r="F6" s="5"/>
      <c r="G6" s="6"/>
      <c r="H6" s="6"/>
      <c r="I6" s="5"/>
    </row>
    <row r="7" spans="1:9">
      <c r="A7" s="7" t="s">
        <v>166</v>
      </c>
      <c r="B7" s="8" t="s">
        <v>167</v>
      </c>
      <c r="C7" s="9"/>
      <c r="D7" s="12" t="s">
        <v>168</v>
      </c>
      <c r="E7" s="5"/>
      <c r="F7" s="5"/>
      <c r="G7" s="6"/>
      <c r="H7" s="6"/>
      <c r="I7" s="5"/>
    </row>
    <row r="8" spans="1:9">
      <c r="A8" s="10"/>
      <c r="B8" s="8" t="s">
        <v>169</v>
      </c>
      <c r="C8" s="9"/>
      <c r="D8" s="4" t="s">
        <v>170</v>
      </c>
      <c r="E8" s="5"/>
      <c r="F8" s="5"/>
      <c r="G8" s="6"/>
      <c r="H8" s="6"/>
      <c r="I8" s="5"/>
    </row>
    <row r="9" spans="1:9">
      <c r="A9" s="11"/>
      <c r="B9" s="8" t="s">
        <v>171</v>
      </c>
      <c r="C9" s="9"/>
      <c r="D9" s="4" t="s">
        <v>172</v>
      </c>
      <c r="E9" s="5"/>
      <c r="F9" s="5"/>
      <c r="G9" s="6"/>
      <c r="H9" s="6"/>
      <c r="I9" s="5"/>
    </row>
    <row r="10" spans="1:9">
      <c r="A10" s="13"/>
      <c r="B10" s="13"/>
      <c r="C10" s="13"/>
      <c r="D10" s="13"/>
      <c r="E10" s="13"/>
      <c r="F10" s="13">
        <v>512</v>
      </c>
      <c r="G10" s="14"/>
      <c r="H10" s="14"/>
      <c r="I10" s="13"/>
    </row>
    <row r="11" ht="84" spans="1:9">
      <c r="A11" s="15" t="s">
        <v>173</v>
      </c>
      <c r="B11" s="16" t="s">
        <v>174</v>
      </c>
      <c r="C11" s="16"/>
      <c r="D11" s="16"/>
      <c r="E11" s="16"/>
      <c r="F11" s="16"/>
      <c r="G11" s="16"/>
      <c r="H11" s="16"/>
      <c r="I11" s="16"/>
    </row>
    <row r="12" spans="1:9">
      <c r="A12" s="17"/>
      <c r="B12" s="18" t="s">
        <v>175</v>
      </c>
      <c r="C12" s="18" t="s">
        <v>176</v>
      </c>
      <c r="D12" s="18" t="s">
        <v>177</v>
      </c>
      <c r="E12" s="18" t="s">
        <v>178</v>
      </c>
      <c r="F12" s="18" t="s">
        <v>179</v>
      </c>
      <c r="G12" s="19" t="s">
        <v>3</v>
      </c>
      <c r="H12" s="19" t="s">
        <v>180</v>
      </c>
      <c r="I12" s="18" t="s">
        <v>181</v>
      </c>
    </row>
    <row r="13" spans="1:9">
      <c r="A13" s="20"/>
      <c r="B13" s="21">
        <v>1</v>
      </c>
      <c r="C13" s="21" t="s">
        <v>182</v>
      </c>
      <c r="D13" s="21"/>
      <c r="E13" s="21" t="s">
        <v>183</v>
      </c>
      <c r="F13" s="21">
        <v>2</v>
      </c>
      <c r="G13" s="22"/>
      <c r="H13" s="22"/>
      <c r="I13" s="21" t="s">
        <v>184</v>
      </c>
    </row>
    <row r="14" spans="1:9">
      <c r="A14" s="20"/>
      <c r="B14" s="21">
        <v>2</v>
      </c>
      <c r="C14" s="21" t="s">
        <v>185</v>
      </c>
      <c r="D14" s="21"/>
      <c r="E14" s="21" t="s">
        <v>183</v>
      </c>
      <c r="F14" s="21">
        <v>8</v>
      </c>
      <c r="G14" s="22" t="s">
        <v>186</v>
      </c>
      <c r="H14" s="22"/>
      <c r="I14" s="20" t="s">
        <v>187</v>
      </c>
    </row>
    <row r="15" spans="1:9">
      <c r="A15" s="20"/>
      <c r="B15" s="21">
        <v>3</v>
      </c>
      <c r="C15" s="21" t="s">
        <v>188</v>
      </c>
      <c r="D15" s="21"/>
      <c r="E15" s="21" t="s">
        <v>189</v>
      </c>
      <c r="F15" s="21">
        <v>8</v>
      </c>
      <c r="G15" s="22" t="s">
        <v>186</v>
      </c>
      <c r="H15" s="22"/>
      <c r="I15" s="20" t="s">
        <v>187</v>
      </c>
    </row>
    <row r="16" spans="1:9">
      <c r="A16" s="20"/>
      <c r="B16" s="21">
        <v>4</v>
      </c>
      <c r="C16" s="21" t="s">
        <v>53</v>
      </c>
      <c r="D16" s="21"/>
      <c r="E16" s="21" t="s">
        <v>183</v>
      </c>
      <c r="F16" s="21">
        <v>6</v>
      </c>
      <c r="G16" s="22" t="s">
        <v>186</v>
      </c>
      <c r="H16" s="22"/>
      <c r="I16" s="21" t="s">
        <v>190</v>
      </c>
    </row>
    <row r="17" spans="1:9">
      <c r="A17" s="20"/>
      <c r="B17" s="21">
        <v>5</v>
      </c>
      <c r="C17" s="21" t="s">
        <v>48</v>
      </c>
      <c r="D17" s="21"/>
      <c r="E17" s="21" t="s">
        <v>183</v>
      </c>
      <c r="F17" s="21">
        <v>9</v>
      </c>
      <c r="G17" s="22" t="s">
        <v>186</v>
      </c>
      <c r="H17" s="22"/>
      <c r="I17" s="20" t="s">
        <v>191</v>
      </c>
    </row>
    <row r="18" spans="1:9">
      <c r="A18" s="20"/>
      <c r="B18" s="21">
        <v>6</v>
      </c>
      <c r="C18" s="21" t="s">
        <v>67</v>
      </c>
      <c r="D18" s="21"/>
      <c r="E18" s="21" t="s">
        <v>183</v>
      </c>
      <c r="F18" s="21">
        <v>2</v>
      </c>
      <c r="G18" s="22"/>
      <c r="H18" s="22"/>
      <c r="I18" s="20" t="s">
        <v>192</v>
      </c>
    </row>
    <row r="19" ht="60" spans="1:9">
      <c r="A19" s="20"/>
      <c r="B19" s="21">
        <v>7</v>
      </c>
      <c r="C19" s="21" t="s">
        <v>193</v>
      </c>
      <c r="D19" s="21"/>
      <c r="E19" s="21" t="s">
        <v>183</v>
      </c>
      <c r="F19" s="21">
        <v>2</v>
      </c>
      <c r="G19" s="22" t="s">
        <v>186</v>
      </c>
      <c r="H19" s="22"/>
      <c r="I19" s="20" t="s">
        <v>194</v>
      </c>
    </row>
    <row r="20" spans="1:9">
      <c r="A20" s="20"/>
      <c r="B20" s="21">
        <v>8</v>
      </c>
      <c r="C20" s="21" t="s">
        <v>195</v>
      </c>
      <c r="D20" s="21"/>
      <c r="E20" s="21" t="s">
        <v>183</v>
      </c>
      <c r="F20" s="21">
        <v>8</v>
      </c>
      <c r="G20" s="22" t="s">
        <v>186</v>
      </c>
      <c r="H20" s="22"/>
      <c r="I20" s="20" t="s">
        <v>196</v>
      </c>
    </row>
    <row r="21" spans="1:9">
      <c r="A21" s="20"/>
      <c r="B21" s="21">
        <v>9</v>
      </c>
      <c r="C21" s="21" t="s">
        <v>15</v>
      </c>
      <c r="D21" s="21"/>
      <c r="E21" s="21" t="s">
        <v>183</v>
      </c>
      <c r="F21" s="21">
        <v>8</v>
      </c>
      <c r="G21" s="22" t="s">
        <v>186</v>
      </c>
      <c r="H21" s="22"/>
      <c r="I21" s="20" t="s">
        <v>197</v>
      </c>
    </row>
    <row r="22" spans="1:9">
      <c r="A22" s="20"/>
      <c r="B22" s="21">
        <v>10</v>
      </c>
      <c r="C22" s="21" t="s">
        <v>88</v>
      </c>
      <c r="D22" s="21"/>
      <c r="E22" s="21" t="s">
        <v>183</v>
      </c>
      <c r="F22" s="21">
        <v>8</v>
      </c>
      <c r="G22" s="22" t="s">
        <v>186</v>
      </c>
      <c r="H22" s="22" t="s">
        <v>186</v>
      </c>
      <c r="I22" s="20" t="s">
        <v>198</v>
      </c>
    </row>
    <row r="23" spans="1:9">
      <c r="A23" s="20"/>
      <c r="B23" s="21">
        <v>11</v>
      </c>
      <c r="C23" s="21" t="s">
        <v>199</v>
      </c>
      <c r="D23" s="21"/>
      <c r="E23" s="21" t="s">
        <v>183</v>
      </c>
      <c r="F23" s="21">
        <v>2</v>
      </c>
      <c r="G23" s="22" t="s">
        <v>186</v>
      </c>
      <c r="H23" s="22"/>
      <c r="I23" s="20" t="s">
        <v>200</v>
      </c>
    </row>
    <row r="24" spans="1:9">
      <c r="A24" s="20"/>
      <c r="B24" s="21">
        <v>12</v>
      </c>
      <c r="C24" s="21" t="s">
        <v>41</v>
      </c>
      <c r="D24" s="21"/>
      <c r="E24" s="21" t="s">
        <v>183</v>
      </c>
      <c r="F24" s="21">
        <v>2</v>
      </c>
      <c r="G24" s="22" t="s">
        <v>186</v>
      </c>
      <c r="H24" s="22"/>
      <c r="I24" s="20" t="s">
        <v>201</v>
      </c>
    </row>
    <row r="25" spans="1:9">
      <c r="A25" s="20"/>
      <c r="B25" s="21">
        <v>13</v>
      </c>
      <c r="C25" s="21" t="s">
        <v>202</v>
      </c>
      <c r="D25" s="21"/>
      <c r="E25" s="21" t="s">
        <v>183</v>
      </c>
      <c r="F25" s="21">
        <v>2</v>
      </c>
      <c r="G25" s="22"/>
      <c r="H25" s="22"/>
      <c r="I25" s="20" t="s">
        <v>203</v>
      </c>
    </row>
    <row r="26" spans="1:9">
      <c r="A26" s="20"/>
      <c r="B26" s="21">
        <v>14</v>
      </c>
      <c r="C26" s="21" t="s">
        <v>204</v>
      </c>
      <c r="D26" s="21"/>
      <c r="E26" s="21" t="s">
        <v>183</v>
      </c>
      <c r="F26" s="21">
        <v>4</v>
      </c>
      <c r="G26" s="22"/>
      <c r="H26" s="22"/>
      <c r="I26" s="20" t="s">
        <v>205</v>
      </c>
    </row>
    <row r="27" spans="1:9">
      <c r="A27" s="20"/>
      <c r="B27" s="21">
        <v>15</v>
      </c>
      <c r="C27" s="21" t="s">
        <v>31</v>
      </c>
      <c r="D27" s="21"/>
      <c r="E27" s="21" t="s">
        <v>183</v>
      </c>
      <c r="F27" s="21">
        <v>10</v>
      </c>
      <c r="G27" s="22" t="s">
        <v>186</v>
      </c>
      <c r="H27" s="22"/>
      <c r="I27" s="20" t="s">
        <v>56</v>
      </c>
    </row>
    <row r="28" spans="1:9">
      <c r="A28" s="20"/>
      <c r="B28" s="21">
        <v>16</v>
      </c>
      <c r="C28" s="21" t="s">
        <v>107</v>
      </c>
      <c r="D28" s="21"/>
      <c r="E28" s="21" t="s">
        <v>189</v>
      </c>
      <c r="F28" s="21">
        <v>3</v>
      </c>
      <c r="G28" s="22" t="s">
        <v>186</v>
      </c>
      <c r="H28" s="22"/>
      <c r="I28" s="21" t="s">
        <v>104</v>
      </c>
    </row>
    <row r="29" spans="1:9">
      <c r="A29" s="20"/>
      <c r="B29" s="21">
        <v>17</v>
      </c>
      <c r="C29" s="21" t="s">
        <v>131</v>
      </c>
      <c r="D29" s="21"/>
      <c r="E29" s="21" t="s">
        <v>183</v>
      </c>
      <c r="F29" s="21">
        <v>14</v>
      </c>
      <c r="G29" s="22" t="s">
        <v>186</v>
      </c>
      <c r="H29" s="22"/>
      <c r="I29" s="21"/>
    </row>
    <row r="30" spans="1:9">
      <c r="A30" s="20"/>
      <c r="B30" s="21">
        <v>18</v>
      </c>
      <c r="C30" s="21" t="s">
        <v>206</v>
      </c>
      <c r="D30" s="21"/>
      <c r="E30" s="21" t="s">
        <v>189</v>
      </c>
      <c r="F30" s="21">
        <v>7</v>
      </c>
      <c r="G30" s="22"/>
      <c r="H30" s="22"/>
      <c r="I30" s="21"/>
    </row>
    <row r="31" spans="1:9">
      <c r="A31" s="20"/>
      <c r="B31" s="21">
        <v>19</v>
      </c>
      <c r="C31" s="21" t="s">
        <v>207</v>
      </c>
      <c r="D31" s="21"/>
      <c r="E31" s="21" t="s">
        <v>189</v>
      </c>
      <c r="F31" s="21">
        <v>7</v>
      </c>
      <c r="G31" s="22" t="s">
        <v>186</v>
      </c>
      <c r="H31" s="22"/>
      <c r="I31" s="20"/>
    </row>
    <row r="32" spans="1:9">
      <c r="A32" s="20"/>
      <c r="B32" s="21">
        <v>20</v>
      </c>
      <c r="C32" s="20" t="s">
        <v>112</v>
      </c>
      <c r="D32" s="21"/>
      <c r="E32" s="21" t="s">
        <v>189</v>
      </c>
      <c r="F32" s="21">
        <v>7</v>
      </c>
      <c r="G32" s="22" t="s">
        <v>186</v>
      </c>
      <c r="H32" s="22" t="s">
        <v>186</v>
      </c>
      <c r="I32" s="21" t="s">
        <v>208</v>
      </c>
    </row>
    <row r="33" ht="24" spans="1:9">
      <c r="A33" s="20"/>
      <c r="B33" s="21">
        <v>21</v>
      </c>
      <c r="C33" s="21" t="s">
        <v>136</v>
      </c>
      <c r="D33" s="21"/>
      <c r="E33" s="21" t="s">
        <v>183</v>
      </c>
      <c r="F33" s="21">
        <v>5</v>
      </c>
      <c r="G33" s="22" t="s">
        <v>186</v>
      </c>
      <c r="H33" s="22" t="s">
        <v>186</v>
      </c>
      <c r="I33" s="20" t="s">
        <v>209</v>
      </c>
    </row>
    <row r="34" ht="36" spans="1:9">
      <c r="A34" s="20"/>
      <c r="B34" s="21">
        <v>22</v>
      </c>
      <c r="C34" s="21" t="s">
        <v>210</v>
      </c>
      <c r="D34" s="21"/>
      <c r="E34" s="21" t="s">
        <v>189</v>
      </c>
      <c r="F34" s="21">
        <v>7</v>
      </c>
      <c r="G34" s="22" t="s">
        <v>186</v>
      </c>
      <c r="H34" s="22" t="s">
        <v>186</v>
      </c>
      <c r="I34" s="20" t="s">
        <v>211</v>
      </c>
    </row>
    <row r="35" spans="1:9">
      <c r="A35" s="20"/>
      <c r="B35" s="21">
        <v>23</v>
      </c>
      <c r="C35" s="21" t="s">
        <v>212</v>
      </c>
      <c r="D35" s="21"/>
      <c r="E35" s="21" t="s">
        <v>183</v>
      </c>
      <c r="F35" s="21">
        <v>381</v>
      </c>
      <c r="G35" s="22"/>
      <c r="H35" s="22"/>
      <c r="I35" s="20" t="s">
        <v>213</v>
      </c>
    </row>
    <row r="36" spans="1:9">
      <c r="A36" s="20"/>
      <c r="B36" s="21"/>
      <c r="C36" s="21"/>
      <c r="D36" s="21"/>
      <c r="E36" s="21"/>
      <c r="F36" s="21"/>
      <c r="G36" s="22"/>
      <c r="H36" s="22"/>
      <c r="I36" s="20"/>
    </row>
    <row r="37" spans="1:9">
      <c r="A37" s="20"/>
      <c r="B37" s="21"/>
      <c r="C37" s="21"/>
      <c r="D37" s="21"/>
      <c r="E37" s="21"/>
      <c r="F37" s="21"/>
      <c r="G37" s="22"/>
      <c r="H37" s="22"/>
      <c r="I37" s="20"/>
    </row>
  </sheetData>
  <conditionalFormatting sqref="B11:C11">
    <cfRule type="expression" dxfId="0" priority="10" stopIfTrue="1">
      <formula>#REF!&lt;&gt;"SAMCING"</formula>
    </cfRule>
    <cfRule type="expression" dxfId="1" priority="9" stopIfTrue="1">
      <formula>#REF!="SAMCING"</formula>
    </cfRule>
  </conditionalFormatting>
  <conditionalFormatting sqref="B12">
    <cfRule type="expression" dxfId="0" priority="6" stopIfTrue="1">
      <formula>#REF!&lt;&gt;"SAMCING"</formula>
    </cfRule>
    <cfRule type="expression" dxfId="1" priority="5" stopIfTrue="1">
      <formula>#REF!="SAMCING"</formula>
    </cfRule>
  </conditionalFormatting>
  <conditionalFormatting sqref="C12:F12">
    <cfRule type="expression" dxfId="0" priority="12" stopIfTrue="1">
      <formula>#REF!&lt;&gt;"SAMCING"</formula>
    </cfRule>
    <cfRule type="expression" dxfId="1" priority="11" stopIfTrue="1">
      <formula>#REF!="SAMCING"</formula>
    </cfRule>
  </conditionalFormatting>
  <conditionalFormatting sqref="G12">
    <cfRule type="expression" dxfId="0" priority="4" stopIfTrue="1">
      <formula>#REF!&lt;&gt;"SAMCING"</formula>
    </cfRule>
    <cfRule type="expression" dxfId="1" priority="3" stopIfTrue="1">
      <formula>#REF!="SAMCING"</formula>
    </cfRule>
  </conditionalFormatting>
  <conditionalFormatting sqref="H12">
    <cfRule type="expression" dxfId="0" priority="2" stopIfTrue="1">
      <formula>#REF!&lt;&gt;"SAMCING"</formula>
    </cfRule>
    <cfRule type="expression" dxfId="1" priority="1" stopIfTrue="1">
      <formula>#REF!="SAMCING"</formula>
    </cfRule>
  </conditionalFormatting>
  <conditionalFormatting sqref="I12">
    <cfRule type="expression" dxfId="0" priority="8" stopIfTrue="1">
      <formula>#REF!&lt;&gt;"SAMCING"</formula>
    </cfRule>
    <cfRule type="expression" dxfId="1" priority="7" stopIfTrue="1">
      <formula>#REF!="SAMCING"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仕入伝票(purchase_slip)</vt:lpstr>
      <vt:lpstr>判定サマリ</vt:lpstr>
      <vt:lpstr>入出力仕様(Hitluster)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cp:revision>0</cp:revision>
  <dcterms:created xsi:type="dcterms:W3CDTF">2026-07-09T01:49:00Z</dcterms:created>
  <dcterms:modified xsi:type="dcterms:W3CDTF">2026-08-21T06:49:15Z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7DA68651ADA142E6A35A8D51FF443485_12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