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400030801_西友ﾄﾗｲｱﾙ基幹統合PJ MDSCM\11.TC総量入荷実績データ\"/>
    </mc:Choice>
  </mc:AlternateContent>
  <bookViews>
    <workbookView windowWidth="28800" windowHeight="12240" tabRatio="500"/>
  </bookViews>
  <sheets>
    <sheet name="仕入伝票(purchase_slip)" sheetId="1" r:id="rId1"/>
    <sheet name="判定サマリ" sheetId="2" state="hidden" r:id="rId2"/>
    <sheet name="入出力仕様(Hitluster)" sheetId="10" r:id="rId3"/>
    <sheet name="項目比較" sheetId="3" r:id="rId4"/>
    <sheet name="Sheet2" sheetId="4" r:id="rId5"/>
    <sheet name="サンプルデータ" sheetId="5" r:id="rId6"/>
    <sheet name="Sheet3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_FilterDatabase" localSheetId="0" hidden="1">'仕入伝票(purchase_slip)'!$A$3:$I$38</definedName>
    <definedName name="_xlnm._FilterDatabase" localSheetId="4" hidden="1">Sheet2!$A$5:$M$40</definedName>
    <definedName name="_xlnm._FilterDatabase" localSheetId="6" hidden="1">Sheet3!$D$1:$E$342</definedName>
    <definedName name="__123Graph_A" hidden="1">[11]ﾌﾟﾚｾﾞﾝ資!$BK$256:$BV$256</definedName>
    <definedName name="__123Graph_ASEN" hidden="1">#REF!</definedName>
    <definedName name="__123Graph_Aウィンスロップ" hidden="1">[11]ﾌﾟﾚｾﾞﾝ資!$AD$215:$AG$215</definedName>
    <definedName name="__123Graph_Aオーラルケア" hidden="1">[11]ﾌﾟﾚｾﾞﾝ資!$AD$115:$AG$115</definedName>
    <definedName name="_______123Graph_Aｸﾞﾗﾌ_1" hidden="1">#REF!</definedName>
    <definedName name="____123Graph_Aｸﾞﾗﾌ_2" hidden="1">#REF!</definedName>
    <definedName name="__123Graph_Aスキンケア" hidden="1">[11]ﾌﾟﾚｾﾞﾝ資!$AD$105:$AG$105</definedName>
    <definedName name="__123Graph_Aその他" hidden="1">[11]ﾌﾟﾚｾﾞﾝ資!$AD$205:$AG$205</definedName>
    <definedName name="__123Graph_Aフットケア" hidden="1">[11]ﾌﾟﾚｾﾞﾝ資!$AD$125:$AG$125</definedName>
    <definedName name="__123Graph_A医薬品" hidden="1">[11]ﾌﾟﾚｾﾞﾝ資!$AD$95:$AG$95</definedName>
    <definedName name="__123Graph_A衛生関連" hidden="1">[11]ﾌﾟﾚｾﾞﾝ資!$AD$140:$AG$140</definedName>
    <definedName name="__123Graph_A月別カテゴリー" hidden="1">[11]ﾌﾟﾚｾﾞﾝ資!$AD$57:$AO$57</definedName>
    <definedName name="__123Graph_A月別実績" hidden="1">[11]ﾌﾟﾚｾﾞﾝ資!$BK$250:$BV$250</definedName>
    <definedName name="__123Graph_A構成比1" hidden="1">[11]ﾌﾟﾚｾﾞﾝ資!$AW$226:$AW$234</definedName>
    <definedName name="__123Graph_A構成比2" hidden="1">[11]ﾌﾟﾚｾﾞﾝ資!$BA$226:$BA$234</definedName>
    <definedName name="__123Graph_A収納箱" hidden="1">[11]ﾌﾟﾚｾﾞﾝ資!$AD$170:$AG$170</definedName>
    <definedName name="__123Graph_A住居洗剤" hidden="1">[11]ﾌﾟﾚｾﾞﾝ資!$AD$185:$AG$185</definedName>
    <definedName name="__123Graph_A除湿剤" hidden="1">[11]ﾌﾟﾚｾﾞﾝ資!$AD$195:$AL$195</definedName>
    <definedName name="__123Graph_A全品目" hidden="1">[11]ﾌﾟﾚｾﾞﾝ資!$BK$256:$BN$256</definedName>
    <definedName name="__123Graph_A売上推移" hidden="1">[11]ﾌﾟﾚｾﾞﾝ資!$O$47:$O$51</definedName>
    <definedName name="__123Graph_A芳香剤関連" hidden="1">[11]ﾌﾟﾚｾﾞﾝ資!$AD$150:$AG$150</definedName>
    <definedName name="__123Graph_A防虫剤" hidden="1">[11]ﾌﾟﾚｾﾞﾝ資!$AD$160:$AG$160</definedName>
    <definedName name="__123Graph_A累計実績" hidden="1">[11]ﾌﾟﾚｾﾞﾝ資!$M$63:$X$63</definedName>
    <definedName name="__123Graph_B" hidden="1">[11]ﾌﾟﾚｾﾞﾝ資!$BK$257:$BV$257</definedName>
    <definedName name="__123Graph_BSEN" hidden="1">#REF!</definedName>
    <definedName name="__123Graph_Bウィンスロップ" hidden="1">[11]ﾌﾟﾚｾﾞﾝ資!$AD$216:$AO$216</definedName>
    <definedName name="__123Graph_Bオーラルケア" hidden="1">[11]ﾌﾟﾚｾﾞﾝ資!$AD$116:$AO$116</definedName>
    <definedName name="__123Graph_Bスキンケア" hidden="1">[11]ﾌﾟﾚｾﾞﾝ資!$AD$106:$AO$106</definedName>
    <definedName name="__123Graph_Bその他" hidden="1">[11]ﾌﾟﾚｾﾞﾝ資!$AD$206:$AO$206</definedName>
    <definedName name="__123Graph_Bフットケア" hidden="1">[11]ﾌﾟﾚｾﾞﾝ資!$AD$126:$AO$126</definedName>
    <definedName name="__123Graph_B医薬品" hidden="1">[11]ﾌﾟﾚｾﾞﾝ資!$AD$96:$AO$96</definedName>
    <definedName name="__123Graph_B衛生関連" hidden="1">[11]ﾌﾟﾚｾﾞﾝ資!$AD$141:$AO$141</definedName>
    <definedName name="__123Graph_B月別カテゴリー" hidden="1">[11]ﾌﾟﾚｾﾞﾝ資!$AD$58:$AO$58</definedName>
    <definedName name="__123Graph_B月別実績" hidden="1">[11]ﾌﾟﾚｾﾞﾝ資!$BK$251:$BV$251</definedName>
    <definedName name="__123Graph_B構成比1" hidden="1">[11]ﾌﾟﾚｾﾞﾝ資!$AU$226:$AU$234</definedName>
    <definedName name="__123Graph_B構成比2" hidden="1">[11]ﾌﾟﾚｾﾞﾝ資!$AU$226:$AU$234</definedName>
    <definedName name="__123Graph_B収納箱" hidden="1">[11]ﾌﾟﾚｾﾞﾝ資!$AD$171:$AO$171</definedName>
    <definedName name="__123Graph_B住居洗剤" hidden="1">[11]ﾌﾟﾚｾﾞﾝ資!$AD$186:$AO$186</definedName>
    <definedName name="__123Graph_B除湿剤" hidden="1">[11]ﾌﾟﾚｾﾞﾝ資!$AD$196:$AO$196</definedName>
    <definedName name="__123Graph_B全品目" hidden="1">[11]ﾌﾟﾚｾﾞﾝ資!$BK$257:$BV$257</definedName>
    <definedName name="__123Graph_B芳香剤関連" hidden="1">[11]ﾌﾟﾚｾﾞﾝ資!$AD$151:$AO$151</definedName>
    <definedName name="__123Graph_B防虫剤" hidden="1">[11]ﾌﾟﾚｾﾞﾝ資!$AD$161:$AO$161</definedName>
    <definedName name="__123Graph_B累計実績" hidden="1">[11]ﾌﾟﾚｾﾞﾝ資!$M$64:$X$64</definedName>
    <definedName name="__123Graph_C" hidden="1">[11]ﾌﾟﾚｾﾞﾝ資!$BK$258:$BV$258</definedName>
    <definedName name="__123Graph_Cウィンスロップ" hidden="1">[11]ﾌﾟﾚｾﾞﾝ資!$AD$217:$AO$217</definedName>
    <definedName name="__123Graph_Cオーラルケア" hidden="1">[11]ﾌﾟﾚｾﾞﾝ資!$AD$117:$AO$117</definedName>
    <definedName name="____123Graph_Cｸﾞﾗﾌ_3" hidden="1">#REF!</definedName>
    <definedName name="__123Graph_Cスキンケア" hidden="1">[11]ﾌﾟﾚｾﾞﾝ資!$AD$107:$AO$107</definedName>
    <definedName name="__123Graph_Cその他" hidden="1">[11]ﾌﾟﾚｾﾞﾝ資!$AD$207:$AO$207</definedName>
    <definedName name="__123Graph_Cフットケア" hidden="1">[11]ﾌﾟﾚｾﾞﾝ資!$AD$127:$AO$127</definedName>
    <definedName name="__123Graph_C医薬品" hidden="1">[11]ﾌﾟﾚｾﾞﾝ資!$AD$97:$AO$97</definedName>
    <definedName name="__123Graph_C衛生関連" hidden="1">[11]ﾌﾟﾚｾﾞﾝ資!$AD$142:$AO$142</definedName>
    <definedName name="__123Graph_C月別カテゴリー" hidden="1">[11]ﾌﾟﾚｾﾞﾝ資!$AD$59:$AO$59</definedName>
    <definedName name="__123Graph_C月別実績" hidden="1">[11]ﾌﾟﾚｾﾞﾝ資!$BK$252:$BV$252</definedName>
    <definedName name="__123Graph_C収納箱" hidden="1">[11]ﾌﾟﾚｾﾞﾝ資!$AD$172:$AO$172</definedName>
    <definedName name="__123Graph_C住居洗剤" hidden="1">[11]ﾌﾟﾚｾﾞﾝ資!$AD$187:$AO$187</definedName>
    <definedName name="__123Graph_C除湿剤" hidden="1">[11]ﾌﾟﾚｾﾞﾝ資!$AD$197:$AO$197</definedName>
    <definedName name="__123Graph_C全品目" hidden="1">[11]ﾌﾟﾚｾﾞﾝ資!$BK$258:$BV$258</definedName>
    <definedName name="__123Graph_C芳香剤関連" hidden="1">[11]ﾌﾟﾚｾﾞﾝ資!$AD$152:$AO$152</definedName>
    <definedName name="__123Graph_C防虫剤" hidden="1">[11]ﾌﾟﾚｾﾞﾝ資!$AD$162:$AO$162</definedName>
    <definedName name="__123Graph_C累計実績" hidden="1">[11]ﾌﾟﾚｾﾞﾝ資!$M$65:$X$65</definedName>
    <definedName name="__123Graph_D月別カテゴリー" hidden="1">[11]ﾌﾟﾚｾﾞﾝ資!$AD$60:$AO$60</definedName>
    <definedName name="__123Graph_E月別カテゴリー" hidden="1">[11]ﾌﾟﾚｾﾞﾝ資!$AD$61:$AO$61</definedName>
    <definedName name="__123Graph_F月別カテゴリー" hidden="1">[11]ﾌﾟﾚｾﾞﾝ資!$AD$69:$AO$69</definedName>
    <definedName name="____123Graph_LBL_Aｸﾞﾗﾌ_1" hidden="1">#REF!</definedName>
    <definedName name="__123Graph_LBL_A売上推移" hidden="1">[11]ﾌﾟﾚｾﾞﾝ資!$P$47:$P$51</definedName>
    <definedName name="__123Graph_X" hidden="1">[11]ﾌﾟﾚｾﾞﾝ資!$BK$249:$BV$249</definedName>
    <definedName name="__123Graph_XSEN" hidden="1">#REF!</definedName>
    <definedName name="__123Graph_Xウィンスロップ" hidden="1">[11]ﾌﾟﾚｾﾞﾝ資!$AD$89:$AO$89</definedName>
    <definedName name="__123Graph_Xオーラルケア" hidden="1">[11]ﾌﾟﾚｾﾞﾝ資!$AD$89:$AO$89</definedName>
    <definedName name="____123Graph_Xｸﾞﾗﾌ_2" hidden="1">#REF!</definedName>
    <definedName name="____123Graph_Xｸﾞﾗﾌ_3" hidden="1">#REF!</definedName>
    <definedName name="__123Graph_Xスキンケア" hidden="1">[11]ﾌﾟﾚｾﾞﾝ資!$AD$89:$AO$89</definedName>
    <definedName name="__123Graph_Xその他" hidden="1">[11]ﾌﾟﾚｾﾞﾝ資!$AD$89:$AO$89</definedName>
    <definedName name="__123Graph_Xフットケア" hidden="1">[11]ﾌﾟﾚｾﾞﾝ資!$AD$89:$AO$89</definedName>
    <definedName name="__123Graph_X医薬品" hidden="1">[11]ﾌﾟﾚｾﾞﾝ資!$AD$89:$AO$89</definedName>
    <definedName name="__123Graph_X衛生関連" hidden="1">[11]ﾌﾟﾚｾﾞﾝ資!$AD$89:$AO$89</definedName>
    <definedName name="__123Graph_X月別カテゴリー" hidden="1">[11]ﾌﾟﾚｾﾞﾝ資!$AD$55:$AO$55</definedName>
    <definedName name="__123Graph_X月別実績" hidden="1">[11]ﾌﾟﾚｾﾞﾝ資!$M$56:$X$56</definedName>
    <definedName name="__123Graph_X構成比1" hidden="1">[11]ﾌﾟﾚｾﾞﾝ資!$AV$226:$AV$234</definedName>
    <definedName name="__123Graph_X構成比2" hidden="1">[11]ﾌﾟﾚｾﾞﾝ資!$AV$226:$AV$234</definedName>
    <definedName name="__123Graph_X収納箱" hidden="1">[11]ﾌﾟﾚｾﾞﾝ資!$AD$89:$AO$89</definedName>
    <definedName name="__123Graph_X住居洗剤" hidden="1">[11]ﾌﾟﾚｾﾞﾝ資!$AD$89:$AO$89</definedName>
    <definedName name="__123Graph_X除湿剤" hidden="1">[11]ﾌﾟﾚｾﾞﾝ資!$AD$89:$AO$89</definedName>
    <definedName name="__123Graph_X全品目" hidden="1">[11]ﾌﾟﾚｾﾞﾝ資!$BK$249:$BV$249</definedName>
    <definedName name="__123Graph_X売上推移" hidden="1">[11]ﾌﾟﾚｾﾞﾝ資!$M$47:$M$51</definedName>
    <definedName name="__123Graph_X芳香剤関連" hidden="1">[11]ﾌﾟﾚｾﾞﾝ資!$AD$89:$AO$89</definedName>
    <definedName name="__123Graph_X防虫剤" hidden="1">[11]ﾌﾟﾚｾﾞﾝ資!$AD$89:$AO$89</definedName>
    <definedName name="__123Graph_X累計実績" hidden="1">[11]ﾌﾟﾚｾﾞﾝ資!$M$56:$X$56</definedName>
    <definedName name="_1">#N/A</definedName>
    <definedName name="_111">#REF!</definedName>
    <definedName name="_2">#REF!</definedName>
    <definedName name="_222">#REF!</definedName>
    <definedName name="_4901070301881">#REF!</definedName>
    <definedName name="_9店ABC自社路線表">#REF!</definedName>
    <definedName name="_c">[3]配荷目標!$AH$4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1_Out" hidden="1">#REF!</definedName>
    <definedName name="_Table2_Out" hidden="1">#REF!</definedName>
    <definedName name="\a">[11]ﾌﾟﾚｾﾞﾝ資!$E$5</definedName>
    <definedName name="\b">[11]ﾌﾟﾚｾﾞﾝ資!$E$8</definedName>
    <definedName name="\c">[11]ﾌﾟﾚｾﾞﾝ資!$E$11:$E$13</definedName>
    <definedName name="\d">[11]ﾌﾟﾚｾﾞﾝ資!$E$16</definedName>
    <definedName name="\e">[11]ﾌﾟﾚｾﾞﾝ資!$E$19</definedName>
    <definedName name="\f">[11]ﾌﾟﾚｾﾞﾝ資!$E$21</definedName>
    <definedName name="\p">#REF!</definedName>
    <definedName name="⑧">[48]⑤優先順位表!#REF!</definedName>
    <definedName name="ａ">[3]配荷目標!$AV$1</definedName>
    <definedName name="_a1" hidden="1">#REF!</definedName>
    <definedName name="a1D114">#REF!</definedName>
    <definedName name="aa">[3]配荷目標!$A$1</definedName>
    <definedName name="aaa">#REF!</definedName>
    <definedName name="aaaa">[47]⑤優先順位表!#REF!</definedName>
    <definedName name="aaaaa">#REF!</definedName>
    <definedName name="aaaaaaaasssdsdfcc">#REF!</definedName>
    <definedName name="ac">[39]万代比数!#REF!</definedName>
    <definedName name="AccessDatabase" hidden="1">"C:\My Documents\プラネット\KHPマスタ1.mdb"</definedName>
    <definedName name="ARARI">#REF!</definedName>
    <definedName name="aw">#REF!</definedName>
    <definedName name="B">#REF!</definedName>
    <definedName name="ＢＢ">[37]Sheet1!$E$107</definedName>
    <definedName name="_bbb123" hidden="1">{"'M&amp;I案内状'!$J$47"}</definedName>
    <definedName name="ｂｇｂ">#REF!</definedName>
    <definedName name="ｂｎ">#REF!</definedName>
    <definedName name="COLNUM">#REF!</definedName>
    <definedName name="COLSZ">#REF!</definedName>
    <definedName name="DATA">#REF!</definedName>
    <definedName name="Data1" hidden="1">[8]H7昇格者!#REF!</definedName>
    <definedName name="Data10" hidden="1">#REF!</definedName>
    <definedName name="Data2" hidden="1">[8]H7昇格者!#REF!</definedName>
    <definedName name="Data3" hidden="1">[8]H7昇格者!#REF!</definedName>
    <definedName name="Data4" hidden="1">#REF!</definedName>
    <definedName name="Data5" hidden="1">#REF!</definedName>
    <definedName name="Data6" hidden="1">#REF!</definedName>
    <definedName name="Data7" hidden="1">#REF!</definedName>
    <definedName name="Data8" hidden="1">#REF!</definedName>
    <definedName name="Data9" hidden="1">#REF!</definedName>
    <definedName name="Database" hidden="1">[30]商品台帳!$A$2:$E$221</definedName>
    <definedName name="db">[41]SPLDAT!$A$1:$H$1000</definedName>
    <definedName name="DD">[39]万代比数!#REF!</definedName>
    <definedName name="ｄｄｄ">#REF!</definedName>
    <definedName name="dgfhndhndhnhgnhf">[53]イレブン!#REF!</definedName>
    <definedName name="ｄｒｆｄｊｇｆｔｆｒｄｒどぇｒちゅいうおいｋじゅｈ" hidden="1">'[54]8以上社員'!#REF!</definedName>
    <definedName name="dtdrfddgtyret">#REF!</definedName>
    <definedName name="dzghjhgdfggdh">[50]コクミン!$C$2:$R$103</definedName>
    <definedName name="eretrytryg">#REF!</definedName>
    <definedName name="estrdyfuygio">#REF!</definedName>
    <definedName name="_xlnm.Extract">[47]⑤優先順位表!#REF!</definedName>
    <definedName name="Extract2">#REF!</definedName>
    <definedName name="Extract3">[47]⑤優先順位表!#REF!</definedName>
    <definedName name="Extract4">#REF!</definedName>
    <definedName name="extractie">#REF!</definedName>
    <definedName name="fcghyu">#REF!</definedName>
    <definedName name="fff">#REF!</definedName>
    <definedName name="fgjhgdhfdhjmghgdfhgg">#REF!</definedName>
    <definedName name="fgnfgmngfmfgjdfmgfg">[53]イレブン!#REF!</definedName>
    <definedName name="FILEHOZON">[57]!FILEHOZON</definedName>
    <definedName name="ｇ">[27]ﾃﾚｺTｼｬﾂ!$AD$343</definedName>
    <definedName name="ｇｆｄｇｄｒｓｇ" hidden="1">#REF!</definedName>
    <definedName name="gghvhysdfkuhgiyuiew">#REF!</definedName>
    <definedName name="goukei">[27]ﾃﾚｺTｼｬﾂ!#REF!</definedName>
    <definedName name="gyhfytfrdrd">#REF!</definedName>
    <definedName name="ｈ" hidden="1">#REF!</definedName>
    <definedName name="ＨＡ台帳">#REF!</definedName>
    <definedName name="ｈｄｓｒ">#REF!</definedName>
    <definedName name="hduyhaghyahgfuysa">[53]イレブン!#REF!</definedName>
    <definedName name="hfusiygiushyusiuhiys">[53]イレブン!#REF!</definedName>
    <definedName name="hgfhygfuysghfsgsgyshgi">#REF!</definedName>
    <definedName name="ｈｇｈｋｓｈｖｂｈｂｋ" hidden="1">'[54]8以上社員'!#REF!</definedName>
    <definedName name="hhkiuhyigtdstgo">#REF!</definedName>
    <definedName name="hiuyouoiuhuytrasdfguhkhj">#REF!</definedName>
    <definedName name="hjhkgfgfdfd">#REF!</definedName>
    <definedName name="HTML_CodePage" hidden="1">932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huhdiygighuukouiruhg">[53]イレブン!#REF!</definedName>
    <definedName name="huhgufrtgtredfgtedrkjftyj">#REF!</definedName>
    <definedName name="huisyhushusdyiugdsf" hidden="1">'[54]8以上社員'!#REF!</definedName>
    <definedName name="hushvistguskshyisu">#REF!</definedName>
    <definedName name="hyuisyhfiuystfiyusw" hidden="1">[55]H7昇格者!#REF!</definedName>
    <definedName name="i">[46]コクミン!$C$2:$R$103</definedName>
    <definedName name="ijiodjugiuygireghyuryhr">#REF!</definedName>
    <definedName name="ｊｈｇｂｆｄ">#REF!</definedName>
    <definedName name="jhgiuhieuyhgiuyegiwuyhgo">[52]ｶﾃｺﾞﾘｰ!$CY$12:$DE$40</definedName>
    <definedName name="jjrjrhrdjhrsjhj">#REF!</definedName>
    <definedName name="jushikuhysugyurhgkudh">#REF!</definedName>
    <definedName name="ｊふだｈｄ">#REF!</definedName>
    <definedName name="klo">#REF!</definedName>
    <definedName name="KNKIN">[41]SPLDAT!$H$1</definedName>
    <definedName name="KON">[42]SPLDAT!$F$1</definedName>
    <definedName name="kosikfsjgiushyguisyhgvdui">#REF!</definedName>
    <definedName name="kuhuhyiuttdr">#REF!</definedName>
    <definedName name="M">[37]Sheet1!$A$130:$A$135</definedName>
    <definedName name="master">[2]コクミン!$C$2:$R$103</definedName>
    <definedName name="mgmfgnjgdfjnfgjnfg">#REF!</definedName>
    <definedName name="ｍｍｍ">#REF!</definedName>
    <definedName name="monthly">[29]商品M!$A:$A</definedName>
    <definedName name="MS">#REF!</definedName>
    <definedName name="N">[37]Sheet1!$A$114:$A$124</definedName>
    <definedName name="_Ｎ１">[43]Sheet1!$A$114:$A$124</definedName>
    <definedName name="_na001">[41]登録!$R$155:$R$156</definedName>
    <definedName name="_na002">[41]登録!$R$158:$R$159</definedName>
    <definedName name="_na003">[41]登録!$R$161:$R$162</definedName>
    <definedName name="_na028">[41]登録!$R$236:$R$237</definedName>
    <definedName name="_na029">[41]登録!$R$239:$R$240</definedName>
    <definedName name="_na030">[41]登録!$R$242:$R$243</definedName>
    <definedName name="_na031">[41]登録!$R$245:$R$246</definedName>
    <definedName name="_na070">[41]登録!$R$362:$R$363</definedName>
    <definedName name="_nb001">[42]登録!$U$155:$V$156</definedName>
    <definedName name="_nb002">[42]登録!$U$159:$V$160</definedName>
    <definedName name="_nb003">[42]登録!$U$163:$V$164</definedName>
    <definedName name="_nc001">[42]登録!$X$155:$AA$158</definedName>
    <definedName name="_nc002">[42]登録!$X$159:$Y$162</definedName>
    <definedName name="_nc003">[42]登録!$X$163:$Y$166</definedName>
    <definedName name="_nd001">[42]登録!$AB$155:$AC$156</definedName>
    <definedName name="_nd002">[42]登録!$AB$159:$AC$160</definedName>
    <definedName name="_nd003">[42]登録!$AB$163:$AC$164</definedName>
    <definedName name="nfhgthdfghfdhdfhdfh">[53]イレブン!#REF!</definedName>
    <definedName name="ＮＯ">'[32]商品ﾏｽﾀｰ(7月8日)'!$A:$A</definedName>
    <definedName name="No.">#REF!</definedName>
    <definedName name="oiiushyygyustshygyufsgfs">[56]限定特価商品案内!$C$2:$R$103</definedName>
    <definedName name="oiuuygrsgtehkjuhyugfedrr">[52]ｶﾃｺﾞﾘｰ!$A$5:$U$39</definedName>
    <definedName name="PKNUM">#REF!</definedName>
    <definedName name="PKSZ">#REF!</definedName>
    <definedName name="_pop1">#REF!</definedName>
    <definedName name="Print">#REF!</definedName>
    <definedName name="PRINT_AR01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S">[37]全国ﾊﾞﾗＨ１１!$B$1:$B$196</definedName>
    <definedName name="_ＰＳ１">[37]ﾊﾞﾗ全国Ｈ１０!$B$2:$B$136</definedName>
    <definedName name="_ps2">[43]ﾊﾞﾗ全国Ｈ１０!$B$2:$B$136</definedName>
    <definedName name="ＰＳＳ">[43]全国ﾊﾞﾗＨ１１!$B$1:$B$196</definedName>
    <definedName name="ＰＳＳＳ">[43]ﾊﾞﾗ全国Ｈ１０!$B$2:$B$136</definedName>
    <definedName name="ｑ">[18]イレブン!#REF!</definedName>
    <definedName name="Q_PR汎用年度別販売">#REF!</definedName>
    <definedName name="Record1">#REF!</definedName>
    <definedName name="Record11">[31]!Record11</definedName>
    <definedName name="Record12">[31]!Record12</definedName>
    <definedName name="Record2">#REF!</definedName>
    <definedName name="Recorder" hidden="1">#REF!</definedName>
    <definedName name="rrsatfcutaruagjsygiysu">[53]イレブン!#REF!</definedName>
    <definedName name="ｓ">#REF!</definedName>
    <definedName name="sdcdsvsdvsdvsvs">[56]限定特価商品案内!$C$2:$R$103</definedName>
    <definedName name="se">[43]全国ﾊﾞﾗＨ１１!$B$1:$B$196</definedName>
    <definedName name="_SE4">[16]spot金額!#REF!,[16]spot金額!#REF!</definedName>
    <definedName name="sentaku">"ドロップ 4"</definedName>
    <definedName name="sil">#REF!</definedName>
    <definedName name="sinnseihinn">#REF!</definedName>
    <definedName name="ｓｒｄｔｆｇ">#REF!</definedName>
    <definedName name="ＳＳ">[18]イレブン!#REF!</definedName>
    <definedName name="swerdufuuyguytiuyouyiutytreftu">#REF!</definedName>
    <definedName name="syuryoku">#REF!</definedName>
    <definedName name="t">#REF!</definedName>
    <definedName name="tenmok">'[28]718店別目標'!$AA$97:$AB$585</definedName>
    <definedName name="ＴＭＣＤ">[36]コード表!$A$1:$C$212</definedName>
    <definedName name="ＴＭＣＤ１">[44]コード表!$A$1:$C$212</definedName>
    <definedName name="to">[26]大型店版!$AM$44</definedName>
    <definedName name="ＴＳＣＤ">[38]コード表・選択ＤＡＴＡ!$A$3:$E$103</definedName>
    <definedName name="TSCSTOCODE">[17]小林芳香剤送品PLAN①!#REF!</definedName>
    <definedName name="tt">#REF!</definedName>
    <definedName name="ｔふゃｆｇｔだふ">[51]配荷目標!$A$1</definedName>
    <definedName name="uhiuygtytfty">#REF!</definedName>
    <definedName name="ＵＸ_記号S__v.s._YS_記号Y">#REF!</definedName>
    <definedName name="ｖｃｘｚｇｓｈぐやぐあｇ" hidden="1">'[54]8以上社員'!#REF!</definedName>
    <definedName name="vghsj">#REF!</definedName>
    <definedName name="ｖｓｇｄｆｇｈｓｇ" hidden="1">#REF!</definedName>
    <definedName name="wertyudfghjvghjk">#REF!</definedName>
    <definedName name="wertyufghoiuy" hidden="1">[55]H7昇格者!#REF!</definedName>
    <definedName name="ｗｗｗ">#REF!</definedName>
    <definedName name="ｙ">#REF!</definedName>
    <definedName name="ＹＳ使用経験">#REF!</definedName>
    <definedName name="ZEN">[42]SPLDAT!$E$1</definedName>
    <definedName name="ZNKIN">[41]SPLDAT!$G$1</definedName>
    <definedName name="あああ">[59]下周里程碑计划!#REF!</definedName>
    <definedName name="い">#REF!</definedName>
    <definedName name="ｲｼﾊﾗ">[6]イレブン!#REF!</definedName>
    <definedName name="イシハラ前年">[6]イレブン!#REF!</definedName>
    <definedName name="ｲﾄｳﾔｽ">#REF!</definedName>
    <definedName name="うｆｒふｈｆｒつｈｒふるるｒｙうぇｒ" hidden="1">'[54]8以上社員'!#REF!</definedName>
    <definedName name="うｙｔれ" hidden="1">'[54]8以上社員'!#REF!</definedName>
    <definedName name="うぇえｒ">#REF!</definedName>
    <definedName name="おぃくｊｙｈｔｒｇｄふぇｓｄｆｇｈ">[51]配荷目標!$AH$4</definedName>
    <definedName name="ｷｬﾝﾍﾟｰﾝ">[13]限定特価商品案内!$C$2:$R$103</definedName>
    <definedName name="くぇｒちゅいおｋｊｈｇｆｆｇ" hidden="1">'[54]8以上社員'!#REF!</definedName>
    <definedName name="こくみｎ" hidden="1">0</definedName>
    <definedName name="コクミン">#REF!</definedName>
    <definedName name="ｻﾝﾊﾟﾙ">[6]イレブン!#REF!</definedName>
    <definedName name="サンパル前年">[6]イレブン!#REF!</definedName>
    <definedName name="システム">[1]表紙!#REF!</definedName>
    <definedName name="システム名">#REF!</definedName>
    <definedName name="システム名２">#REF!</definedName>
    <definedName name="ジョヴィ新システム">#REF!</definedName>
    <definedName name="シンプロ商品">#REF!</definedName>
    <definedName name="ストア">#REF!</definedName>
    <definedName name="せｄｆｇ">#REF!</definedName>
    <definedName name="その他">#REF!</definedName>
    <definedName name="タイトル">#REF!</definedName>
    <definedName name="タイトル２">#REF!</definedName>
    <definedName name="タイプ前回">#REF!</definedName>
    <definedName name="チラシパターン">[21]DATA!$Y$2:$Y$100</definedName>
    <definedName name="つぁｆづ" hidden="1">#REF!</definedName>
    <definedName name="ティーンズ">[25]大型店版!$AW$45:$AX$359</definedName>
    <definedName name="データ">#REF!</definedName>
    <definedName name="なし">#REF!</definedName>
    <definedName name="ﾊﾞｽ新">[49]⑤優先順位表!#REF!</definedName>
    <definedName name="パタン">#REF!</definedName>
    <definedName name="パタン1">#REF!</definedName>
    <definedName name="ﾊﾟﾙ">[5]ｶﾃｺﾞﾘｰ!$CY$12:$DE$40</definedName>
    <definedName name="パルタックコクミン">#REF!</definedName>
    <definedName name="ﾊﾟﾙﾀｯｸ前年">[5]ｶﾃｺﾞﾘｰ!$A$5:$U$39</definedName>
    <definedName name="フィット性">#REF!</definedName>
    <definedName name="マスター">[22]マスター!$A$2:$F$84</definedName>
    <definedName name="ﾏｽﾀｰA">#N/A</definedName>
    <definedName name="ﾒｰｶｰｷｬﾝﾍﾟｰﾝ">[13]限定特価商品案内!$C$2:$R$103</definedName>
    <definedName name="メーカー品目">[14]チラシ実績!$G$11:$G$110,[14]チラシ実績!$L$11:$L$110,[14]チラシ実績!$Q$11:$Q$110,[14]チラシ実績!$V$11:$V$110,[14]チラシ実績!$AA$11:$AA$110,[14]チラシ実績!$AF$11:$AF$110</definedName>
    <definedName name="メーカ別１">#REF!</definedName>
    <definedName name="モレ有無">#REF!</definedName>
    <definedName name="ﾛｰﾄ企画品1">#REF!</definedName>
    <definedName name="んｎ">#REF!</definedName>
    <definedName name="芦田">[6]イレブン!#REF!</definedName>
    <definedName name="芦田前年">[6]イレブン!#REF!</definedName>
    <definedName name="意識・行動">#REF!</definedName>
    <definedName name="医金額">#REF!</definedName>
    <definedName name="医売上">#REF!</definedName>
    <definedName name="井田">[6]イレブン!#REF!</definedName>
    <definedName name="井田前年">[6]イレブン!#REF!</definedName>
    <definedName name="印刷">[57]!印刷</definedName>
    <definedName name="羽前回">#REF!</definedName>
    <definedName name="営業部別配荷">[4]!営業部別配荷</definedName>
    <definedName name="下周工作计划合计">[58]下周里程碑计划!#REF!</definedName>
    <definedName name="価格">#REF!</definedName>
    <definedName name="価格意識">#REF!</definedName>
    <definedName name="価格帯">#REF!</definedName>
    <definedName name="加納">[5]ｶﾃｺﾞﾘｰ!$BA$12:$BG$33</definedName>
    <definedName name="加納前年">[5]ｶﾃｺﾞﾘｰ!$A$12:$T$33</definedName>
    <definedName name="課マスター">[22]マスター!$L$2:$M$19</definedName>
    <definedName name="会議">#REF!</definedName>
    <definedName name="会社名">#REF!</definedName>
    <definedName name="会社名２">#REF!</definedName>
    <definedName name="改版日">#REF!</definedName>
    <definedName name="各営業部">[4]!各営業部</definedName>
    <definedName name="丸井">[6]イレブン!#REF!</definedName>
    <definedName name="丸井前年">[6]イレブン!#REF!</definedName>
    <definedName name="企画番号">[23]Sheet1!$A$4:$A$300</definedName>
    <definedName name="基本情况概况">#REF!</definedName>
    <definedName name="基本情况客户支持">#REF!</definedName>
    <definedName name="基本情况事业部支持">#REF!</definedName>
    <definedName name="基本情况资源">#REF!</definedName>
    <definedName name="基本情况问题">#REF!</definedName>
    <definedName name="基本情况风险">#REF!</definedName>
    <definedName name="久光">[9]配荷目標!$AH$4</definedName>
    <definedName name="吸収性">#REF!</definedName>
    <definedName name="業態別配荷">[4]!業態別配荷</definedName>
    <definedName name="金額01案">[15]月別金額!#REF!,[15]月別金額!#REF!,[15]月別金額!#REF!,[15]月別金額!#REF!,[15]月別金額!#REF!,[15]月別金額!$D:$D,[15]月別金額!#REF!,[15]月別金額!#REF!,[15]月別金額!#REF!,[15]月別金額!#REF!,[15]月別金額!#REF!</definedName>
    <definedName name="金鳥ｲﾝｽﾄｱ">[13]限定特価商品案内!$AV$1</definedName>
    <definedName name="金鳥ﾀｲｱｯﾌﾟ">[13]限定特価商品案内!$AH$4</definedName>
    <definedName name="経血量">#REF!</definedName>
    <definedName name="経理用始め">#REF!</definedName>
    <definedName name="経理用書式始め">#REF!</definedName>
    <definedName name="月販データ出来上がり">'[19]10.20-11.12'!$A$2:$J$248</definedName>
    <definedName name="月別クレジット集計テーブル">#REF!</definedName>
    <definedName name="個数">'[12]３ヶ月計画書(10-12)'!$C$15:$C$29,'[12]３ヶ月計画書(10-12)'!$E$15:$E$29,'[12]３ヶ月計画書(10-12)'!$G$15:$G$29,'[12]３ヶ月計画書(10-12)'!$I$15:$I$29,'[12]３ヶ月計画書(10-12)'!$K$15:$K$29,'[12]３ヶ月計画書(10-12)'!$M$15:$M$29,'[12]３ヶ月計画書(10-12)'!$K$32:$K$40,'[12]３ヶ月計画書(10-12)'!$G$32:$G$40,'[12]３ヶ月計画書(10-12)'!$C$39,'[12]３ヶ月計画書(10-12)'!$C$32:$C$40</definedName>
    <definedName name="厚さ前回">#REF!</definedName>
    <definedName name="購入意向１">#REF!</definedName>
    <definedName name="購入意向２">#REF!</definedName>
    <definedName name="購入店名">#REF!</definedName>
    <definedName name="購入理由１">#REF!</definedName>
    <definedName name="購入理由10">#REF!</definedName>
    <definedName name="購入理由１１">#REF!</definedName>
    <definedName name="購入理由２">#REF!</definedName>
    <definedName name="購入理由３">#REF!</definedName>
    <definedName name="購入理由４">#REF!</definedName>
    <definedName name="購入理由５">#REF!</definedName>
    <definedName name="購入理由６">#REF!</definedName>
    <definedName name="購入理由７">#REF!</definedName>
    <definedName name="購入理由８">#REF!</definedName>
    <definedName name="購入理由９">#REF!</definedName>
    <definedName name="項目名">#REF!</definedName>
    <definedName name="殺支払">#REF!</definedName>
    <definedName name="殺虫剤マスタ">#REF!</definedName>
    <definedName name="殺売">#REF!</definedName>
    <definedName name="山積">#REF!</definedName>
    <definedName name="山積応援">#REF!</definedName>
    <definedName name="使用意向">#REF!</definedName>
    <definedName name="使用場面１">#REF!</definedName>
    <definedName name="使用場面２">#REF!</definedName>
    <definedName name="使用場面３">#REF!</definedName>
    <definedName name="使用場面４">#REF!</definedName>
    <definedName name="使用枚数">#REF!</definedName>
    <definedName name="使用枚数2枚毎">#REF!</definedName>
    <definedName name="指値出力">#REF!</definedName>
    <definedName name="次回購入意向">#REF!</definedName>
    <definedName name="次回購入意向理由">#REF!</definedName>
    <definedName name="自動改表示">[10]!自動改表示</definedName>
    <definedName name="自由意見">#REF!</definedName>
    <definedName name="実績">#REF!</definedName>
    <definedName name="取込フォーム設定">[3]配荷目標!$AK$2</definedName>
    <definedName name="終了">[4]!終了</definedName>
    <definedName name="集計GRP">#REF!</definedName>
    <definedName name="純既存Ｆ">[22]DATA!$X$2:$X$100</definedName>
    <definedName name="巡回②">#REF!</definedName>
    <definedName name="巡回割当">#REF!</definedName>
    <definedName name="商品CD">#REF!</definedName>
    <definedName name="商品CDﾘｽﾄ">[29]商品M!$A:$A</definedName>
    <definedName name="商品ＣＬ">#N/A</definedName>
    <definedName name="商品M">'[32]商品ﾏｽﾀｰ(7月8日)'!$A$1:$T$92</definedName>
    <definedName name="商品ﾏｽﾀ">[29]商品M!$A$1:$H$1000</definedName>
    <definedName name="商品マスター">'[33]商品ﾏｽﾀｰ(7月2日)'!$A$1:$H$420</definedName>
    <definedName name="消費者ｷｬﾝﾍﾟｰﾝ">[2]コクミン!$C$2:$R$103</definedName>
    <definedName name="職業">#REF!</definedName>
    <definedName name="新MST">#REF!</definedName>
    <definedName name="新商品">#REF!</definedName>
    <definedName name="新数表">[45]!営業部別配荷</definedName>
    <definedName name="推販申請">'[34]商品ﾏｽﾀｰ(1月25日)'!$A$1:$O$396</definedName>
    <definedName name="推販申請2001秋">'[35]商品ﾏｽﾀｰ(1月25日)'!$A:$A</definedName>
    <definedName name="千円">'[12]３ヶ月計画書(10-12)'!$C$30,'[12]３ヶ月計画書(10-12)'!$E$30,'[12]３ヶ月計画書(10-12)'!$G$30,'[12]３ヶ月計画書(10-12)'!$I$30,'[12]３ヶ月計画書(10-12)'!$K$30,'[12]３ヶ月計画書(10-12)'!$M$30,'[12]３ヶ月計画書(10-12)'!$K$41,'[12]３ヶ月計画書(10-12)'!$G$41,'[12]３ヶ月計画書(10-12)'!$C$41</definedName>
    <definedName name="全体評価">#REF!</definedName>
    <definedName name="全体評価OA">#REF!</definedName>
    <definedName name="相関用">#REF!,#REF!,#REF!</definedName>
    <definedName name="多夜意向OA">#REF!</definedName>
    <definedName name="多夜使用意向">#REF!</definedName>
    <definedName name="大成">[5]ｶﾃｺﾞﾘｰ!$BA$12:$BG$33</definedName>
    <definedName name="単品リスト１">#REF!</definedName>
    <definedName name="段01案">[15]月別金額!#REF!,[15]月別金額!#REF!,[15]月別金額!$C:$C,[15]月別金額!#REF!,[15]月別金額!#REF!,[15]月別金額!#REF!,[15]月別金額!#REF!,[15]月別金額!#REF!,[15]月別金額!#REF!,[15]月別金額!#REF!,[15]月別金額!#REF!</definedName>
    <definedName name="調整Ｆ">[21]DATA!$W$2:$W$100</definedName>
    <definedName name="調整後ストア">[22]DATA!$AA$2:$AA$100</definedName>
    <definedName name="調整後チラシ">[21]DATA!$AN$2:$AN$100</definedName>
    <definedName name="調整後差替">[21]DATA!$AO$2:$AO$100</definedName>
    <definedName name="長さ">#REF!</definedName>
    <definedName name="直前使用品１">#REF!</definedName>
    <definedName name="直前使用品２">#REF!</definedName>
    <definedName name="直前使用品３">#REF!</definedName>
    <definedName name="直前使用品４">#REF!</definedName>
    <definedName name="直前使用品５">#REF!</definedName>
    <definedName name="直前使用品６">#REF!</definedName>
    <definedName name="直前使用品７">#REF!</definedName>
    <definedName name="直前使用品８">#REF!</definedName>
    <definedName name="直前使用品その他">#REF!</definedName>
    <definedName name="直前使用品分類">#REF!</definedName>
    <definedName name="店">[24]大型店版!$V$4</definedName>
    <definedName name="登録番号">#REF!</definedName>
    <definedName name="日華京都">[7]ｶﾃｺﾞﾘｰ!#REF!</definedName>
    <definedName name="日華神戸">#REF!</definedName>
    <definedName name="日華神戸前年">#REF!</definedName>
    <definedName name="日華前年">[7]ｶﾃｺﾞﾘｰ!#REF!</definedName>
    <definedName name="日別昨年">[22]クロス昨年!$A$2:$G$84</definedName>
    <definedName name="日別当年">[22]クロス売上!$A$2:$G$84</definedName>
    <definedName name="入力">#REF!</definedName>
    <definedName name="入力用">[22]入力用!$C$2:$H$100</definedName>
    <definedName name="年月度実績数">[40]旭商会!#REF!</definedName>
    <definedName name="年代１０">#REF!</definedName>
    <definedName name="年代５">#REF!</definedName>
    <definedName name="年齢">#REF!</definedName>
    <definedName name="売価差替">[21]DATA!$Z$2:$Z$100</definedName>
    <definedName name="判断">#REF!</definedName>
    <definedName name="版">#REF!</definedName>
    <definedName name="表紙２">#REF!,#REF!,#REF!</definedName>
    <definedName name="品数前回">#REF!</definedName>
    <definedName name="不明">'[20]10.20-11.12'!$A$2:$J$248</definedName>
    <definedName name="報告書始め">#REF!</definedName>
    <definedName name="報告書書式始め">#REF!</definedName>
    <definedName name="未既婚">#REF!</definedName>
    <definedName name="名簿">#REF!</definedName>
    <definedName name="木村">[6]イレブン!#REF!</definedName>
    <definedName name="木村前年">[6]イレブン!#REF!</definedName>
    <definedName name="目標" hidden="1">#REF!</definedName>
    <definedName name="夜のモレ回数">#REF!</definedName>
    <definedName name="夜のモレ頻度">#REF!</definedName>
    <definedName name="夜羽根使用場面">#REF!</definedName>
    <definedName name="夜厚羽">#REF!</definedName>
    <definedName name="夜用">#REF!</definedName>
    <definedName name="夜用として安心感">#REF!</definedName>
    <definedName name="夜用商品名">#REF!</definedName>
    <definedName name="役職ｺｰﾄﾞ">#REF!</definedName>
    <definedName name="理由その他">#REF!</definedName>
    <definedName name="稟議書B5最後">#REF!</definedName>
    <definedName name="稟議書B5始め">#REF!</definedName>
    <definedName name="报告日期">#REF!</definedName>
    <definedName name="资源总数">#REF!</definedName>
    <definedName name="项目名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<sst xmlns="http://schemas.openxmlformats.org/spreadsheetml/2006/main" count="2152" uniqueCount="844">
  <si>
    <r>
      <rPr>
        <b/>
        <sz val="12"/>
        <color rgb="FFFFFFFF"/>
        <rFont val="Meiryo UI"/>
        <charset val="134"/>
      </rPr>
      <t>項目マッピング表 ― 仕入伝票（</t>
    </r>
    <r>
      <rPr>
        <b/>
        <sz val="12"/>
        <color rgb="FFFFFFFF"/>
        <rFont val="Meiryo UI"/>
        <charset val="1"/>
      </rPr>
      <t>MD</t>
    </r>
    <r>
      <rPr>
        <b/>
        <sz val="12"/>
        <color rgb="FFFFFFFF"/>
        <rFont val="Meiryo UI"/>
        <charset val="134"/>
      </rPr>
      <t>基幹システム 標準外部</t>
    </r>
    <r>
      <rPr>
        <b/>
        <sz val="12"/>
        <color rgb="FFFFFFFF"/>
        <rFont val="Meiryo UI"/>
        <charset val="1"/>
      </rPr>
      <t>IF</t>
    </r>
    <r>
      <rPr>
        <b/>
        <sz val="12"/>
        <color rgb="FFFFFFFF"/>
        <rFont val="Meiryo UI"/>
        <charset val="134"/>
      </rPr>
      <t>／</t>
    </r>
    <r>
      <rPr>
        <b/>
        <sz val="12"/>
        <color rgb="FFFFFFFF"/>
        <rFont val="Meiryo UI"/>
        <charset val="1"/>
      </rPr>
      <t>WMS→MD</t>
    </r>
    <r>
      <rPr>
        <b/>
        <sz val="12"/>
        <color rgb="FFFFFFFF"/>
        <rFont val="Meiryo UI"/>
        <charset val="134"/>
      </rPr>
      <t xml:space="preserve">基幹 </t>
    </r>
    <r>
      <rPr>
        <b/>
        <sz val="12"/>
        <color rgb="FFFFFFFF"/>
        <rFont val="Meiryo UI"/>
        <charset val="1"/>
      </rPr>
      <t>IFSYLMS230R TC</t>
    </r>
    <r>
      <rPr>
        <b/>
        <sz val="12"/>
        <color rgb="FFFFFFFF"/>
        <rFont val="Meiryo UI"/>
        <charset val="134"/>
      </rPr>
      <t>総量入荷実績データ）</t>
    </r>
  </si>
  <si>
    <r>
      <rPr>
        <sz val="10"/>
        <color rgb="FF000000"/>
        <rFont val="Meiryo UI"/>
        <charset val="134"/>
      </rPr>
      <t xml:space="preserve">判定凡例：  ○ 直接マッピング可　△ 変換・加工が必要　✕ </t>
    </r>
    <r>
      <rPr>
        <sz val="10"/>
        <color rgb="FF000000"/>
        <rFont val="Meiryo UI"/>
        <charset val="1"/>
      </rPr>
      <t>GAP</t>
    </r>
    <r>
      <rPr>
        <sz val="10"/>
        <color rgb="FF000000"/>
        <rFont val="Meiryo UI"/>
        <charset val="134"/>
      </rPr>
      <t>あり（要対応）　― 固定値／</t>
    </r>
    <r>
      <rPr>
        <sz val="10"/>
        <color rgb="FF000000"/>
        <rFont val="Meiryo UI"/>
        <charset val="1"/>
      </rPr>
      <t>NULL</t>
    </r>
    <r>
      <rPr>
        <sz val="10"/>
        <color rgb="FF000000"/>
        <rFont val="Meiryo UI"/>
        <charset val="134"/>
      </rPr>
      <t xml:space="preserve">／システム内部採番のため対象外　｜ </t>
    </r>
    <r>
      <rPr>
        <sz val="10"/>
        <color rgb="FF000000"/>
        <rFont val="Meiryo UI"/>
        <charset val="1"/>
      </rPr>
      <t>MD</t>
    </r>
    <r>
      <rPr>
        <sz val="10"/>
        <color rgb="FF000000"/>
        <rFont val="Meiryo UI"/>
        <charset val="134"/>
      </rPr>
      <t>基幹＝統合先（仕入伝票 標準外部</t>
    </r>
    <r>
      <rPr>
        <sz val="10"/>
        <color rgb="FF000000"/>
        <rFont val="Meiryo UI"/>
        <charset val="1"/>
      </rPr>
      <t>IF</t>
    </r>
    <r>
      <rPr>
        <sz val="10"/>
        <color rgb="FF000000"/>
        <rFont val="Meiryo UI"/>
        <charset val="134"/>
      </rPr>
      <t>）、</t>
    </r>
    <r>
      <rPr>
        <sz val="10"/>
        <color rgb="FF000000"/>
        <rFont val="Meiryo UI"/>
        <charset val="1"/>
      </rPr>
      <t>WMS</t>
    </r>
    <r>
      <rPr>
        <sz val="10"/>
        <color rgb="FF000000"/>
        <rFont val="Meiryo UI"/>
        <charset val="134"/>
      </rPr>
      <t>＝統合元（</t>
    </r>
    <r>
      <rPr>
        <sz val="10"/>
        <color rgb="FF000000"/>
        <rFont val="Meiryo UI"/>
        <charset val="1"/>
      </rPr>
      <t>IFSYLMS230R TC</t>
    </r>
    <r>
      <rPr>
        <sz val="10"/>
        <color rgb="FF000000"/>
        <rFont val="Meiryo UI"/>
        <charset val="134"/>
      </rPr>
      <t>総量入荷実績データ）</t>
    </r>
  </si>
  <si>
    <t>No.</t>
  </si>
  <si>
    <t>必須</t>
  </si>
  <si>
    <r>
      <rPr>
        <b/>
        <sz val="10"/>
        <color rgb="FFFFFFFF"/>
        <rFont val="Meiryo UI"/>
        <charset val="1"/>
      </rPr>
      <t>MD</t>
    </r>
    <r>
      <rPr>
        <b/>
        <sz val="10"/>
        <color rgb="FFFFFFFF"/>
        <rFont val="Meiryo UI"/>
        <charset val="134"/>
      </rPr>
      <t>基幹
項目名</t>
    </r>
  </si>
  <si>
    <r>
      <rPr>
        <b/>
        <sz val="10"/>
        <color rgb="FFFFFFFF"/>
        <rFont val="Meiryo UI"/>
        <charset val="1"/>
      </rPr>
      <t>MD</t>
    </r>
    <r>
      <rPr>
        <b/>
        <sz val="10"/>
        <color rgb="FFFFFFFF"/>
        <rFont val="Meiryo UI"/>
        <charset val="134"/>
      </rPr>
      <t>基幹
型</t>
    </r>
    <r>
      <rPr>
        <b/>
        <sz val="10"/>
        <color rgb="FFFFFFFF"/>
        <rFont val="Meiryo UI"/>
        <charset val="1"/>
      </rPr>
      <t>/</t>
    </r>
    <r>
      <rPr>
        <b/>
        <sz val="10"/>
        <color rgb="FFFFFFFF"/>
        <rFont val="Meiryo UI"/>
        <charset val="134"/>
      </rPr>
      <t>桁</t>
    </r>
  </si>
  <si>
    <t>FMT内容</t>
  </si>
  <si>
    <t>Hitluster
項目名</t>
  </si>
  <si>
    <t>Hitluster
型/バイト</t>
  </si>
  <si>
    <t>判定</t>
  </si>
  <si>
    <t>変換ルール・留意事項</t>
  </si>
  <si>
    <t>○</t>
  </si>
  <si>
    <t>納品日</t>
  </si>
  <si>
    <t>dbDate_t/8</t>
  </si>
  <si>
    <t xml:space="preserve">CONVERT(VARCHAR(12) , DCAM.INSPDATE, 112 ) </t>
  </si>
  <si>
    <t>検品倉庫着荷指定日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</si>
  <si>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/8</t>
    </r>
  </si>
  <si>
    <t>〇</t>
  </si>
  <si>
    <t>WMSの「検品倉庫着荷指定日（検品TC倉庫作業予定日）」をMD基幹の納品日として使用する想定。</t>
  </si>
  <si>
    <t>伝票ID</t>
  </si>
  <si>
    <t>int64_t/19</t>
  </si>
  <si>
    <t>NULL</t>
  </si>
  <si>
    <t>―</t>
  </si>
  <si>
    <t>現状TRIAL：NULL</t>
  </si>
  <si>
    <r>
      <rPr>
        <sz val="10"/>
        <color rgb="FF000000"/>
        <rFont val="Meiryo UI"/>
        <charset val="134"/>
      </rPr>
      <t>伝票履歴先頭</t>
    </r>
    <r>
      <rPr>
        <sz val="10"/>
        <color rgb="FF000000"/>
        <rFont val="Meiryo UI"/>
        <charset val="1"/>
      </rPr>
      <t>ID</t>
    </r>
  </si>
  <si>
    <t>伝票区分</t>
  </si>
  <si>
    <t>int16_t/5</t>
  </si>
  <si>
    <t>DCAM.SLIPDIVISION</t>
  </si>
  <si>
    <t>（該当なし）</t>
  </si>
  <si>
    <t>✕</t>
  </si>
  <si>
    <t>GAPあり：仕入の場合：10
振替の場合：30</t>
  </si>
  <si>
    <t>伝票番号</t>
  </si>
  <si>
    <t>char/10</t>
  </si>
  <si>
    <t>DCAM.SLIPNO</t>
  </si>
  <si>
    <t>伝票番号（備考：発注伝票番号）</t>
  </si>
  <si>
    <t>文字列/10</t>
  </si>
  <si>
    <t>店舗コード</t>
  </si>
  <si>
    <t>char/6</t>
  </si>
  <si>
    <t>DCAM.DEMANDCD</t>
  </si>
  <si>
    <t>△</t>
  </si>
  <si>
    <t>納品センターしかない
出荷実績と繋がって出力するか、要検討。</t>
  </si>
  <si>
    <t>部門コード</t>
  </si>
  <si>
    <t>char/8</t>
  </si>
  <si>
    <t>DCAM.DEPARTMENTCD</t>
  </si>
  <si>
    <t>文字列/2</t>
  </si>
  <si>
    <t>カテゴリマスタ統合に関わります</t>
  </si>
  <si>
    <t>仕入先コード</t>
  </si>
  <si>
    <t>DCAM.SUPPCD</t>
  </si>
  <si>
    <t>取引先コード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</si>
  <si>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/9</t>
    </r>
  </si>
  <si>
    <t>WMS_コード変換テーブル.xlsxの「仕入先コード」
【商品マスタ統合プロジェクト】課題から設計内容の確認が必要</t>
  </si>
  <si>
    <t>納品先店舗・センターコード</t>
  </si>
  <si>
    <t>DCAM.WAREHOUSECD</t>
  </si>
  <si>
    <t>検品倉庫コード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</si>
  <si>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/6</t>
    </r>
  </si>
  <si>
    <t>センターCD
「WMS_コード変換テーブル.xlsx」参考の「店舗コード」</t>
  </si>
  <si>
    <t>発注伝票番号</t>
  </si>
  <si>
    <t>int64_t/10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</si>
  <si>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/10</t>
    </r>
  </si>
  <si>
    <t>納品経路区分</t>
  </si>
  <si>
    <t>DCAM.dlvroute_typeid</t>
  </si>
  <si>
    <t>GAPあり：現状TRIAL：1:店舗直納 2:センター納品
「WMS_コード変換テーブル.xlsx」参考</t>
  </si>
  <si>
    <t>通過在庫区分</t>
  </si>
  <si>
    <t>DCAM.tcdc_typeid</t>
  </si>
  <si>
    <t>GAPあり：現状TRIAL：0:無指定 1:TC 2:預りDC 3:買取DC
「WMS_コード変換テーブル.xlsx」参考</t>
  </si>
  <si>
    <t>納品形式区分</t>
  </si>
  <si>
    <t>DCAM.dlvway_typeid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</si>
  <si>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/2</t>
    </r>
  </si>
  <si>
    <t>GAPあり：現状TRIAL：01:総量 02:店別
MD基幹側マスタとのコード対応が必要。
「WMS_コード変換テーブル.xlsx」参考</t>
  </si>
  <si>
    <t>物流タイプ</t>
  </si>
  <si>
    <t>DCAM.DISTRIBUTIONTYPE</t>
  </si>
  <si>
    <t>GAPあり：現状TRIAL：0:DC(5:DC補充) 1:TC店別 2:TC総量 3:店舗直納 4:預託在庫
DIFBRANCHPURCHASEINFO.(適用)納品方法</t>
  </si>
  <si>
    <t>温度帯区分</t>
  </si>
  <si>
    <t>DCAM.thermal_zone_typeid</t>
  </si>
  <si>
    <r>
      <rPr>
        <sz val="10"/>
        <color rgb="FF000000"/>
        <rFont val="Meiryo UI"/>
        <charset val="1"/>
      </rPr>
      <t xml:space="preserve">WMS側にソースなし。商品マスタから補完
</t>
    </r>
    <r>
      <rPr>
        <b/>
        <sz val="10"/>
        <color rgb="FFFF0000"/>
        <rFont val="Meiryo UI"/>
        <charset val="1"/>
      </rPr>
      <t>PRODUCTS.管理温度帯コード</t>
    </r>
  </si>
  <si>
    <t>検品チェック済みフラグ</t>
  </si>
  <si>
    <t>int8_t/1</t>
  </si>
  <si>
    <t>現状TRIAL：1</t>
  </si>
  <si>
    <r>
      <rPr>
        <sz val="10"/>
        <color rgb="FF000000"/>
        <rFont val="Meiryo UI"/>
        <charset val="134"/>
      </rPr>
      <t>原価金額</t>
    </r>
    <r>
      <rPr>
        <sz val="10"/>
        <color rgb="FF000000"/>
        <rFont val="Meiryo UI"/>
        <charset val="1"/>
      </rPr>
      <t>(</t>
    </r>
    <r>
      <rPr>
        <sz val="10"/>
        <color rgb="FF000000"/>
        <rFont val="Meiryo UI"/>
        <charset val="134"/>
      </rPr>
      <t>税抜</t>
    </r>
    <r>
      <rPr>
        <sz val="10"/>
        <color rgb="FF000000"/>
        <rFont val="Meiryo UI"/>
        <charset val="1"/>
      </rPr>
      <t>)</t>
    </r>
  </si>
  <si>
    <t>現状TRIAL：0</t>
  </si>
  <si>
    <r>
      <rPr>
        <sz val="10"/>
        <color rgb="FF000000"/>
        <rFont val="Meiryo UI"/>
        <charset val="134"/>
      </rPr>
      <t>売価金額</t>
    </r>
    <r>
      <rPr>
        <sz val="10"/>
        <color rgb="FF000000"/>
        <rFont val="Meiryo UI"/>
        <charset val="1"/>
      </rPr>
      <t>(</t>
    </r>
    <r>
      <rPr>
        <sz val="10"/>
        <color rgb="FF000000"/>
        <rFont val="Meiryo UI"/>
        <charset val="134"/>
      </rPr>
      <t>税込</t>
    </r>
    <r>
      <rPr>
        <sz val="10"/>
        <color rgb="FF000000"/>
        <rFont val="Meiryo UI"/>
        <charset val="1"/>
      </rPr>
      <t>)</t>
    </r>
  </si>
  <si>
    <t>税区分</t>
  </si>
  <si>
    <t>tax_typeid</t>
  </si>
  <si>
    <r>
      <rPr>
        <sz val="10"/>
        <color rgb="FF000000"/>
        <rFont val="Meiryo UI"/>
        <charset val="1"/>
      </rPr>
      <t xml:space="preserve">WMS側にソースなし。商品マスタから補完
</t>
    </r>
    <r>
      <rPr>
        <b/>
        <sz val="10"/>
        <color rgb="FFFF0000"/>
        <rFont val="Meiryo UI"/>
        <charset val="1"/>
      </rPr>
      <t>MST_INCLUSIVE_TAX_TARGET.税フラグ</t>
    </r>
  </si>
  <si>
    <t>税率コード</t>
  </si>
  <si>
    <t>tax_id</t>
  </si>
  <si>
    <r>
      <rPr>
        <sz val="10"/>
        <color rgb="FF000000"/>
        <rFont val="Meiryo UI"/>
        <charset val="134"/>
      </rPr>
      <t xml:space="preserve">WMS側にソースなし。商品マスタから補完
</t>
    </r>
    <r>
      <rPr>
        <b/>
        <sz val="10"/>
        <color rgb="FFFF0000"/>
        <rFont val="Meiryo UI"/>
        <charset val="134"/>
      </rPr>
      <t>PRODUCTS.税率コード</t>
    </r>
  </si>
  <si>
    <t>計上日</t>
  </si>
  <si>
    <t>CONVERT(VARCHAR(12),DCAM.INSPDATE,112)</t>
  </si>
  <si>
    <t>計上日（実績確定日）</t>
  </si>
  <si>
    <t>削除フラグ</t>
  </si>
  <si>
    <t>登録日</t>
  </si>
  <si>
    <t>null</t>
  </si>
  <si>
    <t>登録時分秒</t>
  </si>
  <si>
    <t>dbTime_t/6</t>
  </si>
  <si>
    <t>登録者コード</t>
  </si>
  <si>
    <t>char/16</t>
  </si>
  <si>
    <t>DCAM.MAINTAINER</t>
  </si>
  <si>
    <t>西友固定指定を勧める
現状トライアル:99000112</t>
  </si>
  <si>
    <t>登録機能コード</t>
  </si>
  <si>
    <t>登録操作コード</t>
  </si>
  <si>
    <t>@ins_ope_id</t>
  </si>
  <si>
    <t>西友固定指定を勧める
現状トライアル:oulm00101</t>
  </si>
  <si>
    <t>行番号</t>
  </si>
  <si>
    <t>int8_t/2</t>
  </si>
  <si>
    <t>DCAM.SLIPLINENO</t>
  </si>
  <si>
    <t>伝票行番号</t>
  </si>
  <si>
    <r>
      <rPr>
        <sz val="10"/>
        <color rgb="FF000000"/>
        <rFont val="Meiryo UI"/>
        <charset val="134"/>
      </rPr>
      <t>数値</t>
    </r>
    <r>
      <rPr>
        <sz val="10"/>
        <color rgb="FF000000"/>
        <rFont val="Meiryo UI"/>
        <charset val="1"/>
      </rPr>
      <t>/3</t>
    </r>
  </si>
  <si>
    <t>MGAPあり：D基幹はint8_t(最大2桁=99まで)だが、WMSは3桁(最大999)。1伝票あたりの行数が100行を超えるケースがないか要確認（桁溢れリスク）。</t>
  </si>
  <si>
    <r>
      <rPr>
        <sz val="10"/>
        <color rgb="FF000000"/>
        <rFont val="Meiryo UI"/>
        <charset val="134"/>
      </rPr>
      <t>数量（</t>
    </r>
    <r>
      <rPr>
        <sz val="10"/>
        <color rgb="FF000000"/>
        <rFont val="Meiryo UI"/>
        <charset val="1"/>
      </rPr>
      <t>1000</t>
    </r>
    <r>
      <rPr>
        <sz val="10"/>
        <color rgb="FF000000"/>
        <rFont val="Meiryo UI"/>
        <charset val="134"/>
      </rPr>
      <t>倍）</t>
    </r>
  </si>
  <si>
    <t>DCAM.PKGQTY*1000</t>
  </si>
  <si>
    <t>確定数量（バラ）</t>
  </si>
  <si>
    <r>
      <rPr>
        <sz val="10"/>
        <color rgb="FF000000"/>
        <rFont val="Meiryo UI"/>
        <charset val="134"/>
      </rPr>
      <t>数値</t>
    </r>
    <r>
      <rPr>
        <sz val="10"/>
        <color rgb="FF000000"/>
        <rFont val="Meiryo UI"/>
        <charset val="1"/>
      </rPr>
      <t>/7</t>
    </r>
  </si>
  <si>
    <t>GAPあり：WMSの確定数量（バラ、入荷数量の実績値）を1000倍した値をMD基幹へ設定するロジックが必要。</t>
  </si>
  <si>
    <t>原単価（1000倍）</t>
  </si>
  <si>
    <t>DCAM.COSTPRICE*1000</t>
  </si>
  <si>
    <r>
      <rPr>
        <sz val="10"/>
        <color rgb="FF000000"/>
        <rFont val="Meiryo UI"/>
        <charset val="1"/>
      </rPr>
      <t xml:space="preserve">GAPあり：WMS側にソースなし。商品マスタから補完
</t>
    </r>
    <r>
      <rPr>
        <b/>
        <sz val="10"/>
        <color rgb="FFFF0000"/>
        <rFont val="Meiryo UI"/>
        <charset val="1"/>
      </rPr>
      <t>DIFBRANCHPURCHASEINFO.(適用)発注原価(8)*1000</t>
    </r>
  </si>
  <si>
    <t>原価金額</t>
  </si>
  <si>
    <t>cast(round(COSTPRICE*PKGQTY,0) as bigint)</t>
  </si>
  <si>
    <t>原単価*確定数量（バラ）</t>
  </si>
  <si>
    <t>売価金額</t>
  </si>
  <si>
    <t>cast(round(SALEPRICE*PKGQTY,0) as bigint)</t>
  </si>
  <si>
    <t>売単価*確定数量（バラ）</t>
  </si>
  <si>
    <t>売単価</t>
  </si>
  <si>
    <t>int32_t/10</t>
  </si>
  <si>
    <t>DCAM.SALEPRICE</t>
  </si>
  <si>
    <r>
      <rPr>
        <sz val="10"/>
        <color rgb="FF000000"/>
        <rFont val="Meiryo UI"/>
        <charset val="1"/>
      </rPr>
      <t xml:space="preserve">GAPあり：WMS側にソースなし。商品マスタから補完
</t>
    </r>
    <r>
      <rPr>
        <b/>
        <sz val="10"/>
        <color rgb="FFFF0000"/>
        <rFont val="Meiryo UI"/>
        <charset val="1"/>
      </rPr>
      <t>DIFBRANCHSALESINFO.(適用)基準売価(4)*1000</t>
    </r>
  </si>
  <si>
    <t>JAN</t>
  </si>
  <si>
    <t>char/13</t>
  </si>
  <si>
    <t>DCAM.PRODUCTCD</t>
  </si>
  <si>
    <t>商品コード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</si>
  <si>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/14</t>
    </r>
  </si>
  <si>
    <t>桁数差異（MD基幹13桁 / WMS14桁）</t>
  </si>
  <si>
    <t>理由区分</t>
  </si>
  <si>
    <t>DCAM.reason_typeid</t>
  </si>
  <si>
    <t>欠品理由区分</t>
  </si>
  <si>
    <r>
      <rPr>
        <sz val="10"/>
        <color rgb="FF000000"/>
        <rFont val="Meiryo UI"/>
        <charset val="134"/>
      </rPr>
      <t>文字列</t>
    </r>
    <r>
      <rPr>
        <sz val="10"/>
        <color rgb="FF000000"/>
        <rFont val="Meiryo UI"/>
        <charset val="1"/>
      </rPr>
      <t>/5</t>
    </r>
  </si>
  <si>
    <r>
      <rPr>
        <sz val="10"/>
        <color rgb="FF000000"/>
        <rFont val="Meiryo UI"/>
        <charset val="1"/>
      </rPr>
      <t>WMS</t>
    </r>
    <r>
      <rPr>
        <sz val="10"/>
        <color rgb="FF000000"/>
        <rFont val="Meiryo UI"/>
        <charset val="134"/>
      </rPr>
      <t>は「欠品無し＝</t>
    </r>
    <r>
      <rPr>
        <sz val="10"/>
        <color rgb="FF000000"/>
        <rFont val="Meiryo UI"/>
        <charset val="1"/>
      </rPr>
      <t>00000</t>
    </r>
    <r>
      <rPr>
        <sz val="10"/>
        <color rgb="FF000000"/>
        <rFont val="Meiryo UI"/>
        <charset val="134"/>
      </rPr>
      <t>固定／欠品有り＝</t>
    </r>
    <r>
      <rPr>
        <sz val="10"/>
        <color rgb="FF000000"/>
        <rFont val="Meiryo UI"/>
        <charset val="1"/>
      </rPr>
      <t>00001</t>
    </r>
    <r>
      <rPr>
        <sz val="10"/>
        <color rgb="FF000000"/>
        <rFont val="Meiryo UI"/>
        <charset val="134"/>
      </rPr>
      <t>固定（取引先責）」の</t>
    </r>
    <r>
      <rPr>
        <sz val="10"/>
        <color rgb="FF000000"/>
        <rFont val="Meiryo UI"/>
        <charset val="1"/>
      </rPr>
      <t>2</t>
    </r>
    <r>
      <rPr>
        <sz val="10"/>
        <color rgb="FF000000"/>
        <rFont val="Meiryo UI"/>
        <charset val="134"/>
      </rPr>
      <t>値。</t>
    </r>
    <r>
      <rPr>
        <sz val="10"/>
        <color rgb="FF000000"/>
        <rFont val="Meiryo UI"/>
        <charset val="1"/>
      </rPr>
      <t>MD</t>
    </r>
    <r>
      <rPr>
        <sz val="10"/>
        <color rgb="FF000000"/>
        <rFont val="Meiryo UI"/>
        <charset val="134"/>
      </rPr>
      <t>基幹の理由区分マスタへのコード変換が必要。</t>
    </r>
  </si>
  <si>
    <r>
      <rPr>
        <b/>
        <sz val="12"/>
        <color rgb="FFFFFFFF"/>
        <rFont val="Noto Sans CJK SC"/>
        <charset val="134"/>
      </rPr>
      <t>項目マッピング 判定サマリ ― 仕入伝票（</t>
    </r>
    <r>
      <rPr>
        <b/>
        <sz val="12"/>
        <color rgb="FFFFFFFF"/>
        <rFont val="Meiryo UI"/>
        <charset val="1"/>
      </rPr>
      <t>MD</t>
    </r>
    <r>
      <rPr>
        <b/>
        <sz val="12"/>
        <color rgb="FFFFFFFF"/>
        <rFont val="Noto Sans CJK SC"/>
        <charset val="134"/>
      </rPr>
      <t>基幹⇔</t>
    </r>
    <r>
      <rPr>
        <b/>
        <sz val="12"/>
        <color rgb="FFFFFFFF"/>
        <rFont val="Meiryo UI"/>
        <charset val="1"/>
      </rPr>
      <t>WMS IFSYLMS230R TC</t>
    </r>
    <r>
      <rPr>
        <b/>
        <sz val="12"/>
        <color rgb="FFFFFFFF"/>
        <rFont val="Noto Sans CJK SC"/>
        <charset val="134"/>
      </rPr>
      <t>総量入荷実績データ／</t>
    </r>
    <r>
      <rPr>
        <b/>
        <sz val="12"/>
        <color rgb="FFFFFFFF"/>
        <rFont val="Meiryo UI"/>
        <charset val="1"/>
      </rPr>
      <t>35</t>
    </r>
    <r>
      <rPr>
        <b/>
        <sz val="12"/>
        <color rgb="FFFFFFFF"/>
        <rFont val="Noto Sans CJK SC"/>
        <charset val="134"/>
      </rPr>
      <t>項目）</t>
    </r>
  </si>
  <si>
    <r>
      <rPr>
        <b/>
        <sz val="10"/>
        <color rgb="FFFFFFFF"/>
        <rFont val="Noto Sans CJK SC"/>
        <charset val="134"/>
      </rPr>
      <t>マスタ</t>
    </r>
    <r>
      <rPr>
        <b/>
        <sz val="10"/>
        <color rgb="FFFFFFFF"/>
        <rFont val="Meiryo UI"/>
        <charset val="1"/>
      </rPr>
      <t>/IF</t>
    </r>
    <r>
      <rPr>
        <b/>
        <sz val="10"/>
        <color rgb="FFFFFFFF"/>
        <rFont val="Noto Sans CJK SC"/>
        <charset val="134"/>
      </rPr>
      <t>区分</t>
    </r>
  </si>
  <si>
    <t>件数</t>
  </si>
  <si>
    <t>割合</t>
  </si>
  <si>
    <t>主な内容・対応方針</t>
  </si>
  <si>
    <r>
      <rPr>
        <sz val="11"/>
        <color theme="1"/>
        <rFont val="Noto Sans CJK SC"/>
        <charset val="134"/>
      </rPr>
      <t>仕入伝票（</t>
    </r>
    <r>
      <rPr>
        <sz val="11"/>
        <color theme="1"/>
        <rFont val="Calibri"/>
        <charset val="1"/>
      </rPr>
      <t>35</t>
    </r>
    <r>
      <rPr>
        <sz val="11"/>
        <color theme="1"/>
        <rFont val="Noto Sans CJK SC"/>
        <charset val="134"/>
      </rPr>
      <t>項目）</t>
    </r>
  </si>
  <si>
    <t>○ 直接マッピング可</t>
  </si>
  <si>
    <r>
      <rPr>
        <sz val="11"/>
        <color theme="1"/>
        <rFont val="Noto Sans CJK SC"/>
        <charset val="134"/>
      </rPr>
      <t>計上日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名称一致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、発注伝票番号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発注伝票番号として意味一致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の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項目のみ。</t>
    </r>
  </si>
  <si>
    <t>△ 変換・加工が必要</t>
  </si>
  <si>
    <r>
      <rPr>
        <sz val="11"/>
        <color theme="1"/>
        <rFont val="Noto Sans CJK SC"/>
        <charset val="134"/>
      </rPr>
      <t>部門コード階層結合、数量</t>
    </r>
    <r>
      <rPr>
        <sz val="11"/>
        <color theme="1"/>
        <rFont val="Calibri"/>
        <charset val="1"/>
      </rPr>
      <t>1000</t>
    </r>
    <r>
      <rPr>
        <sz val="11"/>
        <color theme="1"/>
        <rFont val="Noto Sans CJK SC"/>
        <charset val="134"/>
      </rPr>
      <t>倍変換、</t>
    </r>
    <r>
      <rPr>
        <sz val="11"/>
        <color theme="1"/>
        <rFont val="Calibri"/>
        <charset val="1"/>
      </rPr>
      <t>JAN</t>
    </r>
    <r>
      <rPr>
        <sz val="11"/>
        <color theme="1"/>
        <rFont val="Noto Sans CJK SC"/>
        <charset val="134"/>
      </rPr>
      <t>桁数変換、伝票区分候補データの変換、行番号桁数変換 等</t>
    </r>
  </si>
  <si>
    <r>
      <rPr>
        <b/>
        <sz val="10"/>
        <color rgb="FFC00000"/>
        <rFont val="Meiryo UI"/>
        <charset val="1"/>
      </rPr>
      <t>✕ GAP</t>
    </r>
    <r>
      <rPr>
        <b/>
        <sz val="10"/>
        <color rgb="FFC00000"/>
        <rFont val="Noto Sans CJK SC"/>
        <charset val="134"/>
      </rPr>
      <t>あり</t>
    </r>
  </si>
  <si>
    <r>
      <rPr>
        <sz val="11"/>
        <color theme="1"/>
        <rFont val="Noto Sans CJK SC"/>
        <charset val="134"/>
      </rPr>
      <t>原単価・原価金額・売単価・売価金額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単価情報が</t>
    </r>
    <r>
      <rPr>
        <sz val="11"/>
        <color theme="1"/>
        <rFont val="Calibri"/>
        <charset val="1"/>
      </rPr>
      <t>WMS</t>
    </r>
    <r>
      <rPr>
        <sz val="11"/>
        <color theme="1"/>
        <rFont val="Noto Sans CJK SC"/>
        <charset val="134"/>
      </rPr>
      <t>に存在しない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、伝票区分・伝票番号・通過在庫区分・温度帯区分の対応未定義</t>
    </r>
  </si>
  <si>
    <r>
      <rPr>
        <b/>
        <sz val="10"/>
        <color rgb="FF595959"/>
        <rFont val="Noto Sans CJK SC"/>
        <charset val="134"/>
      </rPr>
      <t>― 固定値</t>
    </r>
    <r>
      <rPr>
        <b/>
        <sz val="10"/>
        <color rgb="FF595959"/>
        <rFont val="Meiryo UI"/>
        <charset val="1"/>
      </rPr>
      <t>/NULL/</t>
    </r>
    <r>
      <rPr>
        <b/>
        <sz val="10"/>
        <color rgb="FF595959"/>
        <rFont val="Noto Sans CJK SC"/>
        <charset val="134"/>
      </rPr>
      <t>対象外</t>
    </r>
  </si>
  <si>
    <r>
      <rPr>
        <sz val="11"/>
        <color theme="1"/>
        <rFont val="Noto Sans CJK SC"/>
        <charset val="134"/>
      </rPr>
      <t>伝票</t>
    </r>
    <r>
      <rPr>
        <sz val="11"/>
        <color theme="1"/>
        <rFont val="Calibri"/>
        <charset val="1"/>
      </rPr>
      <t>ID</t>
    </r>
    <r>
      <rPr>
        <sz val="11"/>
        <color theme="1"/>
        <rFont val="Noto Sans CJK SC"/>
        <charset val="134"/>
      </rPr>
      <t>等</t>
    </r>
    <r>
      <rPr>
        <sz val="11"/>
        <color theme="1"/>
        <rFont val="Calibri"/>
        <charset val="1"/>
      </rPr>
      <t>MD</t>
    </r>
    <r>
      <rPr>
        <sz val="11"/>
        <color theme="1"/>
        <rFont val="Noto Sans CJK SC"/>
        <charset val="134"/>
      </rPr>
      <t>基幹内部採番項目、税区分・税率コード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必須緩和済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、登録者情報等の自動設定項目</t>
    </r>
  </si>
  <si>
    <t>ドキュメント名</t>
  </si>
  <si>
    <t>項目移送表</t>
  </si>
  <si>
    <t>インターフェースID</t>
  </si>
  <si>
    <t>IFSYLMS230R</t>
  </si>
  <si>
    <t>インターフェース名</t>
  </si>
  <si>
    <t>TC総量入荷実績データ</t>
  </si>
  <si>
    <t>連携方式</t>
  </si>
  <si>
    <t>インターフェース方向</t>
  </si>
  <si>
    <t>WMS⇒MD基幹システム</t>
  </si>
  <si>
    <t>データ連携方式</t>
  </si>
  <si>
    <t>SFTP（GET）</t>
  </si>
  <si>
    <t>全件／差分</t>
  </si>
  <si>
    <t>差分更新</t>
  </si>
  <si>
    <t>ファイル</t>
  </si>
  <si>
    <t>ファイル名</t>
  </si>
  <si>
    <t>フォーマット</t>
  </si>
  <si>
    <t>固定長</t>
  </si>
  <si>
    <t>文字コード</t>
  </si>
  <si>
    <t>ShiftJIS</t>
  </si>
  <si>
    <t>編集仕様
（【処理名】を記述）</t>
  </si>
  <si>
    <t>WMS</t>
  </si>
  <si>
    <t>No</t>
  </si>
  <si>
    <t>項目名称</t>
  </si>
  <si>
    <t>項目ＩＤ</t>
  </si>
  <si>
    <t>タイプ</t>
  </si>
  <si>
    <t>バイト</t>
  </si>
  <si>
    <t>実績</t>
  </si>
  <si>
    <t>備考</t>
  </si>
  <si>
    <t>データ区分</t>
  </si>
  <si>
    <t>文字列</t>
  </si>
  <si>
    <t>"23"固定</t>
  </si>
  <si>
    <t>処理日</t>
  </si>
  <si>
    <t>●</t>
  </si>
  <si>
    <t>MD基幹管理項目</t>
  </si>
  <si>
    <t>入力連番</t>
  </si>
  <si>
    <t>数値</t>
  </si>
  <si>
    <t>検品TC倉庫コード</t>
  </si>
  <si>
    <t>取引先コード6桁＋枝番3桁(デパ2桁＋連番1桁)</t>
  </si>
  <si>
    <t>納品形態区分</t>
  </si>
  <si>
    <t>12：TC総量入荷
10：TC店別入荷</t>
  </si>
  <si>
    <t>便区分</t>
  </si>
  <si>
    <t>01：1便、02：2便</t>
  </si>
  <si>
    <t>発注区分</t>
  </si>
  <si>
    <t>WMSからMD基幹へ送信する際にMD基幹内で管理している以下コードへ読み替える
01：定番　　　→　0：通常
22：特売　　　→　2：特売
21：本部発注　→　7：本部</t>
  </si>
  <si>
    <t>発注日</t>
  </si>
  <si>
    <t>YYYYMMDD</t>
  </si>
  <si>
    <t>YYYYMMDD　検品TC倉庫作業予定日</t>
  </si>
  <si>
    <t>YYYYMMDD　実績確定日</t>
  </si>
  <si>
    <t>部門グループコード</t>
  </si>
  <si>
    <t>Division</t>
  </si>
  <si>
    <t>Depa</t>
  </si>
  <si>
    <t>中分類コード</t>
  </si>
  <si>
    <t>西友ライン</t>
  </si>
  <si>
    <t>小分類コード</t>
  </si>
  <si>
    <t>Fineline</t>
  </si>
  <si>
    <t>発注数量（バラ）</t>
  </si>
  <si>
    <t>発注単位数</t>
  </si>
  <si>
    <t>総重量</t>
  </si>
  <si>
    <t>不定貫品の場合のみ
※整数部6桁小数部3桁</t>
  </si>
  <si>
    <t>入荷数量</t>
  </si>
  <si>
    <t>欠品無しの場合、00000固定
欠品有りの場合、00001固定（取引先責）</t>
  </si>
  <si>
    <t>欠品数量（バラ）</t>
  </si>
  <si>
    <t>欠品無しの場合、0000000固定
欠品有りの場合、XXXXXXX（欠品数量）</t>
  </si>
  <si>
    <t>FILLER</t>
  </si>
  <si>
    <t>半角スペース</t>
  </si>
  <si>
    <t>トライアル</t>
  </si>
  <si>
    <t>WMS(Hitluster)</t>
  </si>
  <si>
    <t>,NULL</t>
  </si>
  <si>
    <t>,DCAM.SLIPDIVISION</t>
  </si>
  <si>
    <t>,DCAM.SLIPNO</t>
  </si>
  <si>
    <t>,DCAM.DEMANDCD</t>
  </si>
  <si>
    <t>,DCAM.DEPARTMENTCD</t>
  </si>
  <si>
    <t>,DCAM.SUPPCD</t>
  </si>
  <si>
    <t>,DCAM.WAREHOUSECD</t>
  </si>
  <si>
    <t>,DCAM.dlvroute_typeid</t>
  </si>
  <si>
    <t>1:店舗直納 2:センター納品</t>
  </si>
  <si>
    <t>,DCAM.tcdc_typeid</t>
  </si>
  <si>
    <t>0:無指定 1:TC 2:預りDC 3:買取DC</t>
  </si>
  <si>
    <t>,DCAM.dlvway_typeid</t>
  </si>
  <si>
    <t>1:総量 2:店別</t>
  </si>
  <si>
    <r>
      <rPr>
        <sz val="11"/>
        <color theme="1"/>
        <rFont val="Meiryo UI"/>
        <charset val="1"/>
      </rPr>
      <t xml:space="preserve">0:DC 1:TC店別 2:TC総量 3:店舗直納 4:預託在庫 </t>
    </r>
    <r>
      <rPr>
        <sz val="11"/>
        <color theme="0" tint="-0.35"/>
        <rFont val="Meiryo UI"/>
        <charset val="1"/>
      </rPr>
      <t>5:DC補充</t>
    </r>
  </si>
  <si>
    <t>,1</t>
  </si>
  <si>
    <t>,0</t>
  </si>
  <si>
    <t>,tax_typeid</t>
  </si>
  <si>
    <t>,tax_id</t>
  </si>
  <si>
    <t>,CONVERT(VARCHAR(12),DCAM.INSPDATE,112)</t>
  </si>
  <si>
    <t>,null</t>
  </si>
  <si>
    <t>,DCAM.MAINTAINER</t>
  </si>
  <si>
    <t>,@ins_ope_id</t>
  </si>
  <si>
    <t>,DCAM.SLIPLINENO</t>
  </si>
  <si>
    <t>,DCAM.PKGQTY*1000</t>
  </si>
  <si>
    <r>
      <rPr>
        <sz val="10"/>
        <color rgb="FF000000"/>
        <rFont val="Meiryo UI"/>
        <charset val="134"/>
      </rPr>
      <t>原単価（</t>
    </r>
    <r>
      <rPr>
        <sz val="10"/>
        <color rgb="FF000000"/>
        <rFont val="Meiryo UI"/>
        <charset val="1"/>
      </rPr>
      <t>1000</t>
    </r>
    <r>
      <rPr>
        <sz val="10"/>
        <color rgb="FF000000"/>
        <rFont val="Meiryo UI"/>
        <charset val="134"/>
      </rPr>
      <t>倍）</t>
    </r>
  </si>
  <si>
    <t>,DCAM.COSTPRICE*1000</t>
  </si>
  <si>
    <t>,cast(round(COSTPRICE*PKGQTY,0) as bigint)</t>
  </si>
  <si>
    <t>,cast(round(SALEPRICE*PKGQTY,0) as bigint)</t>
  </si>
  <si>
    <t>,DCAM.SALEPRICE</t>
  </si>
  <si>
    <t>,DCAM.PRODUCTCD</t>
  </si>
  <si>
    <t>,DCAM.reason_typeid</t>
  </si>
  <si>
    <r>
      <rPr>
        <sz val="10"/>
        <color rgb="FF000000"/>
        <rFont val="Meiryo UI"/>
        <charset val="134"/>
      </rPr>
      <t>欠品無しの場合、00000固定</t>
    </r>
    <r>
      <rPr>
        <sz val="10"/>
        <color theme="1"/>
        <rFont val="Meiryo UI"/>
        <charset val="1"/>
      </rPr>
      <t xml:space="preserve">
欠品有りの場合、00001固定（取引先責）</t>
    </r>
  </si>
  <si>
    <r>
      <rPr>
        <sz val="10"/>
        <color rgb="FF000000"/>
        <rFont val="Meiryo UI"/>
        <charset val="134"/>
      </rPr>
      <t>WMSからMD基幹へ送信する際にMD基幹内で管理している以下コードへ読み替える</t>
    </r>
    <r>
      <rPr>
        <sz val="10"/>
        <color theme="1"/>
        <rFont val="Meiryo UI"/>
        <charset val="1"/>
      </rPr>
      <t xml:space="preserve">
01：定番　　　→　0：通常
22：特売　　　→　2：特売
21：本部発注　→　7：本部</t>
    </r>
  </si>
  <si>
    <r>
      <rPr>
        <sz val="10"/>
        <color rgb="FF000000"/>
        <rFont val="Meiryo UI"/>
        <charset val="134"/>
      </rPr>
      <t>欠品無しの場合、0000000固定</t>
    </r>
    <r>
      <rPr>
        <sz val="10"/>
        <color theme="1"/>
        <rFont val="Meiryo UI"/>
        <charset val="1"/>
      </rPr>
      <t xml:space="preserve">
欠品有りの場合、XXXXXXX（欠品数量）</t>
    </r>
  </si>
  <si>
    <r>
      <rPr>
        <sz val="10"/>
        <color rgb="FF000000"/>
        <rFont val="Meiryo UI"/>
        <charset val="134"/>
      </rPr>
      <t>不定貫品の場合のみ</t>
    </r>
    <r>
      <rPr>
        <sz val="10"/>
        <color theme="1"/>
        <rFont val="Meiryo UI"/>
        <charset val="1"/>
      </rPr>
      <t xml:space="preserve">
※整数部6桁小数部3桁</t>
    </r>
  </si>
  <si>
    <t>トライアル(基幹)</t>
  </si>
  <si>
    <t>トライアルWMS(LOMOS)</t>
  </si>
  <si>
    <t>FTP.dbo.wrk_Receiver_DCShippingResult</t>
  </si>
  <si>
    <t>FTP.dbo.wrk_Receiver_TCShippingResult</t>
  </si>
  <si>
    <t>↓</t>
  </si>
  <si>
    <t>更新状態</t>
  </si>
  <si>
    <t>OrderDB.dbo.TB_DCArrivalPlanDataAccum</t>
  </si>
  <si>
    <t>OrderDB.dbo.TB_OrderSlipDetailAccum</t>
  </si>
  <si>
    <t>OrderDB.dbo.TB_TCArrivalPlanDataAccum</t>
  </si>
  <si>
    <t>データ更新日時</t>
  </si>
  <si>
    <t>SELECT delivery_date, COALESCE(cast(slipid as varchar),'') as slipid, " +</t>
  </si>
  <si>
    <t>,CONVERT(VARCHAR(12),ArriveDate,112)</t>
  </si>
  <si>
    <t>,CONVERT(VARCHAR(12),#SLIT.INSPDATENew,112)</t>
  </si>
  <si>
    <t>delivery_date</t>
  </si>
  <si>
    <t xml:space="preserve">                                "COALESCE(cast(slip_hisid as varchar),'') as slip_hisid, slip_division, " +</t>
  </si>
  <si>
    <t>, COALESCE(cast(slipid as varchar),'') as slipid</t>
  </si>
  <si>
    <t xml:space="preserve">                                "slip_no, branchcd, departmentcd, suppliercd, through_branchcd, " +</t>
  </si>
  <si>
    <r>
      <rPr>
        <sz val="11"/>
        <color rgb="FF000000"/>
        <rFont val="Meiryo UI"/>
        <charset val="134"/>
      </rPr>
      <t>伝票履歴先頭</t>
    </r>
    <r>
      <rPr>
        <sz val="11"/>
        <color rgb="FF000000"/>
        <rFont val="Meiryo UI"/>
        <charset val="1"/>
      </rPr>
      <t>ID</t>
    </r>
  </si>
  <si>
    <t>伝票履歴先頭ID</t>
  </si>
  <si>
    <t>, " +"COALESCE(cast(slip_hisid as varchar),'') as slip_hisid</t>
  </si>
  <si>
    <t xml:space="preserve">                                "order_slipnumber, COALESCE(cast(dlvroute_typeid as varchar),'') as dlvroute_typeid, " +</t>
  </si>
  <si>
    <t>,SLIPDIVISION</t>
  </si>
  <si>
    <t>,TCAM.SLIPDIVISION</t>
  </si>
  <si>
    <t>, slip_division</t>
  </si>
  <si>
    <t xml:space="preserve">                                "COALESCE(cast(tcdc_typeid as varchar),'') as tcdc_typeid, " +</t>
  </si>
  <si>
    <t>,ORDM.SLIPNO</t>
  </si>
  <si>
    <t>,TCAM.SLIPNO</t>
  </si>
  <si>
    <t>伝票NO</t>
  </si>
  <si>
    <t>, " +"slip_no</t>
  </si>
  <si>
    <t xml:space="preserve">                                "COALESCE(cast(dlvway_typeid as varchar),'') as dlvway_typeid, distributiontype, " +</t>
  </si>
  <si>
    <t>,ORDM.DEMANDCD</t>
  </si>
  <si>
    <t>,TCAM.DEMANDCD</t>
  </si>
  <si>
    <t>店CD</t>
  </si>
  <si>
    <t>, branchcd</t>
  </si>
  <si>
    <t xml:space="preserve">                                "COALESCE(cast(thermal_zone_typeid as varchar),'') as thermal_zone_typeid, " +</t>
  </si>
  <si>
    <t>,DEPARTMENTCD</t>
  </si>
  <si>
    <t>,TCAM.DEPARTMENTCD</t>
  </si>
  <si>
    <t>部門CD</t>
  </si>
  <si>
    <t>, departmentcd</t>
  </si>
  <si>
    <t xml:space="preserve">                                "f_inspect_checked, abs(o_am) as o_am, abs(s_am) as s_am, tax_typeid, tax_id, " +</t>
  </si>
  <si>
    <t>,SUPPCD</t>
  </si>
  <si>
    <t>,TCAM.SUPPCD</t>
  </si>
  <si>
    <t>ベンダーCD</t>
  </si>
  <si>
    <t>, suppliercd</t>
  </si>
  <si>
    <t xml:space="preserve">                                "count_date, f_del, ins_date, COALESCE(cast(ins_time as varchar),'') as ins_time, " +</t>
  </si>
  <si>
    <t>,WAREHOUSECD</t>
  </si>
  <si>
    <t>,TCAM.WAREHOUSECD</t>
  </si>
  <si>
    <t>, through_branchcd</t>
  </si>
  <si>
    <t xml:space="preserve">                                "COALESCE(cast(ins_user_id as varchar),'') as ins_user_id, " +</t>
  </si>
  <si>
    <t>, " + "order_slipnumber</t>
  </si>
  <si>
    <t xml:space="preserve">                                "COALESCE(cast(ins_func_id as varchar),'') as ins_func_id, " +</t>
  </si>
  <si>
    <t>,dlvroute_typeid</t>
  </si>
  <si>
    <t>, COALESCE(cast(dlvroute_typeid as varchar),'') as dlvroute_typeid</t>
  </si>
  <si>
    <t xml:space="preserve">                                "COALESCE(cast(ins_ope_id as varchar),'') as ins_ope_id, slip_detail_number, " +</t>
  </si>
  <si>
    <t>,tcdc_typeid</t>
  </si>
  <si>
    <t>, " + "COALESCE(cast(tcdc_typeid as varchar),'') as tcdc_typeid</t>
  </si>
  <si>
    <t xml:space="preserve">                                "abs(delivery_qty) as delivery_qty, cost_price, abs(dlv_am) as dlv_am, " +</t>
  </si>
  <si>
    <t>,dlvway_typeid</t>
  </si>
  <si>
    <t>, " +"COALESCE(cast(dlvway_typeid as varchar),'') as dlvway_typeid</t>
  </si>
  <si>
    <t xml:space="preserve">                                "abs(sales_am) as sales_am, sales_price, product_cd, " +</t>
  </si>
  <si>
    <t>,DCAM.DISTRIBUTIONTYPE</t>
  </si>
  <si>
    <t>,DISTRIBUTIONTYPE</t>
  </si>
  <si>
    <t>,TCAM.DISTRIBUTIONTYPE</t>
  </si>
  <si>
    <t>, distributiontype</t>
  </si>
  <si>
    <t xml:space="preserve">                                "COALESCE(cast(reason_typeid as varchar),'') as reason_typeid FROM " +</t>
  </si>
  <si>
    <t>,DCAM.thermal_zone_typeid</t>
  </si>
  <si>
    <t>,thermal_zone_typeid</t>
  </si>
  <si>
    <t>, " + "COALESCE(cast(thermal_zone_typeid as varchar),'') as thermal_zone_typeid</t>
  </si>
  <si>
    <t xml:space="preserve">                                tableName + " where update_status = 1 ORDER BY slip_no,slip_detail_number",</t>
  </si>
  <si>
    <t>, " +"f_inspect_checked</t>
  </si>
  <si>
    <r>
      <rPr>
        <sz val="11"/>
        <color rgb="FF000000"/>
        <rFont val="Meiryo UI"/>
        <charset val="134"/>
      </rPr>
      <t>原価金額</t>
    </r>
    <r>
      <rPr>
        <sz val="11"/>
        <color rgb="FF000000"/>
        <rFont val="Meiryo UI"/>
        <charset val="1"/>
      </rPr>
      <t>(</t>
    </r>
    <r>
      <rPr>
        <sz val="11"/>
        <color rgb="FF000000"/>
        <rFont val="Meiryo UI"/>
        <charset val="134"/>
      </rPr>
      <t>税抜</t>
    </r>
    <r>
      <rPr>
        <sz val="11"/>
        <color rgb="FF000000"/>
        <rFont val="Meiryo UI"/>
        <charset val="1"/>
      </rPr>
      <t>)</t>
    </r>
  </si>
  <si>
    <t>原価金額(税抜)</t>
  </si>
  <si>
    <t>, abs(o_am) as o_am</t>
  </si>
  <si>
    <r>
      <rPr>
        <sz val="11"/>
        <color rgb="FF000000"/>
        <rFont val="Meiryo UI"/>
        <charset val="134"/>
      </rPr>
      <t>売価金額</t>
    </r>
    <r>
      <rPr>
        <sz val="11"/>
        <color rgb="FF000000"/>
        <rFont val="Meiryo UI"/>
        <charset val="1"/>
      </rPr>
      <t>(</t>
    </r>
    <r>
      <rPr>
        <sz val="11"/>
        <color rgb="FF000000"/>
        <rFont val="Meiryo UI"/>
        <charset val="134"/>
      </rPr>
      <t>税込</t>
    </r>
    <r>
      <rPr>
        <sz val="11"/>
        <color rgb="FF000000"/>
        <rFont val="Meiryo UI"/>
        <charset val="1"/>
      </rPr>
      <t>)</t>
    </r>
  </si>
  <si>
    <t>売価金額(税込)</t>
  </si>
  <si>
    <t>, abs(s_am) as s_am</t>
  </si>
  <si>
    <t>, tax_typeid</t>
  </si>
  <si>
    <t>, tax_id</t>
  </si>
  <si>
    <t>, " +"count_date</t>
  </si>
  <si>
    <t>, f_del</t>
  </si>
  <si>
    <t>, ins_date</t>
  </si>
  <si>
    <t>登録時刻</t>
  </si>
  <si>
    <t>, COALESCE(cast(ins_time as varchar),'') as ins_time</t>
  </si>
  <si>
    <t>,ORDM.MAINTAINER</t>
  </si>
  <si>
    <t>,TCAM.MAINTAINER</t>
  </si>
  <si>
    <t>, " + "COALESCE(cast(ins_user_id as varchar),'') as ins_user_id</t>
  </si>
  <si>
    <t>TMDLI0120</t>
  </si>
  <si>
    <t>wrk_tomd_transfer</t>
  </si>
  <si>
    <t>登録機能ID</t>
  </si>
  <si>
    <t>, " + "COALESCE(cast(ins_func_id as varchar),'') as ins_func_id</t>
  </si>
  <si>
    <t>TMDLI0110</t>
  </si>
  <si>
    <t>wrk_tomd_purchase</t>
  </si>
  <si>
    <t>oulm00101</t>
  </si>
  <si>
    <t>登録操作ID</t>
  </si>
  <si>
    <t>, " +"COALESCE(cast(ins_ope_id as varchar),'') as ins_ope_id</t>
  </si>
  <si>
    <t>,SLIPLINENO</t>
  </si>
  <si>
    <t>,TCAM.SLIPLINENO</t>
  </si>
  <si>
    <t>行NO</t>
  </si>
  <si>
    <t>, slip_detail_number</t>
  </si>
  <si>
    <r>
      <rPr>
        <sz val="11"/>
        <color rgb="FF000000"/>
        <rFont val="Meiryo UI"/>
        <charset val="134"/>
      </rPr>
      <t>数量（</t>
    </r>
    <r>
      <rPr>
        <sz val="11"/>
        <color rgb="FF000000"/>
        <rFont val="Meiryo UI"/>
        <charset val="1"/>
      </rPr>
      <t>1000</t>
    </r>
    <r>
      <rPr>
        <sz val="11"/>
        <color rgb="FF000000"/>
        <rFont val="Meiryo UI"/>
        <charset val="134"/>
      </rPr>
      <t>倍）</t>
    </r>
  </si>
  <si>
    <t>,PKGQTY*1000</t>
  </si>
  <si>
    <t>,TCAM.PKGQTY*1000</t>
  </si>
  <si>
    <t>納品数</t>
  </si>
  <si>
    <t>, " +"abs(delivery_qty) as delivery_qty</t>
  </si>
  <si>
    <r>
      <rPr>
        <b/>
        <sz val="11"/>
        <color rgb="FF000000"/>
        <rFont val="Meiryo UI"/>
        <charset val="134"/>
      </rPr>
      <t>原単価（</t>
    </r>
    <r>
      <rPr>
        <b/>
        <sz val="11"/>
        <color rgb="FF000000"/>
        <rFont val="Meiryo UI"/>
        <charset val="1"/>
      </rPr>
      <t>1000</t>
    </r>
    <r>
      <rPr>
        <b/>
        <sz val="11"/>
        <color rgb="FF000000"/>
        <rFont val="Meiryo UI"/>
        <charset val="134"/>
      </rPr>
      <t>倍）</t>
    </r>
  </si>
  <si>
    <t>,ITEMCOSTPRICE*1000</t>
  </si>
  <si>
    <t>,TCAM.COSTPRICE*1000</t>
  </si>
  <si>
    <t>原単価</t>
  </si>
  <si>
    <t>, cost_price</t>
  </si>
  <si>
    <t>,cast(round(ITEMCOSTPRICE*PKGQTY,0) as  bigint)</t>
  </si>
  <si>
    <t>,cast(round(PKGQTY*COSTPRICE,0) as bigint)</t>
  </si>
  <si>
    <t>, abs(dlv_am) as dlv_am</t>
  </si>
  <si>
    <t>,cast(round(ITEMSALEPRICE*PKGQTY,0) as  bigint)</t>
  </si>
  <si>
    <t>,cast(round(PKGQTY*SALEPRICE,0) as bigint)</t>
  </si>
  <si>
    <t>, " +"abs(sales_am) as sales_am</t>
  </si>
  <si>
    <t>,ITEMSALEPRICE</t>
  </si>
  <si>
    <t>,TCAM.SALEPRICE</t>
  </si>
  <si>
    <t>, sales_price</t>
  </si>
  <si>
    <t>,PRODUCTCD</t>
  </si>
  <si>
    <t>,TCAM.PRODUCTCD</t>
  </si>
  <si>
    <t>, product_cd</t>
  </si>
  <si>
    <t>,reason_typeid</t>
  </si>
  <si>
    <t>, " +"COALESCE(cast(reason_typeid as varchar),'') as reason_typeid</t>
  </si>
  <si>
    <t>TC店舗振替実績データ</t>
  </si>
  <si>
    <t>IFSYLMS240R_倉庫コード_YYYYMMDDhhmmss_連番.DAT</t>
  </si>
  <si>
    <t>店舗</t>
  </si>
  <si>
    <t>IFSYLMS240R_007451_20260625130454_015686.DAT_20260625133500</t>
  </si>
  <si>
    <t>管轄倉庫コード</t>
  </si>
  <si>
    <t>管轄倉庫着荷指定日</t>
  </si>
  <si>
    <t>店舗着荷指定日</t>
  </si>
  <si>
    <t>伝票行枝番</t>
  </si>
  <si>
    <t>出荷先コード</t>
  </si>
  <si>
    <t>出荷数量（バラ）</t>
  </si>
  <si>
    <t>出荷単位数</t>
  </si>
  <si>
    <t>店別重量</t>
  </si>
  <si>
    <t>欠品重量</t>
  </si>
  <si>
    <t>00168347</t>
  </si>
  <si>
    <t>007451</t>
  </si>
  <si>
    <t>001401902</t>
  </si>
  <si>
    <t>01</t>
  </si>
  <si>
    <t>08</t>
  </si>
  <si>
    <t>0008365291</t>
  </si>
  <si>
    <t>001</t>
  </si>
  <si>
    <t>4901820194176</t>
  </si>
  <si>
    <t>003338</t>
  </si>
  <si>
    <t>0000034</t>
  </si>
  <si>
    <t>0000002</t>
  </si>
  <si>
    <t>000000000</t>
  </si>
  <si>
    <t>00000</t>
  </si>
  <si>
    <t>0000000</t>
  </si>
  <si>
    <t>002</t>
  </si>
  <si>
    <t>003351</t>
  </si>
  <si>
    <t>0000018</t>
  </si>
  <si>
    <t>003</t>
  </si>
  <si>
    <t>003387</t>
  </si>
  <si>
    <t>0000024</t>
  </si>
  <si>
    <t>004</t>
  </si>
  <si>
    <t>003388</t>
  </si>
  <si>
    <t>0000022</t>
  </si>
  <si>
    <t>005</t>
  </si>
  <si>
    <t>003389</t>
  </si>
  <si>
    <t>0000038</t>
  </si>
  <si>
    <t>006</t>
  </si>
  <si>
    <t>003394</t>
  </si>
  <si>
    <t>0000028</t>
  </si>
  <si>
    <t>007</t>
  </si>
  <si>
    <t>003395</t>
  </si>
  <si>
    <t>0000040</t>
  </si>
  <si>
    <t>008</t>
  </si>
  <si>
    <t>003412</t>
  </si>
  <si>
    <t>009</t>
  </si>
  <si>
    <t>003414</t>
  </si>
  <si>
    <t>0000026</t>
  </si>
  <si>
    <t>010</t>
  </si>
  <si>
    <t>003416</t>
  </si>
  <si>
    <t>011</t>
  </si>
  <si>
    <t>003417</t>
  </si>
  <si>
    <t>012</t>
  </si>
  <si>
    <t>003419</t>
  </si>
  <si>
    <t>0000042</t>
  </si>
  <si>
    <t>013</t>
  </si>
  <si>
    <t>003420</t>
  </si>
  <si>
    <t>0000030</t>
  </si>
  <si>
    <t>014</t>
  </si>
  <si>
    <t>003424</t>
  </si>
  <si>
    <t>015</t>
  </si>
  <si>
    <t>003425</t>
  </si>
  <si>
    <t>0000032</t>
  </si>
  <si>
    <t>016</t>
  </si>
  <si>
    <t>003428</t>
  </si>
  <si>
    <t>0000054</t>
  </si>
  <si>
    <t>017</t>
  </si>
  <si>
    <t>003433</t>
  </si>
  <si>
    <t>018</t>
  </si>
  <si>
    <t>003441</t>
  </si>
  <si>
    <t>0000036</t>
  </si>
  <si>
    <t>019</t>
  </si>
  <si>
    <t>003443</t>
  </si>
  <si>
    <t>020</t>
  </si>
  <si>
    <t>005261</t>
  </si>
  <si>
    <t>0000048</t>
  </si>
  <si>
    <t>IFSYLMS230R_倉庫コード_YYYYMMDDhhmmss_連番.DAT</t>
  </si>
  <si>
    <t>IFSYLMS230R_007451_20260625130453_015685.DAT_20260625133500</t>
  </si>
  <si>
    <t>松本通過センター</t>
  </si>
  <si>
    <t>0000652</t>
  </si>
  <si>
    <t>4901820366016</t>
  </si>
  <si>
    <t>0000458</t>
  </si>
  <si>
    <t>4901820471215</t>
  </si>
  <si>
    <t>0000298</t>
  </si>
  <si>
    <t>DC出荷実績データ</t>
  </si>
  <si>
    <t>IFSYLMS220R_倉庫コード_YYYYMMDDhhmmss_連番.DAT</t>
  </si>
  <si>
    <t>IFSYLMS220R_007452_20260625130248_037858.DAT_20260625130500</t>
  </si>
  <si>
    <t>三郷在庫センター</t>
  </si>
  <si>
    <t>DC店別出荷(買取)</t>
  </si>
  <si>
    <t>移動平均単価</t>
  </si>
  <si>
    <t>00002052</t>
  </si>
  <si>
    <t>007452</t>
  </si>
  <si>
    <t>007428</t>
  </si>
  <si>
    <t>000001900</t>
  </si>
  <si>
    <t>0570</t>
  </si>
  <si>
    <t>0008512196</t>
  </si>
  <si>
    <t>4522646037838</t>
  </si>
  <si>
    <t>000004</t>
  </si>
  <si>
    <t>0000012</t>
  </si>
  <si>
    <t>000175200</t>
  </si>
  <si>
    <t>00002054</t>
  </si>
  <si>
    <t>007411</t>
  </si>
  <si>
    <t>0008512198</t>
  </si>
  <si>
    <t>4522646037821</t>
  </si>
  <si>
    <t>000015</t>
  </si>
  <si>
    <t>DC入荷実績データ</t>
  </si>
  <si>
    <t>IFSYLMS210R_倉庫コード_YYYYMMDDhhmmss_連番.DAT</t>
  </si>
  <si>
    <t>IFSYLMS210R_007455_20260625170526_027705.DAT_20260625173500</t>
  </si>
  <si>
    <t>仙台在庫センター</t>
  </si>
  <si>
    <t>30：DC総量入荷(買取)</t>
  </si>
  <si>
    <t>本部</t>
  </si>
  <si>
    <t>00000033</t>
  </si>
  <si>
    <t>007455</t>
  </si>
  <si>
    <t>011684920</t>
  </si>
  <si>
    <t>03</t>
  </si>
  <si>
    <t>0008510177</t>
  </si>
  <si>
    <t>4979803180119</t>
  </si>
  <si>
    <t>0000400</t>
  </si>
  <si>
    <t>00000063</t>
  </si>
  <si>
    <t>011684924</t>
  </si>
  <si>
    <t>02</t>
  </si>
  <si>
    <t>0008487033</t>
  </si>
  <si>
    <t>4901138883809</t>
  </si>
  <si>
    <t>0000010</t>
  </si>
  <si>
    <t>4901138883830</t>
  </si>
  <si>
    <t>0008360417</t>
  </si>
  <si>
    <t>0008360422</t>
  </si>
  <si>
    <t>0008360444</t>
  </si>
  <si>
    <t>0008360479</t>
  </si>
  <si>
    <t>0008360488</t>
  </si>
  <si>
    <t>0008362536</t>
  </si>
  <si>
    <t>0008362545</t>
  </si>
  <si>
    <t>0008362551</t>
  </si>
  <si>
    <t>0008362560</t>
  </si>
  <si>
    <t>0008362571</t>
  </si>
  <si>
    <t>0008364211</t>
  </si>
  <si>
    <t>0008364227</t>
  </si>
  <si>
    <t>0008364228</t>
  </si>
  <si>
    <t>0008364232</t>
  </si>
  <si>
    <t>0008365304</t>
  </si>
  <si>
    <t>0008365320</t>
  </si>
  <si>
    <t>0008389306</t>
  </si>
  <si>
    <t>0008389308</t>
  </si>
  <si>
    <t>0008400103</t>
  </si>
  <si>
    <t>0008408541</t>
  </si>
  <si>
    <t>0008418212</t>
  </si>
  <si>
    <t>0008418217</t>
  </si>
  <si>
    <t>0008418218</t>
  </si>
  <si>
    <t>0008418220</t>
  </si>
  <si>
    <t>0008418237</t>
  </si>
  <si>
    <t>0008418258</t>
  </si>
  <si>
    <t>0008418272</t>
  </si>
  <si>
    <t>0008418280</t>
  </si>
  <si>
    <t>0008421253</t>
  </si>
  <si>
    <t>0008421254</t>
  </si>
  <si>
    <t>0008426855</t>
  </si>
  <si>
    <t>0008461075</t>
  </si>
  <si>
    <t>0008471649</t>
  </si>
  <si>
    <t>0008473212</t>
  </si>
  <si>
    <t>0008473214</t>
  </si>
  <si>
    <t>0008482391</t>
  </si>
  <si>
    <t>0008484808</t>
  </si>
  <si>
    <t>0008484817</t>
  </si>
  <si>
    <t>0008484831</t>
  </si>
  <si>
    <t>0008484838</t>
  </si>
  <si>
    <t>0008484841</t>
  </si>
  <si>
    <t>0008484855</t>
  </si>
  <si>
    <t>0008484864</t>
  </si>
  <si>
    <t>0008484903</t>
  </si>
  <si>
    <t>0008486040</t>
  </si>
  <si>
    <t>0008499855</t>
  </si>
  <si>
    <t>0008507575</t>
  </si>
  <si>
    <t>0008507577</t>
  </si>
  <si>
    <t>0008507666</t>
  </si>
  <si>
    <t>0008507672</t>
  </si>
  <si>
    <t>0008507751</t>
  </si>
  <si>
    <t>0008507898</t>
  </si>
  <si>
    <t>0008507925</t>
  </si>
  <si>
    <t>0008508856</t>
  </si>
  <si>
    <t>0008508858</t>
  </si>
  <si>
    <t>0008509841</t>
  </si>
  <si>
    <t>0008509850</t>
  </si>
  <si>
    <t>0008510124</t>
  </si>
  <si>
    <t>0008515072</t>
  </si>
  <si>
    <t>0008515102</t>
  </si>
  <si>
    <t>0008515104</t>
  </si>
  <si>
    <t>0008515106</t>
  </si>
  <si>
    <t>0008515111</t>
  </si>
  <si>
    <t>0008515113</t>
  </si>
  <si>
    <t>0008515115</t>
  </si>
  <si>
    <t>0008515117</t>
  </si>
  <si>
    <t>0008515119</t>
  </si>
  <si>
    <t>0008515120</t>
  </si>
  <si>
    <t>0008515125</t>
  </si>
  <si>
    <t>0008515135</t>
  </si>
  <si>
    <t>0008515139</t>
  </si>
  <si>
    <t>0008515142</t>
  </si>
  <si>
    <t>0008515143</t>
  </si>
  <si>
    <t>0008515151</t>
  </si>
  <si>
    <t>0008515166</t>
  </si>
  <si>
    <t>0008515167</t>
  </si>
  <si>
    <t>0008515173</t>
  </si>
  <si>
    <t>0008515211</t>
  </si>
  <si>
    <t>0008515219</t>
  </si>
  <si>
    <t>0008515226</t>
  </si>
  <si>
    <t>0008515234</t>
  </si>
  <si>
    <t>0008515239</t>
  </si>
  <si>
    <t>0008515247</t>
  </si>
  <si>
    <t>0008515259</t>
  </si>
  <si>
    <t>0008515260</t>
  </si>
  <si>
    <t>0008515265</t>
  </si>
  <si>
    <t>0008515280</t>
  </si>
  <si>
    <t>0008515285</t>
  </si>
  <si>
    <t>0008515337</t>
  </si>
  <si>
    <t>0008515352</t>
  </si>
  <si>
    <t>0008515353</t>
  </si>
  <si>
    <t>0008515372</t>
  </si>
  <si>
    <t>0008515374</t>
  </si>
  <si>
    <t>0008515387</t>
  </si>
  <si>
    <t>0008515388</t>
  </si>
  <si>
    <t>0008515406</t>
  </si>
  <si>
    <t>0008515407</t>
  </si>
  <si>
    <t>0008515409</t>
  </si>
  <si>
    <t>0008515411</t>
  </si>
  <si>
    <t>0008515414</t>
  </si>
  <si>
    <t>0008515492</t>
  </si>
  <si>
    <t>0008515518</t>
  </si>
  <si>
    <t>0008515540</t>
  </si>
  <si>
    <t>0008515565</t>
  </si>
  <si>
    <t>0008515566</t>
  </si>
  <si>
    <t>0008515569</t>
  </si>
  <si>
    <t>0008515605</t>
  </si>
  <si>
    <t>0008515606</t>
  </si>
  <si>
    <t>0008515699</t>
  </si>
  <si>
    <t>0008515700</t>
  </si>
  <si>
    <t>0008515740</t>
  </si>
  <si>
    <t>0008515741</t>
  </si>
  <si>
    <t>0008515752</t>
  </si>
  <si>
    <t>0008515765</t>
  </si>
  <si>
    <t>0008515766</t>
  </si>
  <si>
    <t>0008515855</t>
  </si>
  <si>
    <t>0008515864</t>
  </si>
  <si>
    <t>0008515875</t>
  </si>
  <si>
    <t>0008515889</t>
  </si>
  <si>
    <t>0008515890</t>
  </si>
  <si>
    <t>0008516028</t>
  </si>
  <si>
    <t>0008516039</t>
  </si>
  <si>
    <t>0008516044</t>
  </si>
  <si>
    <t>0008516049</t>
  </si>
  <si>
    <t>0008516076</t>
  </si>
  <si>
    <t>0008516081</t>
  </si>
  <si>
    <t>0008516086</t>
  </si>
  <si>
    <t>0008516092</t>
  </si>
  <si>
    <t>0008516115</t>
  </si>
  <si>
    <t>0008516116</t>
  </si>
  <si>
    <t>0008516130</t>
  </si>
  <si>
    <t>0008516131</t>
  </si>
  <si>
    <t>0008516142</t>
  </si>
  <si>
    <t>0008516160</t>
  </si>
  <si>
    <t>0008516753</t>
  </si>
  <si>
    <t>0008516762</t>
  </si>
  <si>
    <t>0008516763</t>
  </si>
  <si>
    <t>0008516768</t>
  </si>
  <si>
    <t>0008516770</t>
  </si>
  <si>
    <t>0008516772</t>
  </si>
  <si>
    <t>0008516773</t>
  </si>
  <si>
    <t>0008516775</t>
  </si>
  <si>
    <t>0008516782</t>
  </si>
  <si>
    <t>0008516785</t>
  </si>
  <si>
    <t>0008516787</t>
  </si>
  <si>
    <t>0008516795</t>
  </si>
  <si>
    <t>0008516802</t>
  </si>
  <si>
    <t>0008516804</t>
  </si>
  <si>
    <t>0008516812</t>
  </si>
  <si>
    <t>0008516814</t>
  </si>
  <si>
    <t>0008516815</t>
  </si>
  <si>
    <t>0008516817</t>
  </si>
  <si>
    <t>0008516842</t>
  </si>
  <si>
    <t>0008516845</t>
  </si>
  <si>
    <t>0008516861</t>
  </si>
  <si>
    <t>0008516866</t>
  </si>
  <si>
    <t>0008516875</t>
  </si>
  <si>
    <t>0008516887</t>
  </si>
  <si>
    <t>0008516893</t>
  </si>
  <si>
    <t>0008516897</t>
  </si>
  <si>
    <t>0008516900</t>
  </si>
  <si>
    <t>0008516930</t>
  </si>
  <si>
    <t>0008516942</t>
  </si>
  <si>
    <t>0008516947</t>
  </si>
  <si>
    <t>0008516957</t>
  </si>
  <si>
    <t>0008516963</t>
  </si>
  <si>
    <t>0008516971</t>
  </si>
  <si>
    <t>0008516977</t>
  </si>
  <si>
    <t>0008516984</t>
  </si>
  <si>
    <t>0008516989</t>
  </si>
  <si>
    <t>0008517001</t>
  </si>
  <si>
    <t>0008517004</t>
  </si>
  <si>
    <t>0008517008</t>
  </si>
  <si>
    <t>0008517033</t>
  </si>
  <si>
    <t>0008517074</t>
  </si>
  <si>
    <t>0008517083</t>
  </si>
  <si>
    <t>0008517092</t>
  </si>
  <si>
    <t>0008517127</t>
  </si>
  <si>
    <t>0008517141</t>
  </si>
  <si>
    <t>0008517158</t>
  </si>
  <si>
    <t>0008517165</t>
  </si>
  <si>
    <t>0008517191</t>
  </si>
  <si>
    <t>0008517193</t>
  </si>
  <si>
    <t>0008517334</t>
  </si>
  <si>
    <t>0008517336</t>
  </si>
  <si>
    <t>0008517356</t>
  </si>
  <si>
    <t>0008517364</t>
  </si>
  <si>
    <t>0008517383</t>
  </si>
  <si>
    <t>0008517417</t>
  </si>
  <si>
    <t>0008517768</t>
  </si>
  <si>
    <t>0008517772</t>
  </si>
  <si>
    <t>0008517773</t>
  </si>
  <si>
    <t>0008517779</t>
  </si>
  <si>
    <t>0008517787</t>
  </si>
  <si>
    <t>0008517793</t>
  </si>
  <si>
    <t>0008517794</t>
  </si>
  <si>
    <t>0008517796</t>
  </si>
  <si>
    <t>0008517799</t>
  </si>
  <si>
    <t>0008517800</t>
  </si>
  <si>
    <t>0008517804</t>
  </si>
  <si>
    <t>0008517805</t>
  </si>
  <si>
    <t>0008517812</t>
  </si>
  <si>
    <t>0008517813</t>
  </si>
  <si>
    <t>0008517824</t>
  </si>
  <si>
    <t>0008517829</t>
  </si>
  <si>
    <t>0008517831</t>
  </si>
  <si>
    <t>0008517833</t>
  </si>
  <si>
    <t>0008517837</t>
  </si>
  <si>
    <t>0008517839</t>
  </si>
  <si>
    <t>0008517853</t>
  </si>
  <si>
    <t>0008517858</t>
  </si>
  <si>
    <t>0008517869</t>
  </si>
  <si>
    <t>0008517878</t>
  </si>
  <si>
    <t>0008517881</t>
  </si>
  <si>
    <t>0008517882</t>
  </si>
  <si>
    <t>0008517934</t>
  </si>
  <si>
    <t>0008517935</t>
  </si>
  <si>
    <t>0008517946</t>
  </si>
  <si>
    <t>0008517962</t>
  </si>
  <si>
    <t>0008517975</t>
  </si>
  <si>
    <t>0008517976</t>
  </si>
  <si>
    <t>0008517989</t>
  </si>
  <si>
    <t>0008518049</t>
  </si>
  <si>
    <t>0008518050</t>
  </si>
  <si>
    <t>0008518064</t>
  </si>
  <si>
    <t>0008518075</t>
  </si>
  <si>
    <t>0008518083</t>
  </si>
  <si>
    <t>0008518086</t>
  </si>
  <si>
    <t>0008518094</t>
  </si>
  <si>
    <t>0008518115</t>
  </si>
  <si>
    <t>0008518116</t>
  </si>
  <si>
    <t>0008518131</t>
  </si>
  <si>
    <t>0008518145</t>
  </si>
  <si>
    <t>0008518154</t>
  </si>
  <si>
    <t>0008518169</t>
  </si>
  <si>
    <t>0008518184</t>
  </si>
  <si>
    <t>0008518199</t>
  </si>
  <si>
    <t>0008518200</t>
  </si>
  <si>
    <t>0008518208</t>
  </si>
  <si>
    <t>0008518221</t>
  </si>
  <si>
    <t>0008518298</t>
  </si>
  <si>
    <t>0008518310</t>
  </si>
  <si>
    <t>0008518313</t>
  </si>
  <si>
    <t>0008518314</t>
  </si>
  <si>
    <t>0008518328</t>
  </si>
  <si>
    <t>0008518333</t>
  </si>
  <si>
    <t>0008518338</t>
  </si>
  <si>
    <t>0008518339</t>
  </si>
  <si>
    <t>0008518353</t>
  </si>
  <si>
    <t>0008518373</t>
  </si>
  <si>
    <t>0008518374</t>
  </si>
  <si>
    <t>0008518376</t>
  </si>
  <si>
    <t>0008518387</t>
  </si>
  <si>
    <t>0008518407</t>
  </si>
  <si>
    <t>0008518417</t>
  </si>
  <si>
    <t>0008518435</t>
  </si>
  <si>
    <t>0008518439</t>
  </si>
  <si>
    <t>0008518566</t>
  </si>
  <si>
    <t>0008518573</t>
  </si>
  <si>
    <t>0008518578</t>
  </si>
  <si>
    <t>0008518580</t>
  </si>
  <si>
    <t>0008518582</t>
  </si>
  <si>
    <t>0008518584</t>
  </si>
  <si>
    <t>0008518586</t>
  </si>
  <si>
    <t>0008518588</t>
  </si>
  <si>
    <t>0008518590</t>
  </si>
  <si>
    <t>0008518592</t>
  </si>
  <si>
    <t>0008518594</t>
  </si>
  <si>
    <t>0008518596</t>
  </si>
  <si>
    <t>0008518598</t>
  </si>
  <si>
    <t>0008518606</t>
  </si>
  <si>
    <t>0008518620</t>
  </si>
  <si>
    <t>0008518638</t>
  </si>
  <si>
    <t>0008518708</t>
  </si>
  <si>
    <t>0008523388</t>
  </si>
  <si>
    <t>0008523390</t>
  </si>
  <si>
    <t>0008523392</t>
  </si>
  <si>
    <t>0008523407</t>
  </si>
  <si>
    <t>0008523408</t>
  </si>
  <si>
    <t>0008523411</t>
  </si>
  <si>
    <t>0008523412</t>
  </si>
  <si>
    <t>0008523416</t>
  </si>
  <si>
    <t>0008523431</t>
  </si>
  <si>
    <t>0008523432</t>
  </si>
  <si>
    <t>0008523434</t>
  </si>
  <si>
    <t>0008523436</t>
  </si>
  <si>
    <t>0008523449</t>
  </si>
  <si>
    <t>0008523455</t>
  </si>
  <si>
    <t>0008523456</t>
  </si>
  <si>
    <t>0008523460</t>
  </si>
  <si>
    <t>0008523461</t>
  </si>
  <si>
    <t>0008523464</t>
  </si>
  <si>
    <t>0008523465</t>
  </si>
  <si>
    <t>0008523472</t>
  </si>
  <si>
    <t>0008523478</t>
  </si>
  <si>
    <t>0008523512</t>
  </si>
  <si>
    <t>0008523544</t>
  </si>
  <si>
    <t>0008523556</t>
  </si>
  <si>
    <t>0008523590</t>
  </si>
  <si>
    <t>0008523613</t>
  </si>
  <si>
    <t>0008523640</t>
  </si>
  <si>
    <t>0008523641</t>
  </si>
  <si>
    <t>0008523668</t>
  </si>
  <si>
    <t>0008526407</t>
  </si>
  <si>
    <t>0008526408</t>
  </si>
  <si>
    <t>0008526420</t>
  </si>
  <si>
    <t>0008526434</t>
  </si>
  <si>
    <t>0008527270</t>
  </si>
  <si>
    <t>0008527275</t>
  </si>
  <si>
    <t>0008527276</t>
  </si>
  <si>
    <t>0008527279</t>
  </si>
  <si>
    <t>0008527280</t>
  </si>
  <si>
    <t>0008527282</t>
  </si>
  <si>
    <t>0008527284</t>
  </si>
  <si>
    <t>0008527286</t>
  </si>
  <si>
    <t>0008527291</t>
  </si>
  <si>
    <t>0008527292</t>
  </si>
  <si>
    <t>0008527295</t>
  </si>
  <si>
    <t>0008527296</t>
  </si>
  <si>
    <t>0008527299</t>
  </si>
  <si>
    <t>0008527301</t>
  </si>
  <si>
    <t>0008527307</t>
  </si>
  <si>
    <t>0008527317</t>
  </si>
  <si>
    <t>0008527323</t>
  </si>
  <si>
    <t>0008527353</t>
  </si>
  <si>
    <t>0008527354</t>
  </si>
  <si>
    <t>0008527369</t>
  </si>
  <si>
    <t>0008527378</t>
  </si>
  <si>
    <t>0008527385</t>
  </si>
  <si>
    <t>0008527399</t>
  </si>
  <si>
    <t>0008527406</t>
  </si>
  <si>
    <t>0008527419</t>
  </si>
  <si>
    <t>0008527420</t>
  </si>
  <si>
    <t>0008527438</t>
  </si>
  <si>
    <t>0008527439</t>
  </si>
  <si>
    <t>0008527459</t>
  </si>
  <si>
    <t>0008527466</t>
  </si>
  <si>
    <t>0008527473</t>
  </si>
  <si>
    <t>0008528240</t>
  </si>
  <si>
    <t>0008528242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</si>
</sst>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\&quot;* #,##0_ ;_ &quot;\&quot;* \-#,##0_ ;_ &quot;\&quot;* &quot;-&quot;_ ;_ @_ "/>
    <numFmt numFmtId="43" formatCode="_ * #,##0.00_ ;_ * \-#,##0.00_ ;_ * &quot;-&quot;??_ ;_ @_ "/>
    <numFmt numFmtId="44" formatCode="_ &quot;\&quot;* #,##0.00_ ;_ &quot;\&quot;* \-#,##0.00_ ;_ &quot;\&quot;* &quot;-&quot;??_ ;_ @_ "/>
  </numFmts>
  <fonts count="60">
    <font>
      <sz val="11"/>
      <color theme="1"/>
      <name val="Calibri"/>
      <charset val="1"/>
    </font>
    <font>
      <sz val="11"/>
      <color theme="1"/>
      <name val="Meiryo UI"/>
      <charset val="134"/>
    </font>
    <font>
      <sz val="11"/>
      <color theme="1"/>
      <name val="SimSun"/>
      <charset val="1"/>
    </font>
    <font>
      <sz val="10"/>
      <name val="ＭＳ ゴシック"/>
      <charset val="128"/>
    </font>
    <font>
      <sz val="10"/>
      <color theme="1"/>
      <name val="Meiryo UI"/>
      <charset val="1"/>
    </font>
    <font>
      <b/>
      <sz val="10"/>
      <color rgb="FFFF0000"/>
      <name val="Meiryo UI"/>
      <charset val="1"/>
    </font>
    <font>
      <b/>
      <sz val="10"/>
      <color theme="1"/>
      <name val="Meiryo UI"/>
      <charset val="1"/>
    </font>
    <font>
      <sz val="11"/>
      <color theme="1"/>
      <name val="Meiryo UI"/>
      <charset val="1"/>
    </font>
    <font>
      <b/>
      <sz val="11"/>
      <color theme="1"/>
      <name val="Meiryo UI"/>
      <charset val="1"/>
    </font>
    <font>
      <b/>
      <sz val="11"/>
      <color rgb="FFFF0000"/>
      <name val="Meiryo UI"/>
      <charset val="1"/>
    </font>
    <font>
      <sz val="11"/>
      <color rgb="FFFF0000"/>
      <name val="Meiryo UI"/>
      <charset val="1"/>
    </font>
    <font>
      <sz val="11"/>
      <color rgb="FF000000"/>
      <name val="Meiryo UI"/>
      <charset val="134"/>
    </font>
    <font>
      <b/>
      <sz val="11"/>
      <color rgb="FFFF0000"/>
      <name val="Meiryo UI"/>
      <charset val="134"/>
    </font>
    <font>
      <b/>
      <sz val="11"/>
      <color rgb="FF000000"/>
      <name val="Meiryo UI"/>
      <charset val="134"/>
    </font>
    <font>
      <sz val="11"/>
      <color rgb="FF000000"/>
      <name val="Meiryo UI"/>
      <charset val="1"/>
    </font>
    <font>
      <sz val="10"/>
      <color rgb="FF000000"/>
      <name val="Meiryo UI"/>
      <charset val="134"/>
    </font>
    <font>
      <sz val="10"/>
      <color rgb="FF000000"/>
      <name val="Meiryo UI"/>
      <charset val="1"/>
    </font>
    <font>
      <sz val="12"/>
      <name val="ＭＳ ゴシック"/>
      <charset val="128"/>
    </font>
    <font>
      <sz val="12"/>
      <color rgb="FFFF0000"/>
      <name val="ＭＳ ゴシック"/>
      <charset val="128"/>
    </font>
    <font>
      <b/>
      <sz val="16"/>
      <name val="ＭＳ ゴシック"/>
      <charset val="128"/>
    </font>
    <font>
      <b/>
      <sz val="12"/>
      <color rgb="FFFFFFFF"/>
      <name val="Noto Sans CJK SC"/>
      <charset val="134"/>
    </font>
    <font>
      <b/>
      <sz val="10"/>
      <color rgb="FFFFFFFF"/>
      <name val="Noto Sans CJK SC"/>
      <charset val="134"/>
    </font>
    <font>
      <sz val="11"/>
      <color theme="1"/>
      <name val="Noto Sans CJK SC"/>
      <charset val="134"/>
    </font>
    <font>
      <b/>
      <sz val="10"/>
      <color rgb="FF1A7340"/>
      <name val="Noto Sans CJK SC"/>
      <charset val="134"/>
    </font>
    <font>
      <b/>
      <sz val="10"/>
      <color rgb="FF7F4F00"/>
      <name val="Noto Sans CJK SC"/>
      <charset val="134"/>
    </font>
    <font>
      <b/>
      <sz val="10"/>
      <color rgb="FFC00000"/>
      <name val="Meiryo UI"/>
      <charset val="1"/>
    </font>
    <font>
      <b/>
      <sz val="10"/>
      <color rgb="FF595959"/>
      <name val="Noto Sans CJK SC"/>
      <charset val="134"/>
    </font>
    <font>
      <b/>
      <sz val="12"/>
      <color rgb="FFFFFFFF"/>
      <name val="Meiryo UI"/>
      <charset val="134"/>
    </font>
    <font>
      <b/>
      <sz val="10"/>
      <color rgb="FFFFFFFF"/>
      <name val="Meiryo UI"/>
      <charset val="1"/>
    </font>
    <font>
      <b/>
      <sz val="10"/>
      <color rgb="FFFFFFFF"/>
      <name val="Meiryo UI"/>
      <charset val="134"/>
    </font>
    <font>
      <b/>
      <sz val="10"/>
      <color rgb="FF7F4F00"/>
      <name val="Meiryo UI"/>
      <charset val="1"/>
    </font>
    <font>
      <b/>
      <sz val="9"/>
      <color rgb="FF475569"/>
      <name val="Meiryo UI"/>
      <charset val="134"/>
    </font>
    <font>
      <sz val="9"/>
      <color rgb="FF1A2E4A"/>
      <name val="Meiryo UI"/>
      <charset val="134"/>
    </font>
    <font>
      <b/>
      <sz val="10"/>
      <color rgb="FFFF0000"/>
      <name val="Meiryo UI"/>
      <charset val="134"/>
    </font>
    <font>
      <b/>
      <sz val="10"/>
      <color rgb="FF1A7340"/>
      <name val="Meiryo UI"/>
      <charset val="1"/>
    </font>
    <font>
      <b/>
      <sz val="10"/>
      <color rgb="FF595959"/>
      <name val="Meiryo U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FFFF"/>
      <name val="Meiryo UI"/>
      <charset val="1"/>
    </font>
    <font>
      <b/>
      <sz val="11"/>
      <color rgb="FF000000"/>
      <name val="Meiryo UI"/>
      <charset val="1"/>
    </font>
    <font>
      <sz val="11"/>
      <color theme="0" tint="-0.35"/>
      <name val="Meiryo UI"/>
      <charset val="1"/>
    </font>
    <font>
      <b/>
      <sz val="10"/>
      <color rgb="FFC00000"/>
      <name val="Noto Sans CJK SC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7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7FB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6" fillId="0" borderId="0" applyBorder="0" applyAlignment="0" applyProtection="0"/>
    <xf numFmtId="44" fontId="36" fillId="0" borderId="0" applyBorder="0" applyAlignment="0" applyProtection="0"/>
    <xf numFmtId="9" fontId="36" fillId="0" borderId="0" applyBorder="0" applyAlignment="0" applyProtection="0"/>
    <xf numFmtId="41" fontId="36" fillId="0" borderId="0" applyBorder="0" applyAlignment="0" applyProtection="0"/>
    <xf numFmtId="42" fontId="36" fillId="0" borderId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14" borderId="9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5" borderId="12" applyNumberFormat="0" applyAlignment="0" applyProtection="0">
      <alignment vertical="center"/>
    </xf>
    <xf numFmtId="0" fontId="46" fillId="16" borderId="13" applyNumberFormat="0" applyAlignment="0" applyProtection="0">
      <alignment vertical="center"/>
    </xf>
    <xf numFmtId="0" fontId="47" fillId="16" borderId="12" applyNumberFormat="0" applyAlignment="0" applyProtection="0">
      <alignment vertical="center"/>
    </xf>
    <xf numFmtId="0" fontId="48" fillId="17" borderId="14" applyNumberFormat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11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13" fillId="3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4" fillId="3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/>
    </xf>
    <xf numFmtId="0" fontId="17" fillId="0" borderId="4" xfId="0" applyFont="1" applyFill="1" applyBorder="1" applyAlignment="1">
      <alignment vertical="center"/>
    </xf>
    <xf numFmtId="0" fontId="17" fillId="0" borderId="4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7" fillId="0" borderId="0" xfId="0" applyFont="1" applyBorder="1"/>
    <xf numFmtId="0" fontId="27" fillId="8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left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 wrapText="1"/>
    </xf>
    <xf numFmtId="0" fontId="7" fillId="0" borderId="0" xfId="0" applyFont="1" quotePrefix="1"/>
    <xf numFmtId="0" fontId="7" fillId="0" borderId="0" xfId="0" applyFont="1" applyAlignment="1" quotePrefix="1">
      <alignment horizontal="left"/>
    </xf>
    <xf numFmtId="0" fontId="4" fillId="0" borderId="1" xfId="0" applyFont="1" applyBorder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indexed="42"/>
        </patternFill>
      </fill>
    </dxf>
    <dxf>
      <fill>
        <patternFill patternType="solid">
          <bgColor indexed="2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734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7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7F4F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9" Type="http://schemas.openxmlformats.org/officeDocument/2006/relationships/styles" Target="styles.xml"/><Relationship Id="rId68" Type="http://schemas.openxmlformats.org/officeDocument/2006/relationships/sharedStrings" Target="sharedStrings.xml"/><Relationship Id="rId67" Type="http://schemas.openxmlformats.org/officeDocument/2006/relationships/theme" Target="theme/theme1.xml"/><Relationship Id="rId66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58.xml"/><Relationship Id="rId64" Type="http://schemas.openxmlformats.org/officeDocument/2006/relationships/externalLink" Target="externalLinks/externalLink57.xml"/><Relationship Id="rId63" Type="http://schemas.openxmlformats.org/officeDocument/2006/relationships/externalLink" Target="externalLinks/externalLink56.xml"/><Relationship Id="rId62" Type="http://schemas.openxmlformats.org/officeDocument/2006/relationships/externalLink" Target="externalLinks/externalLink55.xml"/><Relationship Id="rId61" Type="http://schemas.openxmlformats.org/officeDocument/2006/relationships/externalLink" Target="externalLinks/externalLink54.xml"/><Relationship Id="rId60" Type="http://schemas.openxmlformats.org/officeDocument/2006/relationships/externalLink" Target="externalLinks/externalLink53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1.xml"/><Relationship Id="rId57" Type="http://schemas.openxmlformats.org/officeDocument/2006/relationships/externalLink" Target="externalLinks/externalLink50.xml"/><Relationship Id="rId56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48.xml"/><Relationship Id="rId54" Type="http://schemas.openxmlformats.org/officeDocument/2006/relationships/externalLink" Target="externalLinks/externalLink47.xml"/><Relationship Id="rId53" Type="http://schemas.openxmlformats.org/officeDocument/2006/relationships/externalLink" Target="externalLinks/externalLink46.xml"/><Relationship Id="rId52" Type="http://schemas.openxmlformats.org/officeDocument/2006/relationships/externalLink" Target="externalLinks/externalLink45.xml"/><Relationship Id="rId51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3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0.xml"/><Relationship Id="rId46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38.xml"/><Relationship Id="rId44" Type="http://schemas.openxmlformats.org/officeDocument/2006/relationships/externalLink" Target="externalLinks/externalLink37.xml"/><Relationship Id="rId43" Type="http://schemas.openxmlformats.org/officeDocument/2006/relationships/externalLink" Target="externalLinks/externalLink36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3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0.xml"/><Relationship Id="rId36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7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1600200</xdr:colOff>
      <xdr:row>5</xdr:row>
      <xdr:rowOff>47625</xdr:rowOff>
    </xdr:from>
    <xdr:to>
      <xdr:col>25</xdr:col>
      <xdr:colOff>149860</xdr:colOff>
      <xdr:row>7</xdr:row>
      <xdr:rowOff>95250</xdr:rowOff>
    </xdr:to>
    <xdr:sp>
      <xdr:nvSpPr>
        <xdr:cNvPr id="2" name="矩形 1"/>
        <xdr:cNvSpPr/>
      </xdr:nvSpPr>
      <xdr:spPr>
        <a:xfrm>
          <a:off x="11858625" y="2217420"/>
          <a:ext cx="11062970" cy="115252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(</a:t>
          </a:r>
          <a:r>
            <a:rPr lang="zh-CN" altLang="en-US" sz="1100"/>
            <a:t>IFSYLMS230R_007451_20260625130453_015685.DAT_20260625133500</a:t>
          </a:r>
          <a:r>
            <a:rPr lang="en-US" altLang="zh-CN" sz="1100"/>
            <a:t>)</a:t>
          </a:r>
          <a:r>
            <a:rPr lang="ja-JP" altLang="zh-CN" sz="1100"/>
            <a:t>サンプルデータ：</a:t>
          </a:r>
          <a:endParaRPr lang="zh-CN" altLang="en-US" sz="1100"/>
        </a:p>
        <a:p>
          <a:pPr algn="l"/>
          <a:r>
            <a:rPr lang="zh-CN" altLang="en-US" sz="1100"/>
            <a:t>データ区分,処理日,入力連番,検品倉庫コード,取引先コード,納品形態区分,便区分,発注区分,発注日,検品倉庫着荷指定日,計上日,部門グループコード,部門コード,中分類コード,小分類コード,伝票番号,伝票行番号,商品コード,発注数量（バラ）,発注単位数,総重量,確定数量（バラ）,欠品理由区分,欠品数量（バラ）,FILLER</a:t>
          </a:r>
          <a:endParaRPr lang="zh-CN" altLang="en-US" sz="1100"/>
        </a:p>
        <a:p>
          <a:pPr algn="l"/>
          <a:r>
            <a:rPr lang="zh-CN" altLang="en-US" sz="1100"/>
            <a:t>23,20260606,00168347,007451,001401902,10,01,7,20260606,20260625,20260625,28,90,08,1555,0008365291,001,4901820194176,0000652,0000002,000000000,0000652,00000,0000000,</a:t>
          </a:r>
          <a:endParaRPr lang="zh-CN" altLang="en-US" sz="1100"/>
        </a:p>
        <a:p>
          <a:pPr algn="l"/>
          <a:r>
            <a:rPr lang="zh-CN" altLang="en-US" sz="1100"/>
            <a:t>23,20260606,00168347,007451,001401902,10,01,7,20260606,20260625,20260625,28,90,08,1550,0008365291,002,4901820366016,0000458,0000002,000000000,0000458,00000,0000000,</a:t>
          </a:r>
          <a:endParaRPr lang="zh-CN" altLang="en-US" sz="1100"/>
        </a:p>
        <a:p>
          <a:pPr algn="l"/>
          <a:r>
            <a:rPr lang="zh-CN" altLang="en-US" sz="1100"/>
            <a:t>23,20260606,00168347,007451,001401902,10,01,7,20260606,20260625,20260625,28,90,08,1535,0008365291,003,4901820471215,0000298,0000002,000000000,0000298,00000,0000000,   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ird\01_&#27161;&#28310;\&#20316;&#26989;&#12356;&#12429;&#12356;&#12429;\&#12450;&#12469;&#12498;&#12499;&#12540;&#12523;\C2311_&#12471;&#12540;&#12465;&#12531;&#12473;&#2225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30690;&#37096;\&#31168;&#20809;&#33294;&#36009;&#22770;&#24215;&#20225;&#30011;&#26360;\&#19975;&#20195;\&#19975;&#20195;15&#19979;&#26399;&#36009;&#20419;&#26045;&#3157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DOCUME~1\KIKAKU\LOCALS~1\Temp\&#26032;&#32862;&#20986;&#31295;2003%205-7&#20195;&#29702;&#24215;&#2102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temp\DOCUME~1\&#26666;&#24335;&#20250;~1\LOCALS~1\Temp\WINDOWS\&#65411;&#65438;&#65405;&#65400;&#65412;&#65391;&#65420;&#65439;\0406THEPLAN&#12381;&#12398;&#2018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060&#65423;&#65405;&#65408;&#6539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471;&#12540;&#12474;&#12531;&#6533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:\172.31.106.2\Xaebd99cb9d9a9b9a9cc806b5c0d7\attach\main\10\1\&#12452;&#12474;&#12511;&#12516;&#65288;&#26893;&#26408;&#652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:\172.31.106.2\Xae9a989ccf9c9892ce9306b5c0d7\attach\main\9\1\&#65331;&#65330;&#65321;&#24066;&#22580;&#21205;&#21521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My%20Documents\&#26441;&#2800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My%20Documents\&#21513;&#3000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&#12452;&#12474;&#12511;&#12516;&#65305;&#65305;\&#12452;&#12474;&#12511;&#12516;&#65288;&#26893;&#26408;&#65289;'9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DATA\SEND\REC00022\&#38619;&#2441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DATA\SEND\REC00005\&#38619;&#2441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506;&#38988;&#36039;&#26009;\&#35506;&#38988;&#25104;&#26524;&#29289;&#31649;&#29702;\&#35199;&#21451;&#35506;&#38988;\&#22522;&#24185;&#32113;&#21512;\11.TC&#32207;&#37327;&#20837;&#33655;&#23455;&#32318;&#12487;&#12540;&#12479;\https:\hitachigroup.sharepoint.com\excel\5md\lima\lima&#65394;&#65437;&#65412;&#65431;\&#65296;&#65296;&#19979;\&#33258;&#25512;&#36820;&#12375;\&#38619;&#2441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116\intec&#20154;&#20107;&#37096;&#25991;&#26360;\ruyworktext\&#24037;&#20316;&#39033;&#30446;&#25991;&#26723;\TelMeCall2\&#39033;&#30446;&#21608;&#25253;\IN850217-PWR-2002101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32.nsl.ad.nec.co.jp\a01037-01\ruyworktext\&#24037;&#20316;&#39033;&#30446;&#25991;&#26723;\TelMeCall2\&#39033;&#30446;&#21608;&#25253;\IN850217-PWR-200210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シーケンス図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月別金額"/>
      <sheetName val="素材別金額"/>
      <sheetName val="素材のみ"/>
      <sheetName val="電通"/>
      <sheetName val="博報堂"/>
      <sheetName val="大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小林芳香剤送品PLAN①"/>
      <sheetName val="小林芳香剤送品PLAN②"/>
      <sheetName val="芳香剤導入案ｱｰｽ"/>
      <sheetName val="金鳥RG初回送品PLAN①"/>
      <sheetName val="金鳥RG初回送品PLAN②"/>
      <sheetName val="金鳥04殺虫チラシ提案 "/>
      <sheetName val="ﾁﾗｼ提案ｱｰｽSD"/>
      <sheetName val="ﾁﾗｼ提案ｱｰｽ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シーズンＲ"/>
      <sheetName val="商品ﾏｽﾀｰ(1月25日)"/>
      <sheetName val="商品ﾏｽﾀｰ_1月25日_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万代比数"/>
      <sheetName val="ｾｶﾞﾐ本社"/>
      <sheetName val="セガミ関西実績"/>
      <sheetName val="万代比金"/>
      <sheetName val="大福特約店等"/>
      <sheetName val="Ｈ８ ライフ"/>
      <sheetName val="Ｈ９ ライフ "/>
      <sheetName val="Ｈ９ ライフ 東京"/>
      <sheetName val="9年セガミ本社"/>
      <sheetName val="セガミ関西実績8年度"/>
      <sheetName val="セガミ関西実績9年度"/>
      <sheetName val="丹平中田予定"/>
      <sheetName val="マルゼン"/>
      <sheetName val="近畿ユニショー"/>
      <sheetName val="近畿ユニショー’９７予定"/>
      <sheetName val="H.Cｺｰﾅﾝ"/>
      <sheetName val="マルゼン (2)"/>
      <sheetName val="長崎屋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サンキ"/>
      <sheetName val="旭商会"/>
      <sheetName val="平成9年度カイロ原本"/>
      <sheetName val="ピップ見積"/>
      <sheetName val="ナカ薬局"/>
      <sheetName val="銀ビル"/>
      <sheetName val="ゴダイ薬局"/>
      <sheetName val="金光薬品"/>
      <sheetName val="セガミ"/>
      <sheetName val="ﾗﾌﾞﾄﾞﾗｯｸﾞ"/>
      <sheetName val="松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8以上社員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showGridLines="0" tabSelected="1" workbookViewId="0">
      <pane ySplit="3" topLeftCell="A33" activePane="bottomLeft" state="frozen"/>
      <selection/>
      <selection pane="bottomLeft" activeCell="K15" sqref="K15"/>
    </sheetView>
  </sheetViews>
  <sheetFormatPr defaultColWidth="8.67619047619048" defaultRowHeight="15.75"/>
  <cols>
    <col min="1" max="2" width="6" style="10" customWidth="1"/>
    <col min="3" max="3" width="21" style="10" customWidth="1"/>
    <col min="4" max="4" width="13.4285714285714" style="10" customWidth="1"/>
    <col min="5" max="5" width="51.7142857142857" style="10" customWidth="1"/>
    <col min="6" max="6" width="27.8571428571429" style="10" customWidth="1"/>
    <col min="7" max="7" width="18.1428571428571" style="10" customWidth="1"/>
    <col min="8" max="8" width="9.71428571428571" style="10" customWidth="1"/>
    <col min="9" max="9" width="48.8571428571429" style="10" customWidth="1"/>
    <col min="10" max="16384" width="8.67619047619048" style="55"/>
  </cols>
  <sheetData>
    <row r="1" ht="24" customHeight="1" spans="1:9">
      <c r="A1" s="56" t="s">
        <v>0</v>
      </c>
      <c r="B1" s="56"/>
      <c r="C1" s="56"/>
      <c r="D1" s="56"/>
      <c r="E1" s="56"/>
      <c r="F1" s="56"/>
      <c r="G1" s="56"/>
      <c r="H1" s="56"/>
      <c r="I1" s="56"/>
    </row>
    <row r="2" ht="29.85" customHeight="1" spans="1:9">
      <c r="A2" s="57" t="s">
        <v>1</v>
      </c>
      <c r="B2" s="57"/>
      <c r="C2" s="57"/>
      <c r="D2" s="57"/>
      <c r="E2" s="57"/>
      <c r="F2" s="57"/>
      <c r="G2" s="57"/>
      <c r="H2" s="57"/>
      <c r="I2" s="57"/>
    </row>
    <row r="3" ht="30" customHeight="1" spans="1:9">
      <c r="A3" s="58" t="s">
        <v>2</v>
      </c>
      <c r="B3" s="59" t="s">
        <v>3</v>
      </c>
      <c r="C3" s="58" t="s">
        <v>4</v>
      </c>
      <c r="D3" s="58" t="s">
        <v>5</v>
      </c>
      <c r="E3" s="58" t="s">
        <v>6</v>
      </c>
      <c r="F3" s="58" t="s">
        <v>7</v>
      </c>
      <c r="G3" s="58" t="s">
        <v>8</v>
      </c>
      <c r="H3" s="59" t="s">
        <v>9</v>
      </c>
      <c r="I3" s="59" t="s">
        <v>10</v>
      </c>
    </row>
    <row r="4" ht="43.5" customHeight="1" spans="1:9">
      <c r="A4" s="60">
        <v>1</v>
      </c>
      <c r="B4" s="60" t="s">
        <v>11</v>
      </c>
      <c r="C4" s="24" t="s">
        <v>12</v>
      </c>
      <c r="D4" s="61" t="s">
        <v>13</v>
      </c>
      <c r="E4" s="61" t="s">
        <v>14</v>
      </c>
      <c r="F4" s="24" t="s">
        <v>15</v>
      </c>
      <c r="G4" s="24" t="s">
        <v>16</v>
      </c>
      <c r="H4" s="62" t="s">
        <v>17</v>
      </c>
      <c r="I4" s="61" t="s">
        <v>18</v>
      </c>
    </row>
    <row r="5" ht="43.5" customHeight="1" spans="1:9">
      <c r="A5" s="63">
        <v>2</v>
      </c>
      <c r="B5" s="63"/>
      <c r="C5" s="64" t="s">
        <v>19</v>
      </c>
      <c r="D5" s="65" t="s">
        <v>20</v>
      </c>
      <c r="E5" s="66" t="s">
        <v>21</v>
      </c>
      <c r="F5" s="65" t="s">
        <v>22</v>
      </c>
      <c r="G5" s="65" t="s">
        <v>22</v>
      </c>
      <c r="H5" s="67" t="s">
        <v>22</v>
      </c>
      <c r="I5" s="68" t="s">
        <v>23</v>
      </c>
    </row>
    <row r="6" ht="43.5" customHeight="1" spans="1:9">
      <c r="A6" s="69">
        <v>3</v>
      </c>
      <c r="B6" s="69"/>
      <c r="C6" s="70" t="s">
        <v>24</v>
      </c>
      <c r="D6" s="66" t="s">
        <v>20</v>
      </c>
      <c r="E6" s="66" t="s">
        <v>21</v>
      </c>
      <c r="F6" s="66" t="s">
        <v>22</v>
      </c>
      <c r="G6" s="66" t="s">
        <v>22</v>
      </c>
      <c r="H6" s="67" t="s">
        <v>22</v>
      </c>
      <c r="I6" s="68" t="s">
        <v>23</v>
      </c>
    </row>
    <row r="7" ht="43.5" customHeight="1" spans="1:9">
      <c r="A7" s="63">
        <v>4</v>
      </c>
      <c r="B7" s="63" t="s">
        <v>11</v>
      </c>
      <c r="C7" s="64" t="s">
        <v>25</v>
      </c>
      <c r="D7" s="65" t="s">
        <v>26</v>
      </c>
      <c r="E7" s="66" t="s">
        <v>27</v>
      </c>
      <c r="F7" s="64" t="s">
        <v>28</v>
      </c>
      <c r="G7" s="65" t="s">
        <v>22</v>
      </c>
      <c r="H7" s="71" t="s">
        <v>29</v>
      </c>
      <c r="I7" s="72" t="s">
        <v>30</v>
      </c>
    </row>
    <row r="8" ht="43.5" customHeight="1" spans="1:9">
      <c r="A8" s="69">
        <v>5</v>
      </c>
      <c r="B8" s="69" t="s">
        <v>11</v>
      </c>
      <c r="C8" s="70" t="s">
        <v>31</v>
      </c>
      <c r="D8" s="66" t="s">
        <v>32</v>
      </c>
      <c r="E8" s="66" t="s">
        <v>33</v>
      </c>
      <c r="F8" s="70" t="s">
        <v>34</v>
      </c>
      <c r="G8" s="66" t="s">
        <v>35</v>
      </c>
      <c r="H8" s="73" t="s">
        <v>11</v>
      </c>
      <c r="I8" s="66" t="s">
        <v>34</v>
      </c>
    </row>
    <row r="9" ht="43.5" customHeight="1" spans="1:9">
      <c r="A9" s="63">
        <v>6</v>
      </c>
      <c r="B9" s="63" t="s">
        <v>11</v>
      </c>
      <c r="C9" s="64" t="s">
        <v>36</v>
      </c>
      <c r="D9" s="65" t="s">
        <v>37</v>
      </c>
      <c r="E9" s="66" t="s">
        <v>38</v>
      </c>
      <c r="F9" s="64" t="s">
        <v>28</v>
      </c>
      <c r="G9" s="65" t="s">
        <v>22</v>
      </c>
      <c r="H9" s="74" t="s">
        <v>39</v>
      </c>
      <c r="I9" s="75" t="s">
        <v>40</v>
      </c>
    </row>
    <row r="10" ht="58" customHeight="1" spans="1:9">
      <c r="A10" s="69">
        <v>7</v>
      </c>
      <c r="B10" s="69"/>
      <c r="C10" s="70" t="s">
        <v>41</v>
      </c>
      <c r="D10" s="66" t="s">
        <v>42</v>
      </c>
      <c r="E10" s="66" t="s">
        <v>43</v>
      </c>
      <c r="F10" s="70" t="s">
        <v>41</v>
      </c>
      <c r="G10" s="70" t="s">
        <v>44</v>
      </c>
      <c r="H10" s="76" t="s">
        <v>39</v>
      </c>
      <c r="I10" s="77" t="s">
        <v>45</v>
      </c>
    </row>
    <row r="11" ht="43.5" customHeight="1" spans="1:9">
      <c r="A11" s="63">
        <v>8</v>
      </c>
      <c r="B11" s="63" t="s">
        <v>11</v>
      </c>
      <c r="C11" s="64" t="s">
        <v>46</v>
      </c>
      <c r="D11" s="65" t="s">
        <v>42</v>
      </c>
      <c r="E11" s="66" t="s">
        <v>47</v>
      </c>
      <c r="F11" s="64" t="s">
        <v>48</v>
      </c>
      <c r="G11" s="64" t="s">
        <v>49</v>
      </c>
      <c r="H11" s="74" t="s">
        <v>39</v>
      </c>
      <c r="I11" s="72" t="s">
        <v>50</v>
      </c>
    </row>
    <row r="12" ht="43.5" customHeight="1" spans="1:9">
      <c r="A12" s="69">
        <v>9</v>
      </c>
      <c r="B12" s="69"/>
      <c r="C12" s="70" t="s">
        <v>51</v>
      </c>
      <c r="D12" s="66" t="s">
        <v>37</v>
      </c>
      <c r="E12" s="66" t="s">
        <v>52</v>
      </c>
      <c r="F12" s="70" t="s">
        <v>53</v>
      </c>
      <c r="G12" s="70" t="s">
        <v>54</v>
      </c>
      <c r="H12" s="76" t="s">
        <v>39</v>
      </c>
      <c r="I12" s="75" t="s">
        <v>55</v>
      </c>
    </row>
    <row r="13" ht="43.5" customHeight="1" spans="1:9">
      <c r="A13" s="63">
        <v>10</v>
      </c>
      <c r="B13" s="63" t="s">
        <v>11</v>
      </c>
      <c r="C13" s="64" t="s">
        <v>56</v>
      </c>
      <c r="D13" s="65" t="s">
        <v>57</v>
      </c>
      <c r="E13" s="66" t="s">
        <v>33</v>
      </c>
      <c r="F13" s="64" t="s">
        <v>34</v>
      </c>
      <c r="G13" s="64" t="s">
        <v>58</v>
      </c>
      <c r="H13" s="78" t="s">
        <v>11</v>
      </c>
      <c r="I13" s="65"/>
    </row>
    <row r="14" ht="43.5" customHeight="1" spans="1:9">
      <c r="A14" s="69">
        <v>11</v>
      </c>
      <c r="B14" s="69" t="s">
        <v>11</v>
      </c>
      <c r="C14" s="70" t="s">
        <v>59</v>
      </c>
      <c r="D14" s="66" t="s">
        <v>26</v>
      </c>
      <c r="E14" s="66" t="s">
        <v>60</v>
      </c>
      <c r="F14" s="70" t="s">
        <v>28</v>
      </c>
      <c r="G14" s="66" t="s">
        <v>22</v>
      </c>
      <c r="H14" s="76" t="s">
        <v>22</v>
      </c>
      <c r="I14" s="79" t="s">
        <v>61</v>
      </c>
    </row>
    <row r="15" ht="43.5" customHeight="1" spans="1:9">
      <c r="A15" s="63">
        <v>12</v>
      </c>
      <c r="B15" s="63" t="s">
        <v>11</v>
      </c>
      <c r="C15" s="64" t="s">
        <v>62</v>
      </c>
      <c r="D15" s="65" t="s">
        <v>26</v>
      </c>
      <c r="E15" s="66" t="s">
        <v>63</v>
      </c>
      <c r="F15" s="64" t="s">
        <v>28</v>
      </c>
      <c r="G15" s="65" t="s">
        <v>22</v>
      </c>
      <c r="H15" s="71" t="s">
        <v>22</v>
      </c>
      <c r="I15" s="75" t="s">
        <v>64</v>
      </c>
    </row>
    <row r="16" ht="43.5" customHeight="1" spans="1:9">
      <c r="A16" s="69">
        <v>13</v>
      </c>
      <c r="B16" s="69" t="s">
        <v>11</v>
      </c>
      <c r="C16" s="70" t="s">
        <v>65</v>
      </c>
      <c r="D16" s="66" t="s">
        <v>26</v>
      </c>
      <c r="E16" s="66" t="s">
        <v>66</v>
      </c>
      <c r="F16" s="70" t="s">
        <v>65</v>
      </c>
      <c r="G16" s="70" t="s">
        <v>67</v>
      </c>
      <c r="H16" s="76" t="s">
        <v>39</v>
      </c>
      <c r="I16" s="79" t="s">
        <v>68</v>
      </c>
    </row>
    <row r="17" ht="43.5" customHeight="1" spans="1:9">
      <c r="A17" s="63">
        <v>14</v>
      </c>
      <c r="B17" s="63"/>
      <c r="C17" s="64" t="s">
        <v>69</v>
      </c>
      <c r="D17" s="65" t="s">
        <v>26</v>
      </c>
      <c r="E17" s="66" t="s">
        <v>70</v>
      </c>
      <c r="F17" s="64" t="s">
        <v>28</v>
      </c>
      <c r="G17" s="65" t="s">
        <v>22</v>
      </c>
      <c r="H17" s="80" t="s">
        <v>39</v>
      </c>
      <c r="I17" s="72" t="s">
        <v>71</v>
      </c>
    </row>
    <row r="18" ht="43.5" customHeight="1" spans="1:9">
      <c r="A18" s="69">
        <v>15</v>
      </c>
      <c r="B18" s="69"/>
      <c r="C18" s="70" t="s">
        <v>72</v>
      </c>
      <c r="D18" s="66" t="s">
        <v>26</v>
      </c>
      <c r="E18" s="66" t="s">
        <v>73</v>
      </c>
      <c r="F18" s="70" t="s">
        <v>28</v>
      </c>
      <c r="G18" s="66" t="s">
        <v>22</v>
      </c>
      <c r="H18" s="73" t="s">
        <v>39</v>
      </c>
      <c r="I18" s="66" t="s">
        <v>74</v>
      </c>
    </row>
    <row r="19" ht="43.5" customHeight="1" spans="1:9">
      <c r="A19" s="63">
        <v>16</v>
      </c>
      <c r="B19" s="63"/>
      <c r="C19" s="64" t="s">
        <v>75</v>
      </c>
      <c r="D19" s="65" t="s">
        <v>76</v>
      </c>
      <c r="E19" s="66">
        <v>1</v>
      </c>
      <c r="F19" s="65" t="s">
        <v>22</v>
      </c>
      <c r="G19" s="65" t="s">
        <v>22</v>
      </c>
      <c r="H19" s="67" t="s">
        <v>22</v>
      </c>
      <c r="I19" s="68" t="s">
        <v>77</v>
      </c>
    </row>
    <row r="20" ht="43.5" customHeight="1" spans="1:9">
      <c r="A20" s="69">
        <v>17</v>
      </c>
      <c r="B20" s="69" t="s">
        <v>11</v>
      </c>
      <c r="C20" s="70" t="s">
        <v>78</v>
      </c>
      <c r="D20" s="66" t="s">
        <v>20</v>
      </c>
      <c r="E20" s="66">
        <v>0</v>
      </c>
      <c r="F20" s="66" t="s">
        <v>22</v>
      </c>
      <c r="G20" s="66" t="s">
        <v>22</v>
      </c>
      <c r="H20" s="67" t="s">
        <v>22</v>
      </c>
      <c r="I20" s="68" t="s">
        <v>79</v>
      </c>
    </row>
    <row r="21" ht="43.5" customHeight="1" spans="1:9">
      <c r="A21" s="63">
        <v>18</v>
      </c>
      <c r="B21" s="63" t="s">
        <v>11</v>
      </c>
      <c r="C21" s="64" t="s">
        <v>80</v>
      </c>
      <c r="D21" s="65" t="s">
        <v>20</v>
      </c>
      <c r="E21" s="66">
        <v>0</v>
      </c>
      <c r="F21" s="65" t="s">
        <v>22</v>
      </c>
      <c r="G21" s="65" t="s">
        <v>22</v>
      </c>
      <c r="H21" s="67" t="s">
        <v>22</v>
      </c>
      <c r="I21" s="68" t="s">
        <v>79</v>
      </c>
    </row>
    <row r="22" ht="43.5" customHeight="1" spans="1:9">
      <c r="A22" s="69">
        <v>19</v>
      </c>
      <c r="B22" s="69" t="s">
        <v>11</v>
      </c>
      <c r="C22" s="70" t="s">
        <v>81</v>
      </c>
      <c r="D22" s="66" t="s">
        <v>37</v>
      </c>
      <c r="E22" s="66" t="s">
        <v>82</v>
      </c>
      <c r="F22" s="70" t="s">
        <v>28</v>
      </c>
      <c r="G22" s="66" t="s">
        <v>22</v>
      </c>
      <c r="H22" s="81" t="s">
        <v>22</v>
      </c>
      <c r="I22" s="66" t="s">
        <v>83</v>
      </c>
    </row>
    <row r="23" ht="43.5" customHeight="1" spans="1:9">
      <c r="A23" s="63">
        <v>20</v>
      </c>
      <c r="B23" s="63" t="s">
        <v>11</v>
      </c>
      <c r="C23" s="64" t="s">
        <v>84</v>
      </c>
      <c r="D23" s="65" t="s">
        <v>26</v>
      </c>
      <c r="E23" s="66" t="s">
        <v>85</v>
      </c>
      <c r="F23" s="64" t="s">
        <v>28</v>
      </c>
      <c r="G23" s="65" t="s">
        <v>22</v>
      </c>
      <c r="H23" s="80" t="s">
        <v>22</v>
      </c>
      <c r="I23" s="64" t="s">
        <v>86</v>
      </c>
    </row>
    <row r="24" ht="43.5" customHeight="1" spans="1:9">
      <c r="A24" s="69">
        <v>21</v>
      </c>
      <c r="B24" s="69"/>
      <c r="C24" s="70" t="s">
        <v>87</v>
      </c>
      <c r="D24" s="66" t="s">
        <v>13</v>
      </c>
      <c r="E24" s="66" t="s">
        <v>88</v>
      </c>
      <c r="F24" s="70" t="s">
        <v>89</v>
      </c>
      <c r="G24" s="70" t="s">
        <v>16</v>
      </c>
      <c r="H24" s="76" t="s">
        <v>39</v>
      </c>
      <c r="I24" s="70"/>
    </row>
    <row r="25" ht="43.5" customHeight="1" spans="1:9">
      <c r="A25" s="63">
        <v>22</v>
      </c>
      <c r="B25" s="63"/>
      <c r="C25" s="64" t="s">
        <v>90</v>
      </c>
      <c r="D25" s="65" t="s">
        <v>76</v>
      </c>
      <c r="E25" s="66">
        <v>0</v>
      </c>
      <c r="F25" s="65" t="s">
        <v>22</v>
      </c>
      <c r="G25" s="65" t="s">
        <v>22</v>
      </c>
      <c r="H25" s="67" t="s">
        <v>22</v>
      </c>
      <c r="I25" s="68" t="s">
        <v>79</v>
      </c>
    </row>
    <row r="26" ht="43.5" customHeight="1" spans="1:9">
      <c r="A26" s="69">
        <v>23</v>
      </c>
      <c r="B26" s="69"/>
      <c r="C26" s="70" t="s">
        <v>91</v>
      </c>
      <c r="D26" s="66" t="s">
        <v>13</v>
      </c>
      <c r="E26" s="66" t="s">
        <v>92</v>
      </c>
      <c r="F26" s="66" t="s">
        <v>22</v>
      </c>
      <c r="G26" s="66" t="s">
        <v>22</v>
      </c>
      <c r="H26" s="67" t="s">
        <v>22</v>
      </c>
      <c r="I26" s="68" t="s">
        <v>23</v>
      </c>
    </row>
    <row r="27" ht="43.5" customHeight="1" spans="1:9">
      <c r="A27" s="63">
        <v>24</v>
      </c>
      <c r="B27" s="63"/>
      <c r="C27" s="64" t="s">
        <v>93</v>
      </c>
      <c r="D27" s="65" t="s">
        <v>94</v>
      </c>
      <c r="E27" s="66" t="s">
        <v>92</v>
      </c>
      <c r="F27" s="65" t="s">
        <v>22</v>
      </c>
      <c r="G27" s="65" t="s">
        <v>22</v>
      </c>
      <c r="H27" s="67" t="s">
        <v>22</v>
      </c>
      <c r="I27" s="68" t="s">
        <v>23</v>
      </c>
    </row>
    <row r="28" ht="43.5" customHeight="1" spans="1:9">
      <c r="A28" s="69">
        <v>25</v>
      </c>
      <c r="B28" s="69"/>
      <c r="C28" s="70" t="s">
        <v>95</v>
      </c>
      <c r="D28" s="66" t="s">
        <v>96</v>
      </c>
      <c r="E28" s="66" t="s">
        <v>97</v>
      </c>
      <c r="F28" s="70" t="s">
        <v>28</v>
      </c>
      <c r="G28" s="66" t="s">
        <v>22</v>
      </c>
      <c r="H28" s="81" t="s">
        <v>22</v>
      </c>
      <c r="I28" s="77" t="s">
        <v>98</v>
      </c>
    </row>
    <row r="29" ht="43.5" customHeight="1" spans="1:9">
      <c r="A29" s="63">
        <v>26</v>
      </c>
      <c r="B29" s="63"/>
      <c r="C29" s="64" t="s">
        <v>99</v>
      </c>
      <c r="D29" s="65" t="s">
        <v>96</v>
      </c>
      <c r="E29" s="66" t="s">
        <v>92</v>
      </c>
      <c r="F29" s="65" t="s">
        <v>22</v>
      </c>
      <c r="G29" s="65" t="s">
        <v>22</v>
      </c>
      <c r="H29" s="67" t="s">
        <v>22</v>
      </c>
      <c r="I29" s="68" t="s">
        <v>23</v>
      </c>
    </row>
    <row r="30" ht="43.5" customHeight="1" spans="1:9">
      <c r="A30" s="69">
        <v>27</v>
      </c>
      <c r="B30" s="69"/>
      <c r="C30" s="70" t="s">
        <v>100</v>
      </c>
      <c r="D30" s="66" t="s">
        <v>96</v>
      </c>
      <c r="E30" s="66" t="s">
        <v>101</v>
      </c>
      <c r="F30" s="70" t="s">
        <v>28</v>
      </c>
      <c r="G30" s="66" t="s">
        <v>22</v>
      </c>
      <c r="H30" s="81" t="s">
        <v>22</v>
      </c>
      <c r="I30" s="77" t="s">
        <v>102</v>
      </c>
    </row>
    <row r="31" ht="43.5" customHeight="1" spans="1:9">
      <c r="A31" s="63">
        <v>28</v>
      </c>
      <c r="B31" s="63" t="s">
        <v>11</v>
      </c>
      <c r="C31" s="64" t="s">
        <v>103</v>
      </c>
      <c r="D31" s="65" t="s">
        <v>104</v>
      </c>
      <c r="E31" s="66" t="s">
        <v>105</v>
      </c>
      <c r="F31" s="64" t="s">
        <v>106</v>
      </c>
      <c r="G31" s="64" t="s">
        <v>107</v>
      </c>
      <c r="H31" s="74" t="s">
        <v>39</v>
      </c>
      <c r="I31" s="65" t="s">
        <v>108</v>
      </c>
    </row>
    <row r="32" ht="43.5" customHeight="1" spans="1:9">
      <c r="A32" s="69">
        <v>29</v>
      </c>
      <c r="B32" s="69" t="s">
        <v>11</v>
      </c>
      <c r="C32" s="70" t="s">
        <v>109</v>
      </c>
      <c r="D32" s="66" t="s">
        <v>20</v>
      </c>
      <c r="E32" s="66" t="s">
        <v>110</v>
      </c>
      <c r="F32" s="70" t="s">
        <v>111</v>
      </c>
      <c r="G32" s="70" t="s">
        <v>112</v>
      </c>
      <c r="H32" s="76" t="s">
        <v>39</v>
      </c>
      <c r="I32" s="66" t="s">
        <v>113</v>
      </c>
    </row>
    <row r="33" ht="43.5" customHeight="1" spans="1:9">
      <c r="A33" s="63">
        <v>30</v>
      </c>
      <c r="B33" s="63" t="s">
        <v>11</v>
      </c>
      <c r="C33" s="64" t="s">
        <v>114</v>
      </c>
      <c r="D33" s="65" t="s">
        <v>20</v>
      </c>
      <c r="E33" s="66" t="s">
        <v>115</v>
      </c>
      <c r="F33" s="64" t="s">
        <v>28</v>
      </c>
      <c r="G33" s="65" t="s">
        <v>22</v>
      </c>
      <c r="H33" s="71" t="s">
        <v>39</v>
      </c>
      <c r="I33" s="65" t="s">
        <v>116</v>
      </c>
    </row>
    <row r="34" ht="43.5" customHeight="1" spans="1:9">
      <c r="A34" s="69">
        <v>31</v>
      </c>
      <c r="B34" s="69" t="s">
        <v>11</v>
      </c>
      <c r="C34" s="70" t="s">
        <v>117</v>
      </c>
      <c r="D34" s="66" t="s">
        <v>20</v>
      </c>
      <c r="E34" s="66" t="s">
        <v>118</v>
      </c>
      <c r="F34" s="70" t="s">
        <v>28</v>
      </c>
      <c r="G34" s="66" t="s">
        <v>22</v>
      </c>
      <c r="H34" s="73" t="s">
        <v>39</v>
      </c>
      <c r="I34" s="77" t="s">
        <v>119</v>
      </c>
    </row>
    <row r="35" ht="43.5" customHeight="1" spans="1:9">
      <c r="A35" s="63">
        <v>32</v>
      </c>
      <c r="B35" s="63" t="s">
        <v>11</v>
      </c>
      <c r="C35" s="64" t="s">
        <v>120</v>
      </c>
      <c r="D35" s="65" t="s">
        <v>20</v>
      </c>
      <c r="E35" s="66" t="s">
        <v>121</v>
      </c>
      <c r="F35" s="64" t="s">
        <v>28</v>
      </c>
      <c r="G35" s="65" t="s">
        <v>22</v>
      </c>
      <c r="H35" s="71" t="s">
        <v>39</v>
      </c>
      <c r="I35" s="72" t="s">
        <v>122</v>
      </c>
    </row>
    <row r="36" ht="43.5" customHeight="1" spans="1:9">
      <c r="A36" s="69">
        <v>33</v>
      </c>
      <c r="B36" s="69" t="s">
        <v>11</v>
      </c>
      <c r="C36" s="70" t="s">
        <v>123</v>
      </c>
      <c r="D36" s="66" t="s">
        <v>124</v>
      </c>
      <c r="E36" s="66" t="s">
        <v>125</v>
      </c>
      <c r="F36" s="70" t="s">
        <v>28</v>
      </c>
      <c r="G36" s="66" t="s">
        <v>22</v>
      </c>
      <c r="H36" s="73" t="s">
        <v>39</v>
      </c>
      <c r="I36" s="66" t="s">
        <v>126</v>
      </c>
    </row>
    <row r="37" ht="43.5" customHeight="1" spans="1:9">
      <c r="A37" s="63">
        <v>34</v>
      </c>
      <c r="B37" s="63" t="s">
        <v>11</v>
      </c>
      <c r="C37" s="65" t="s">
        <v>127</v>
      </c>
      <c r="D37" s="65" t="s">
        <v>128</v>
      </c>
      <c r="E37" s="66" t="s">
        <v>129</v>
      </c>
      <c r="F37" s="64" t="s">
        <v>130</v>
      </c>
      <c r="G37" s="64" t="s">
        <v>131</v>
      </c>
      <c r="H37" s="74" t="s">
        <v>39</v>
      </c>
      <c r="I37" s="64" t="s">
        <v>132</v>
      </c>
    </row>
    <row r="38" ht="43.5" customHeight="1" spans="1:9">
      <c r="A38" s="69">
        <v>35</v>
      </c>
      <c r="B38" s="69"/>
      <c r="C38" s="70" t="s">
        <v>133</v>
      </c>
      <c r="D38" s="66" t="s">
        <v>26</v>
      </c>
      <c r="E38" s="66" t="s">
        <v>134</v>
      </c>
      <c r="F38" s="70" t="s">
        <v>135</v>
      </c>
      <c r="G38" s="70" t="s">
        <v>136</v>
      </c>
      <c r="H38" s="76" t="s">
        <v>39</v>
      </c>
      <c r="I38" s="66" t="s">
        <v>137</v>
      </c>
    </row>
  </sheetData>
  <autoFilter xmlns:etc="http://www.wps.cn/officeDocument/2017/etCustomData" ref="A3:I38" etc:filterBottomFollowUsedRange="0">
    <extLst/>
  </autoFilter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pane ySplit="2" topLeftCell="A3" activePane="bottomLeft" state="frozen"/>
      <selection/>
      <selection pane="bottomLeft" activeCell="E17" sqref="E17"/>
    </sheetView>
  </sheetViews>
  <sheetFormatPr defaultColWidth="8.67619047619048" defaultRowHeight="15" outlineLevelRow="5" outlineLevelCol="4"/>
  <cols>
    <col min="1" max="1" width="30" customWidth="1"/>
    <col min="2" max="2" width="18" customWidth="1"/>
    <col min="3" max="4" width="8" customWidth="1"/>
    <col min="5" max="5" width="65" customWidth="1"/>
  </cols>
  <sheetData>
    <row r="1" ht="24" customHeight="1" spans="1:5">
      <c r="A1" s="47" t="s">
        <v>138</v>
      </c>
      <c r="B1" s="47"/>
      <c r="C1" s="47"/>
      <c r="D1" s="47"/>
      <c r="E1" s="47"/>
    </row>
    <row r="2" spans="1:5">
      <c r="A2" s="48" t="s">
        <v>139</v>
      </c>
      <c r="B2" s="48" t="s">
        <v>9</v>
      </c>
      <c r="C2" s="48" t="s">
        <v>140</v>
      </c>
      <c r="D2" s="48" t="s">
        <v>141</v>
      </c>
      <c r="E2" s="48" t="s">
        <v>142</v>
      </c>
    </row>
    <row r="3" ht="30" spans="1:5">
      <c r="A3" s="49" t="s">
        <v>143</v>
      </c>
      <c r="B3" s="50" t="s">
        <v>144</v>
      </c>
      <c r="C3" s="49">
        <f>COUNTIF('仕入伝票(purchase_slip)'!H4:H38,"○")</f>
        <v>2</v>
      </c>
      <c r="D3" s="49" t="str">
        <f>TEXT(C3/COUNTA('仕入伝票(purchase_slip)'!A4:A38),"0%")</f>
        <v>6%</v>
      </c>
      <c r="E3" s="49" t="s">
        <v>145</v>
      </c>
    </row>
    <row r="4" ht="29.25" spans="1:5">
      <c r="A4" s="51" t="s">
        <v>143</v>
      </c>
      <c r="B4" s="52" t="s">
        <v>146</v>
      </c>
      <c r="C4" s="51">
        <f>COUNTIF('仕入伝票(purchase_slip)'!H4:H38,"△")</f>
        <v>16</v>
      </c>
      <c r="D4" s="51" t="str">
        <f>TEXT(C4/COUNTA('仕入伝票(purchase_slip)'!A4:A38),"0%")</f>
        <v>46%</v>
      </c>
      <c r="E4" s="51" t="s">
        <v>147</v>
      </c>
    </row>
    <row r="5" ht="43.5" spans="1:5">
      <c r="A5" s="49" t="s">
        <v>143</v>
      </c>
      <c r="B5" s="53" t="s">
        <v>148</v>
      </c>
      <c r="C5" s="49">
        <f>COUNTIF('仕入伝票(purchase_slip)'!H4:H38,"✕")</f>
        <v>1</v>
      </c>
      <c r="D5" s="49" t="str">
        <f>TEXT(C5/COUNTA('仕入伝票(purchase_slip)'!A4:A38),"0%")</f>
        <v>3%</v>
      </c>
      <c r="E5" s="49" t="s">
        <v>149</v>
      </c>
    </row>
    <row r="6" ht="28.5" spans="1:5">
      <c r="A6" s="51" t="s">
        <v>143</v>
      </c>
      <c r="B6" s="54" t="s">
        <v>150</v>
      </c>
      <c r="C6" s="51">
        <f>COUNTIF('仕入伝票(purchase_slip)'!H4:H38,"―")</f>
        <v>15</v>
      </c>
      <c r="D6" s="51" t="str">
        <f>TEXT(C6/COUNTA('仕入伝票(purchase_slip)'!A4:A38),"0%")</f>
        <v>43%</v>
      </c>
      <c r="E6" s="51" t="s">
        <v>151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showGridLines="0" workbookViewId="0">
      <selection activeCell="I17" sqref="I17"/>
    </sheetView>
  </sheetViews>
  <sheetFormatPr defaultColWidth="9.14285714285714" defaultRowHeight="15"/>
  <cols>
    <col min="1" max="1" width="5.57142857142857" customWidth="1"/>
    <col min="2" max="2" width="9.14285714285714" customWidth="1"/>
    <col min="3" max="3" width="20.7142857142857" customWidth="1"/>
    <col min="4" max="4" width="21.5714285714286" customWidth="1"/>
    <col min="5" max="6" width="7.57142857142857" customWidth="1"/>
    <col min="7" max="8" width="4.71428571428571" customWidth="1"/>
    <col min="9" max="9" width="49.4285714285714" customWidth="1"/>
  </cols>
  <sheetData>
    <row r="1" spans="1:9">
      <c r="A1" s="27" t="s">
        <v>152</v>
      </c>
      <c r="B1" s="28"/>
      <c r="C1" s="29"/>
      <c r="D1" s="30" t="s">
        <v>153</v>
      </c>
      <c r="E1" s="31"/>
      <c r="F1" s="31"/>
      <c r="G1" s="32"/>
      <c r="H1" s="32"/>
      <c r="I1" s="31"/>
    </row>
    <row r="2" spans="1:9">
      <c r="A2" s="27" t="s">
        <v>154</v>
      </c>
      <c r="B2" s="28"/>
      <c r="C2" s="29"/>
      <c r="D2" s="30" t="s">
        <v>155</v>
      </c>
      <c r="E2" s="31"/>
      <c r="F2" s="31"/>
      <c r="G2" s="32"/>
      <c r="H2" s="32"/>
      <c r="I2" s="31"/>
    </row>
    <row r="3" spans="1:9">
      <c r="A3" s="27" t="s">
        <v>156</v>
      </c>
      <c r="B3" s="28"/>
      <c r="C3" s="29"/>
      <c r="D3" s="30" t="s">
        <v>157</v>
      </c>
      <c r="E3" s="31"/>
      <c r="F3" s="31"/>
      <c r="G3" s="32"/>
      <c r="H3" s="32"/>
      <c r="I3" s="31"/>
    </row>
    <row r="4" spans="1:9">
      <c r="A4" s="33" t="s">
        <v>158</v>
      </c>
      <c r="B4" s="34" t="s">
        <v>159</v>
      </c>
      <c r="C4" s="35"/>
      <c r="D4" s="30" t="s">
        <v>160</v>
      </c>
      <c r="E4" s="31"/>
      <c r="F4" s="31"/>
      <c r="G4" s="32"/>
      <c r="H4" s="32"/>
      <c r="I4" s="31"/>
    </row>
    <row r="5" spans="1:9">
      <c r="A5" s="36"/>
      <c r="B5" s="34" t="s">
        <v>161</v>
      </c>
      <c r="C5" s="35"/>
      <c r="D5" s="30" t="s">
        <v>162</v>
      </c>
      <c r="E5" s="31"/>
      <c r="F5" s="31"/>
      <c r="G5" s="32"/>
      <c r="H5" s="32"/>
      <c r="I5" s="31"/>
    </row>
    <row r="6" spans="1:9">
      <c r="A6" s="37"/>
      <c r="B6" s="34" t="s">
        <v>163</v>
      </c>
      <c r="C6" s="35"/>
      <c r="D6" s="30" t="s">
        <v>164</v>
      </c>
      <c r="E6" s="31"/>
      <c r="F6" s="31"/>
      <c r="G6" s="32"/>
      <c r="H6" s="32"/>
      <c r="I6" s="31"/>
    </row>
    <row r="7" spans="1:9">
      <c r="A7" s="33" t="s">
        <v>165</v>
      </c>
      <c r="B7" s="34" t="s">
        <v>166</v>
      </c>
      <c r="C7" s="35"/>
      <c r="D7" s="38" t="str">
        <f>D2&amp;"_倉庫コード(6桁)_YYYYMMDDhhmmss_NNNNNN(連番6桁).DAT"</f>
        <v>IFSYLMS230R_倉庫コード(6桁)_YYYYMMDDhhmmss_NNNNNN(連番6桁).DAT</v>
      </c>
      <c r="E7" s="31"/>
      <c r="F7" s="31"/>
      <c r="G7" s="32"/>
      <c r="H7" s="32"/>
      <c r="I7" s="31"/>
    </row>
    <row r="8" spans="1:9">
      <c r="A8" s="36"/>
      <c r="B8" s="34" t="s">
        <v>167</v>
      </c>
      <c r="C8" s="35"/>
      <c r="D8" s="30" t="s">
        <v>168</v>
      </c>
      <c r="E8" s="31"/>
      <c r="F8" s="31"/>
      <c r="G8" s="32"/>
      <c r="H8" s="32"/>
      <c r="I8" s="31"/>
    </row>
    <row r="9" spans="1:9">
      <c r="A9" s="37"/>
      <c r="B9" s="34" t="s">
        <v>169</v>
      </c>
      <c r="C9" s="35"/>
      <c r="D9" s="30" t="s">
        <v>170</v>
      </c>
      <c r="E9" s="31"/>
      <c r="F9" s="31"/>
      <c r="G9" s="32"/>
      <c r="H9" s="32"/>
      <c r="I9" s="31"/>
    </row>
    <row r="10" spans="1:9">
      <c r="A10" s="39"/>
      <c r="B10" s="39"/>
      <c r="C10" s="39"/>
      <c r="D10" s="39"/>
      <c r="E10" s="39"/>
      <c r="F10" s="39">
        <f>SUM(F13:F112)</f>
        <v>512</v>
      </c>
      <c r="G10" s="40"/>
      <c r="H10" s="40"/>
      <c r="I10" s="39"/>
    </row>
    <row r="11" ht="18.75" spans="1:9">
      <c r="A11" s="41" t="s">
        <v>171</v>
      </c>
      <c r="B11" s="42" t="s">
        <v>172</v>
      </c>
      <c r="C11" s="42"/>
      <c r="D11" s="42"/>
      <c r="E11" s="42"/>
      <c r="F11" s="42"/>
      <c r="G11" s="42"/>
      <c r="H11" s="42"/>
      <c r="I11" s="42"/>
    </row>
    <row r="12" spans="1:9">
      <c r="A12" s="43"/>
      <c r="B12" s="44" t="s">
        <v>173</v>
      </c>
      <c r="C12" s="44" t="s">
        <v>174</v>
      </c>
      <c r="D12" s="44" t="s">
        <v>175</v>
      </c>
      <c r="E12" s="44" t="s">
        <v>176</v>
      </c>
      <c r="F12" s="44" t="s">
        <v>177</v>
      </c>
      <c r="G12" s="45" t="s">
        <v>3</v>
      </c>
      <c r="H12" s="45" t="s">
        <v>178</v>
      </c>
      <c r="I12" s="44" t="s">
        <v>179</v>
      </c>
    </row>
    <row r="13" spans="1:9">
      <c r="A13" s="4"/>
      <c r="B13" s="3">
        <v>1</v>
      </c>
      <c r="C13" s="3" t="s">
        <v>180</v>
      </c>
      <c r="D13" s="3"/>
      <c r="E13" s="3" t="s">
        <v>181</v>
      </c>
      <c r="F13" s="3">
        <v>2</v>
      </c>
      <c r="G13" s="46"/>
      <c r="H13" s="46"/>
      <c r="I13" s="3" t="s">
        <v>182</v>
      </c>
    </row>
    <row r="14" spans="1:9">
      <c r="A14" s="4"/>
      <c r="B14" s="3">
        <v>2</v>
      </c>
      <c r="C14" s="3" t="s">
        <v>183</v>
      </c>
      <c r="D14" s="3"/>
      <c r="E14" s="3" t="s">
        <v>181</v>
      </c>
      <c r="F14" s="3">
        <v>8</v>
      </c>
      <c r="G14" s="46" t="s">
        <v>184</v>
      </c>
      <c r="H14" s="46"/>
      <c r="I14" s="4" t="s">
        <v>185</v>
      </c>
    </row>
    <row r="15" spans="1:9">
      <c r="A15" s="4"/>
      <c r="B15" s="3">
        <v>3</v>
      </c>
      <c r="C15" s="3" t="s">
        <v>186</v>
      </c>
      <c r="D15" s="3"/>
      <c r="E15" s="3" t="s">
        <v>187</v>
      </c>
      <c r="F15" s="3">
        <v>8</v>
      </c>
      <c r="G15" s="46" t="s">
        <v>184</v>
      </c>
      <c r="H15" s="46"/>
      <c r="I15" s="4" t="s">
        <v>185</v>
      </c>
    </row>
    <row r="16" spans="1:9">
      <c r="A16" s="4"/>
      <c r="B16" s="3">
        <v>4</v>
      </c>
      <c r="C16" s="3" t="s">
        <v>53</v>
      </c>
      <c r="D16" s="3"/>
      <c r="E16" s="3" t="s">
        <v>181</v>
      </c>
      <c r="F16" s="3">
        <v>6</v>
      </c>
      <c r="G16" s="46" t="s">
        <v>184</v>
      </c>
      <c r="H16" s="46"/>
      <c r="I16" s="3" t="s">
        <v>188</v>
      </c>
    </row>
    <row r="17" spans="1:9">
      <c r="A17" s="4"/>
      <c r="B17" s="3">
        <v>5</v>
      </c>
      <c r="C17" s="3" t="s">
        <v>48</v>
      </c>
      <c r="D17" s="3"/>
      <c r="E17" s="3" t="s">
        <v>181</v>
      </c>
      <c r="F17" s="3">
        <v>9</v>
      </c>
      <c r="G17" s="46" t="s">
        <v>184</v>
      </c>
      <c r="H17" s="46"/>
      <c r="I17" s="4" t="s">
        <v>189</v>
      </c>
    </row>
    <row r="18" ht="24" spans="1:9">
      <c r="A18" s="4"/>
      <c r="B18" s="3">
        <v>6</v>
      </c>
      <c r="C18" s="3" t="s">
        <v>190</v>
      </c>
      <c r="D18" s="3"/>
      <c r="E18" s="3" t="s">
        <v>181</v>
      </c>
      <c r="F18" s="3">
        <v>2</v>
      </c>
      <c r="G18" s="46"/>
      <c r="H18" s="46"/>
      <c r="I18" s="4" t="s">
        <v>191</v>
      </c>
    </row>
    <row r="19" spans="1:9">
      <c r="A19" s="4"/>
      <c r="B19" s="3">
        <v>7</v>
      </c>
      <c r="C19" s="3" t="s">
        <v>192</v>
      </c>
      <c r="D19" s="3"/>
      <c r="E19" s="3" t="s">
        <v>181</v>
      </c>
      <c r="F19" s="3">
        <v>2</v>
      </c>
      <c r="G19" s="46"/>
      <c r="H19" s="46"/>
      <c r="I19" s="4" t="s">
        <v>193</v>
      </c>
    </row>
    <row r="20" ht="60" spans="1:9">
      <c r="A20" s="4"/>
      <c r="B20" s="3">
        <v>8</v>
      </c>
      <c r="C20" s="3" t="s">
        <v>194</v>
      </c>
      <c r="D20" s="3"/>
      <c r="E20" s="3" t="s">
        <v>181</v>
      </c>
      <c r="F20" s="3">
        <v>2</v>
      </c>
      <c r="G20" s="46" t="s">
        <v>184</v>
      </c>
      <c r="H20" s="46"/>
      <c r="I20" s="4" t="s">
        <v>195</v>
      </c>
    </row>
    <row r="21" spans="1:9">
      <c r="A21" s="4"/>
      <c r="B21" s="3">
        <v>9</v>
      </c>
      <c r="C21" s="3" t="s">
        <v>196</v>
      </c>
      <c r="D21" s="3"/>
      <c r="E21" s="3" t="s">
        <v>181</v>
      </c>
      <c r="F21" s="3">
        <v>8</v>
      </c>
      <c r="G21" s="46" t="s">
        <v>184</v>
      </c>
      <c r="H21" s="46"/>
      <c r="I21" s="4" t="s">
        <v>197</v>
      </c>
    </row>
    <row r="22" spans="1:9">
      <c r="A22" s="4"/>
      <c r="B22" s="3">
        <v>10</v>
      </c>
      <c r="C22" s="3" t="s">
        <v>15</v>
      </c>
      <c r="D22" s="3"/>
      <c r="E22" s="3" t="s">
        <v>181</v>
      </c>
      <c r="F22" s="3">
        <v>8</v>
      </c>
      <c r="G22" s="46" t="s">
        <v>184</v>
      </c>
      <c r="H22" s="46"/>
      <c r="I22" s="4" t="s">
        <v>198</v>
      </c>
    </row>
    <row r="23" spans="1:9">
      <c r="A23" s="4"/>
      <c r="B23" s="3">
        <v>11</v>
      </c>
      <c r="C23" s="3" t="s">
        <v>87</v>
      </c>
      <c r="D23" s="3"/>
      <c r="E23" s="3" t="s">
        <v>181</v>
      </c>
      <c r="F23" s="3">
        <v>8</v>
      </c>
      <c r="G23" s="46" t="s">
        <v>184</v>
      </c>
      <c r="H23" s="46" t="s">
        <v>184</v>
      </c>
      <c r="I23" s="4" t="s">
        <v>199</v>
      </c>
    </row>
    <row r="24" spans="1:9">
      <c r="A24" s="4"/>
      <c r="B24" s="3">
        <v>12</v>
      </c>
      <c r="C24" s="3" t="s">
        <v>200</v>
      </c>
      <c r="D24" s="3"/>
      <c r="E24" s="3" t="s">
        <v>181</v>
      </c>
      <c r="F24" s="3">
        <v>2</v>
      </c>
      <c r="G24" s="46" t="s">
        <v>184</v>
      </c>
      <c r="H24" s="46"/>
      <c r="I24" s="4" t="s">
        <v>201</v>
      </c>
    </row>
    <row r="25" spans="1:9">
      <c r="A25" s="4"/>
      <c r="B25" s="3">
        <v>13</v>
      </c>
      <c r="C25" s="3" t="s">
        <v>41</v>
      </c>
      <c r="D25" s="3"/>
      <c r="E25" s="3" t="s">
        <v>181</v>
      </c>
      <c r="F25" s="3">
        <v>2</v>
      </c>
      <c r="G25" s="46" t="s">
        <v>184</v>
      </c>
      <c r="H25" s="46"/>
      <c r="I25" s="4" t="s">
        <v>202</v>
      </c>
    </row>
    <row r="26" spans="1:9">
      <c r="A26" s="4"/>
      <c r="B26" s="3">
        <v>14</v>
      </c>
      <c r="C26" s="3" t="s">
        <v>203</v>
      </c>
      <c r="D26" s="3"/>
      <c r="E26" s="3" t="s">
        <v>181</v>
      </c>
      <c r="F26" s="3">
        <v>2</v>
      </c>
      <c r="G26" s="46"/>
      <c r="H26" s="46"/>
      <c r="I26" s="4" t="s">
        <v>204</v>
      </c>
    </row>
    <row r="27" spans="1:9">
      <c r="A27" s="4"/>
      <c r="B27" s="3">
        <v>15</v>
      </c>
      <c r="C27" s="3" t="s">
        <v>205</v>
      </c>
      <c r="D27" s="3"/>
      <c r="E27" s="3" t="s">
        <v>181</v>
      </c>
      <c r="F27" s="3">
        <v>4</v>
      </c>
      <c r="G27" s="46"/>
      <c r="H27" s="46"/>
      <c r="I27" s="4" t="s">
        <v>206</v>
      </c>
    </row>
    <row r="28" spans="1:9">
      <c r="A28" s="4"/>
      <c r="B28" s="3">
        <v>16</v>
      </c>
      <c r="C28" s="3" t="s">
        <v>31</v>
      </c>
      <c r="D28" s="3"/>
      <c r="E28" s="3" t="s">
        <v>181</v>
      </c>
      <c r="F28" s="3">
        <v>10</v>
      </c>
      <c r="G28" s="46" t="s">
        <v>184</v>
      </c>
      <c r="H28" s="46"/>
      <c r="I28" s="3" t="s">
        <v>56</v>
      </c>
    </row>
    <row r="29" spans="1:9">
      <c r="A29" s="4"/>
      <c r="B29" s="3">
        <v>17</v>
      </c>
      <c r="C29" s="3" t="s">
        <v>106</v>
      </c>
      <c r="D29" s="3"/>
      <c r="E29" s="3" t="s">
        <v>187</v>
      </c>
      <c r="F29" s="3">
        <v>3</v>
      </c>
      <c r="G29" s="46" t="s">
        <v>184</v>
      </c>
      <c r="H29" s="46"/>
      <c r="I29" s="3" t="s">
        <v>103</v>
      </c>
    </row>
    <row r="30" spans="1:9">
      <c r="A30" s="4"/>
      <c r="B30" s="3">
        <v>18</v>
      </c>
      <c r="C30" s="3" t="s">
        <v>130</v>
      </c>
      <c r="D30" s="3"/>
      <c r="E30" s="3" t="s">
        <v>181</v>
      </c>
      <c r="F30" s="3">
        <v>14</v>
      </c>
      <c r="G30" s="46" t="s">
        <v>184</v>
      </c>
      <c r="H30" s="46"/>
      <c r="I30" s="3"/>
    </row>
    <row r="31" spans="1:9">
      <c r="A31" s="4"/>
      <c r="B31" s="3">
        <v>19</v>
      </c>
      <c r="C31" s="3" t="s">
        <v>207</v>
      </c>
      <c r="D31" s="3"/>
      <c r="E31" s="3" t="s">
        <v>187</v>
      </c>
      <c r="F31" s="3">
        <v>7</v>
      </c>
      <c r="G31" s="46"/>
      <c r="H31" s="46"/>
      <c r="I31" s="4"/>
    </row>
    <row r="32" spans="1:9">
      <c r="A32" s="4"/>
      <c r="B32" s="3">
        <v>20</v>
      </c>
      <c r="C32" s="4" t="s">
        <v>208</v>
      </c>
      <c r="D32" s="3"/>
      <c r="E32" s="3" t="s">
        <v>187</v>
      </c>
      <c r="F32" s="3">
        <v>7</v>
      </c>
      <c r="G32" s="46" t="s">
        <v>184</v>
      </c>
      <c r="H32" s="46"/>
      <c r="I32" s="3"/>
    </row>
    <row r="33" ht="24" spans="1:9">
      <c r="A33" s="4"/>
      <c r="B33" s="3">
        <v>21</v>
      </c>
      <c r="C33" s="3" t="s">
        <v>209</v>
      </c>
      <c r="D33" s="3"/>
      <c r="E33" s="3" t="s">
        <v>187</v>
      </c>
      <c r="F33" s="3">
        <v>9</v>
      </c>
      <c r="G33" s="46" t="s">
        <v>184</v>
      </c>
      <c r="H33" s="46" t="s">
        <v>184</v>
      </c>
      <c r="I33" s="4" t="s">
        <v>210</v>
      </c>
    </row>
    <row r="34" spans="1:9">
      <c r="A34" s="4"/>
      <c r="B34" s="3">
        <v>22</v>
      </c>
      <c r="C34" s="3" t="s">
        <v>111</v>
      </c>
      <c r="D34" s="3"/>
      <c r="E34" s="3" t="s">
        <v>187</v>
      </c>
      <c r="F34" s="3">
        <v>7</v>
      </c>
      <c r="G34" s="46" t="s">
        <v>184</v>
      </c>
      <c r="H34" s="46" t="s">
        <v>184</v>
      </c>
      <c r="I34" s="4" t="s">
        <v>211</v>
      </c>
    </row>
    <row r="35" ht="24" spans="1:9">
      <c r="A35" s="4"/>
      <c r="B35" s="3">
        <v>23</v>
      </c>
      <c r="C35" s="3" t="s">
        <v>135</v>
      </c>
      <c r="D35" s="3"/>
      <c r="E35" s="3" t="s">
        <v>181</v>
      </c>
      <c r="F35" s="3">
        <v>5</v>
      </c>
      <c r="G35" s="46" t="s">
        <v>184</v>
      </c>
      <c r="H35" s="46" t="s">
        <v>184</v>
      </c>
      <c r="I35" s="4" t="s">
        <v>212</v>
      </c>
    </row>
    <row r="36" ht="24" spans="1:9">
      <c r="A36" s="4"/>
      <c r="B36" s="3">
        <v>24</v>
      </c>
      <c r="C36" s="3" t="s">
        <v>213</v>
      </c>
      <c r="D36" s="3"/>
      <c r="E36" s="3" t="s">
        <v>187</v>
      </c>
      <c r="F36" s="3">
        <v>7</v>
      </c>
      <c r="G36" s="46" t="s">
        <v>184</v>
      </c>
      <c r="H36" s="46" t="s">
        <v>184</v>
      </c>
      <c r="I36" s="4" t="s">
        <v>214</v>
      </c>
    </row>
    <row r="37" spans="1:9">
      <c r="A37" s="4"/>
      <c r="B37" s="3">
        <v>25</v>
      </c>
      <c r="C37" s="3" t="s">
        <v>215</v>
      </c>
      <c r="D37" s="3"/>
      <c r="E37" s="3" t="s">
        <v>181</v>
      </c>
      <c r="F37" s="3">
        <f>512-SUM(F13:F36)</f>
        <v>370</v>
      </c>
      <c r="G37" s="46"/>
      <c r="H37" s="46"/>
      <c r="I37" s="4" t="s">
        <v>216</v>
      </c>
    </row>
  </sheetData>
  <mergeCells count="2">
    <mergeCell ref="B11:I11"/>
    <mergeCell ref="A11:A12"/>
  </mergeCells>
  <conditionalFormatting sqref="B11:C11">
    <cfRule type="expression" dxfId="0" priority="10" stopIfTrue="1">
      <formula>#REF!&lt;&gt;"SAMCING"</formula>
    </cfRule>
    <cfRule type="expression" dxfId="1" priority="9" stopIfTrue="1">
      <formula>#REF!="SAMCING"</formula>
    </cfRule>
  </conditionalFormatting>
  <conditionalFormatting sqref="B12">
    <cfRule type="expression" dxfId="0" priority="6" stopIfTrue="1">
      <formula>#REF!&lt;&gt;"SAMCING"</formula>
    </cfRule>
    <cfRule type="expression" dxfId="1" priority="5" stopIfTrue="1">
      <formula>#REF!="SAMCING"</formula>
    </cfRule>
  </conditionalFormatting>
  <conditionalFormatting sqref="C12:F12">
    <cfRule type="expression" dxfId="0" priority="12" stopIfTrue="1">
      <formula>#REF!&lt;&gt;"SAMCING"</formula>
    </cfRule>
    <cfRule type="expression" dxfId="1" priority="11" stopIfTrue="1">
      <formula>#REF!="SAMCING"</formula>
    </cfRule>
  </conditionalFormatting>
  <conditionalFormatting sqref="G12">
    <cfRule type="expression" dxfId="0" priority="4" stopIfTrue="1">
      <formula>#REF!&lt;&gt;"SAMCING"</formula>
    </cfRule>
    <cfRule type="expression" dxfId="1" priority="3" stopIfTrue="1">
      <formula>#REF!="SAMCING"</formula>
    </cfRule>
  </conditionalFormatting>
  <conditionalFormatting sqref="H12">
    <cfRule type="expression" dxfId="0" priority="2" stopIfTrue="1">
      <formula>#REF!&lt;&gt;"SAMCING"</formula>
    </cfRule>
    <cfRule type="expression" dxfId="1" priority="1" stopIfTrue="1">
      <formula>#REF!="SAMCING"</formula>
    </cfRule>
  </conditionalFormatting>
  <conditionalFormatting sqref="I12">
    <cfRule type="expression" dxfId="0" priority="8" stopIfTrue="1">
      <formula>#REF!&lt;&gt;"SAMCING"</formula>
    </cfRule>
    <cfRule type="expression" dxfId="1" priority="7" stopIfTrue="1">
      <formula>#REF!="SAMCING"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B1:F51"/>
  <sheetViews>
    <sheetView showGridLines="0" zoomScale="110" zoomScaleNormal="110" workbookViewId="0">
      <selection activeCell="D29" sqref="D29"/>
    </sheetView>
  </sheetViews>
  <sheetFormatPr defaultColWidth="9.14285714285714" defaultRowHeight="15.75" outlineLevelCol="5"/>
  <cols>
    <col min="1" max="1" width="9.14285714285714" style="10"/>
    <col min="2" max="2" width="21" style="10" customWidth="1"/>
    <col min="3" max="3" width="60.5714285714286" style="10" customWidth="1"/>
    <col min="4" max="4" width="17.4285714285714" style="10" customWidth="1"/>
    <col min="5" max="5" width="46" style="10" customWidth="1"/>
    <col min="6" max="16384" width="9.14285714285714" style="10"/>
  </cols>
  <sheetData>
    <row r="1" spans="2:6">
      <c r="B1" s="11" t="s">
        <v>217</v>
      </c>
      <c r="D1" s="11" t="s">
        <v>218</v>
      </c>
    </row>
    <row r="2" spans="2:6">
      <c r="B2" s="24" t="s">
        <v>12</v>
      </c>
      <c r="C2" s="82" t="s">
        <v>14</v>
      </c>
      <c r="D2" s="24" t="s">
        <v>15</v>
      </c>
      <c r="E2" s="24" t="s">
        <v>198</v>
      </c>
    </row>
    <row r="3" spans="2:6">
      <c r="B3" s="25" t="s">
        <v>19</v>
      </c>
      <c r="C3" s="10" t="s">
        <v>219</v>
      </c>
    </row>
    <row r="4" spans="2:6">
      <c r="B4" s="24" t="s">
        <v>24</v>
      </c>
      <c r="C4" s="10" t="s">
        <v>219</v>
      </c>
    </row>
    <row r="5" spans="2:6">
      <c r="B5" s="25" t="s">
        <v>25</v>
      </c>
      <c r="C5" s="10" t="s">
        <v>220</v>
      </c>
    </row>
    <row r="6" spans="2:6">
      <c r="B6" s="24" t="s">
        <v>31</v>
      </c>
      <c r="C6" s="10" t="s">
        <v>221</v>
      </c>
      <c r="E6" s="13" t="s">
        <v>56</v>
      </c>
    </row>
    <row r="7" spans="2:6">
      <c r="B7" s="25" t="s">
        <v>36</v>
      </c>
      <c r="C7" s="10" t="s">
        <v>222</v>
      </c>
      <c r="D7" s="25" t="s">
        <v>53</v>
      </c>
      <c r="E7" s="25" t="s">
        <v>188</v>
      </c>
    </row>
    <row r="8" spans="2:6">
      <c r="B8" s="24" t="s">
        <v>41</v>
      </c>
      <c r="C8" s="10" t="s">
        <v>223</v>
      </c>
      <c r="D8" s="25" t="s">
        <v>41</v>
      </c>
      <c r="E8" s="25" t="s">
        <v>202</v>
      </c>
    </row>
    <row r="9" spans="2:6">
      <c r="B9" s="25" t="s">
        <v>46</v>
      </c>
      <c r="C9" s="10" t="s">
        <v>224</v>
      </c>
      <c r="D9" s="25" t="s">
        <v>48</v>
      </c>
      <c r="E9" s="25" t="s">
        <v>189</v>
      </c>
    </row>
    <row r="10" spans="2:6">
      <c r="B10" s="24" t="s">
        <v>51</v>
      </c>
      <c r="C10" s="10" t="s">
        <v>225</v>
      </c>
    </row>
    <row r="11" spans="2:6">
      <c r="B11" s="25" t="s">
        <v>56</v>
      </c>
      <c r="C11" s="10" t="s">
        <v>221</v>
      </c>
      <c r="D11" s="24" t="s">
        <v>31</v>
      </c>
      <c r="E11" s="24" t="s">
        <v>56</v>
      </c>
    </row>
    <row r="12" spans="2:6">
      <c r="B12" s="24" t="s">
        <v>59</v>
      </c>
      <c r="C12" s="10" t="s">
        <v>226</v>
      </c>
      <c r="F12" s="10" t="s">
        <v>227</v>
      </c>
    </row>
    <row r="13" spans="2:6">
      <c r="B13" s="25" t="s">
        <v>62</v>
      </c>
      <c r="C13" s="10" t="s">
        <v>228</v>
      </c>
      <c r="F13" s="10" t="s">
        <v>229</v>
      </c>
    </row>
    <row r="14" spans="2:6">
      <c r="B14" s="24" t="s">
        <v>65</v>
      </c>
      <c r="C14" s="10" t="s">
        <v>230</v>
      </c>
      <c r="D14" s="24" t="s">
        <v>190</v>
      </c>
      <c r="E14" s="24"/>
      <c r="F14" s="10" t="s">
        <v>231</v>
      </c>
    </row>
    <row r="15" spans="2:6">
      <c r="B15" s="25" t="s">
        <v>69</v>
      </c>
      <c r="C15" s="10" t="s">
        <v>70</v>
      </c>
      <c r="F15" s="10" t="s">
        <v>232</v>
      </c>
    </row>
    <row r="16" spans="2:6">
      <c r="B16" s="24" t="s">
        <v>72</v>
      </c>
      <c r="C16" s="10" t="s">
        <v>73</v>
      </c>
    </row>
    <row r="17" spans="2:5">
      <c r="B17" s="25" t="s">
        <v>75</v>
      </c>
      <c r="C17" s="10" t="s">
        <v>233</v>
      </c>
    </row>
    <row r="18" spans="2:5">
      <c r="B18" s="24" t="s">
        <v>78</v>
      </c>
      <c r="C18" s="10" t="s">
        <v>234</v>
      </c>
    </row>
    <row r="19" spans="2:5">
      <c r="B19" s="25" t="s">
        <v>80</v>
      </c>
      <c r="C19" s="10" t="s">
        <v>234</v>
      </c>
    </row>
    <row r="20" spans="2:5">
      <c r="B20" s="24" t="s">
        <v>81</v>
      </c>
      <c r="C20" s="10" t="s">
        <v>235</v>
      </c>
    </row>
    <row r="21" spans="2:5">
      <c r="B21" s="25" t="s">
        <v>84</v>
      </c>
      <c r="C21" s="10" t="s">
        <v>236</v>
      </c>
    </row>
    <row r="22" spans="2:5">
      <c r="B22" s="24" t="s">
        <v>87</v>
      </c>
      <c r="C22" s="10" t="s">
        <v>237</v>
      </c>
      <c r="D22" s="25" t="s">
        <v>87</v>
      </c>
      <c r="E22" s="25" t="s">
        <v>199</v>
      </c>
    </row>
    <row r="23" spans="2:5">
      <c r="B23" s="25" t="s">
        <v>90</v>
      </c>
      <c r="C23" s="10" t="s">
        <v>234</v>
      </c>
    </row>
    <row r="24" spans="2:5">
      <c r="B24" s="24" t="s">
        <v>91</v>
      </c>
      <c r="C24" s="10" t="s">
        <v>238</v>
      </c>
    </row>
    <row r="25" spans="2:5">
      <c r="B25" s="25" t="s">
        <v>93</v>
      </c>
      <c r="C25" s="10" t="s">
        <v>238</v>
      </c>
    </row>
    <row r="26" spans="2:5">
      <c r="B26" s="24" t="s">
        <v>95</v>
      </c>
      <c r="C26" s="10" t="s">
        <v>239</v>
      </c>
    </row>
    <row r="27" spans="2:5">
      <c r="B27" s="25" t="s">
        <v>99</v>
      </c>
      <c r="C27" s="10" t="s">
        <v>238</v>
      </c>
    </row>
    <row r="28" spans="2:5">
      <c r="B28" s="24" t="s">
        <v>100</v>
      </c>
      <c r="C28" s="10" t="s">
        <v>240</v>
      </c>
    </row>
    <row r="29" spans="2:5">
      <c r="B29" s="25" t="s">
        <v>103</v>
      </c>
      <c r="C29" s="10" t="s">
        <v>241</v>
      </c>
      <c r="D29" s="25" t="s">
        <v>106</v>
      </c>
      <c r="E29" s="25" t="s">
        <v>103</v>
      </c>
    </row>
    <row r="30" spans="2:5">
      <c r="B30" s="24" t="s">
        <v>109</v>
      </c>
      <c r="C30" s="10" t="s">
        <v>242</v>
      </c>
      <c r="D30" s="24" t="s">
        <v>111</v>
      </c>
      <c r="E30" s="24" t="s">
        <v>211</v>
      </c>
    </row>
    <row r="31" spans="2:5">
      <c r="B31" s="25" t="s">
        <v>243</v>
      </c>
      <c r="C31" s="10" t="s">
        <v>244</v>
      </c>
    </row>
    <row r="32" spans="2:5">
      <c r="B32" s="24" t="s">
        <v>117</v>
      </c>
      <c r="C32" s="10" t="s">
        <v>245</v>
      </c>
    </row>
    <row r="33" spans="2:5">
      <c r="B33" s="25" t="s">
        <v>120</v>
      </c>
      <c r="C33" s="10" t="s">
        <v>246</v>
      </c>
    </row>
    <row r="34" spans="2:5">
      <c r="B34" s="24" t="s">
        <v>123</v>
      </c>
      <c r="C34" s="10" t="s">
        <v>247</v>
      </c>
    </row>
    <row r="35" spans="2:5">
      <c r="B35" s="26" t="s">
        <v>127</v>
      </c>
      <c r="C35" s="10" t="s">
        <v>248</v>
      </c>
      <c r="D35" s="24" t="s">
        <v>130</v>
      </c>
      <c r="E35" s="24"/>
    </row>
    <row r="36" ht="28.5" spans="2:5">
      <c r="B36" s="24" t="s">
        <v>133</v>
      </c>
      <c r="C36" s="10" t="s">
        <v>249</v>
      </c>
      <c r="D36" s="25" t="s">
        <v>135</v>
      </c>
      <c r="E36" s="25" t="s">
        <v>250</v>
      </c>
    </row>
    <row r="38" ht="71.25" spans="2:5">
      <c r="D38" s="24" t="s">
        <v>194</v>
      </c>
      <c r="E38" s="24" t="s">
        <v>251</v>
      </c>
    </row>
    <row r="39" ht="28.5" spans="2:5">
      <c r="D39" s="24" t="s">
        <v>213</v>
      </c>
      <c r="E39" s="24" t="s">
        <v>252</v>
      </c>
    </row>
    <row r="40" spans="2:5">
      <c r="D40" s="25" t="s">
        <v>215</v>
      </c>
      <c r="E40" s="25" t="s">
        <v>216</v>
      </c>
    </row>
    <row r="41" ht="28.5" spans="2:5">
      <c r="D41" s="25" t="s">
        <v>209</v>
      </c>
      <c r="E41" s="25" t="s">
        <v>253</v>
      </c>
    </row>
    <row r="42" spans="2:5">
      <c r="D42" s="25" t="s">
        <v>207</v>
      </c>
      <c r="E42" s="25"/>
    </row>
    <row r="43" spans="2:5">
      <c r="D43" s="24" t="s">
        <v>208</v>
      </c>
      <c r="E43" s="24"/>
    </row>
    <row r="44" spans="2:5">
      <c r="D44" s="24" t="s">
        <v>200</v>
      </c>
      <c r="E44" s="24" t="s">
        <v>201</v>
      </c>
    </row>
    <row r="45" spans="2:5">
      <c r="D45" s="24" t="s">
        <v>203</v>
      </c>
      <c r="E45" s="24" t="s">
        <v>204</v>
      </c>
    </row>
    <row r="46" spans="2:5">
      <c r="D46" s="25" t="s">
        <v>205</v>
      </c>
      <c r="E46" s="25" t="s">
        <v>206</v>
      </c>
    </row>
    <row r="47" spans="2:5">
      <c r="D47" s="25" t="s">
        <v>196</v>
      </c>
      <c r="E47" s="25" t="s">
        <v>197</v>
      </c>
    </row>
    <row r="48" spans="2:5">
      <c r="D48" s="24" t="s">
        <v>186</v>
      </c>
      <c r="E48" s="24" t="s">
        <v>185</v>
      </c>
    </row>
    <row r="49" spans="4:5">
      <c r="D49" s="25" t="s">
        <v>192</v>
      </c>
      <c r="E49" s="25" t="s">
        <v>193</v>
      </c>
    </row>
    <row r="50" spans="4:5">
      <c r="D50" s="24" t="s">
        <v>180</v>
      </c>
      <c r="E50" s="24" t="s">
        <v>182</v>
      </c>
    </row>
    <row r="51" spans="4:5">
      <c r="D51" s="25" t="s">
        <v>183</v>
      </c>
      <c r="E51" s="25" t="s">
        <v>185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opLeftCell="A16" workbookViewId="0">
      <selection activeCell="D30" sqref="D30"/>
    </sheetView>
  </sheetViews>
  <sheetFormatPr defaultColWidth="9.14285714285714" defaultRowHeight="15.75"/>
  <cols>
    <col min="1" max="1" width="22.1428571428571" style="10" customWidth="1"/>
    <col min="2" max="2" width="25.5714285714286" style="10" customWidth="1"/>
    <col min="3" max="3" width="50.4285714285714" style="10" customWidth="1"/>
    <col min="4" max="4" width="59.8571428571429" style="10" customWidth="1"/>
    <col min="5" max="5" width="63" style="10" customWidth="1"/>
    <col min="6" max="6" width="26.4285714285714" style="10" customWidth="1"/>
    <col min="7" max="7" width="14.4285714285714" style="10" customWidth="1"/>
    <col min="8" max="8" width="58.8571428571429" style="10" customWidth="1"/>
    <col min="9" max="11" width="14.4285714285714" style="10" customWidth="1"/>
    <col min="12" max="12" width="17.7142857142857" style="10" customWidth="1"/>
    <col min="13" max="16384" width="9.14285714285714" style="10"/>
  </cols>
  <sheetData>
    <row r="1" spans="1:12">
      <c r="B1" s="11" t="s">
        <v>254</v>
      </c>
      <c r="C1" s="11" t="s">
        <v>255</v>
      </c>
    </row>
    <row r="3" spans="1:12">
      <c r="C3" s="12" t="s">
        <v>256</v>
      </c>
      <c r="D3" s="12" t="s">
        <v>256</v>
      </c>
      <c r="E3" s="12" t="s">
        <v>257</v>
      </c>
    </row>
    <row r="4" spans="1:12">
      <c r="C4" s="10" t="s">
        <v>258</v>
      </c>
      <c r="D4" s="10" t="s">
        <v>258</v>
      </c>
      <c r="E4" s="10" t="s">
        <v>258</v>
      </c>
      <c r="F4" s="10" t="s">
        <v>259</v>
      </c>
    </row>
    <row r="5" spans="1:12">
      <c r="C5" s="13" t="s">
        <v>260</v>
      </c>
      <c r="D5" s="13" t="s">
        <v>261</v>
      </c>
      <c r="E5" s="13" t="s">
        <v>262</v>
      </c>
      <c r="F5" s="10" t="s">
        <v>263</v>
      </c>
      <c r="L5" s="10" t="s">
        <v>264</v>
      </c>
    </row>
    <row r="6" spans="1:12">
      <c r="A6" s="10" t="s">
        <v>15</v>
      </c>
      <c r="B6" s="14" t="s">
        <v>12</v>
      </c>
      <c r="C6" s="83" t="s">
        <v>14</v>
      </c>
      <c r="D6" s="15" t="s">
        <v>265</v>
      </c>
      <c r="E6" s="10" t="s">
        <v>266</v>
      </c>
      <c r="F6" s="10" t="s">
        <v>12</v>
      </c>
      <c r="H6" s="10" t="s">
        <v>267</v>
      </c>
      <c r="L6" s="10" t="s">
        <v>268</v>
      </c>
    </row>
    <row r="7" spans="1:12">
      <c r="A7" s="15" t="s">
        <v>21</v>
      </c>
      <c r="B7" s="16" t="s">
        <v>19</v>
      </c>
      <c r="C7" s="15" t="s">
        <v>219</v>
      </c>
      <c r="D7" s="15" t="s">
        <v>238</v>
      </c>
      <c r="E7" s="10" t="s">
        <v>238</v>
      </c>
      <c r="F7" s="10" t="s">
        <v>19</v>
      </c>
      <c r="H7" s="11" t="s">
        <v>269</v>
      </c>
      <c r="L7" s="10" t="s">
        <v>270</v>
      </c>
    </row>
    <row r="8" spans="1:12">
      <c r="A8" s="15" t="s">
        <v>21</v>
      </c>
      <c r="B8" s="14" t="s">
        <v>271</v>
      </c>
      <c r="C8" s="15" t="s">
        <v>219</v>
      </c>
      <c r="D8" s="15" t="s">
        <v>238</v>
      </c>
      <c r="E8" s="10" t="s">
        <v>238</v>
      </c>
      <c r="F8" s="10" t="s">
        <v>272</v>
      </c>
      <c r="H8" s="11" t="s">
        <v>273</v>
      </c>
      <c r="L8" s="10" t="s">
        <v>274</v>
      </c>
    </row>
    <row r="9" spans="1:12">
      <c r="B9" s="17" t="s">
        <v>25</v>
      </c>
      <c r="C9" s="15" t="s">
        <v>220</v>
      </c>
      <c r="D9" s="15" t="s">
        <v>275</v>
      </c>
      <c r="E9" s="10" t="s">
        <v>276</v>
      </c>
      <c r="F9" s="10" t="s">
        <v>25</v>
      </c>
      <c r="H9" s="11" t="s">
        <v>277</v>
      </c>
      <c r="L9" s="10" t="s">
        <v>278</v>
      </c>
    </row>
    <row r="10" spans="1:12">
      <c r="A10" s="10" t="s">
        <v>31</v>
      </c>
      <c r="B10" s="14" t="s">
        <v>31</v>
      </c>
      <c r="C10" s="18" t="s">
        <v>221</v>
      </c>
      <c r="D10" s="18" t="s">
        <v>279</v>
      </c>
      <c r="E10" s="10" t="s">
        <v>280</v>
      </c>
      <c r="F10" s="10" t="s">
        <v>281</v>
      </c>
      <c r="H10" s="11" t="s">
        <v>282</v>
      </c>
      <c r="L10" s="10" t="s">
        <v>283</v>
      </c>
    </row>
    <row r="11" spans="1:12">
      <c r="A11" s="10" t="s">
        <v>188</v>
      </c>
      <c r="B11" s="19" t="s">
        <v>36</v>
      </c>
      <c r="C11" s="15" t="s">
        <v>222</v>
      </c>
      <c r="D11" s="15" t="s">
        <v>284</v>
      </c>
      <c r="E11" s="10" t="s">
        <v>285</v>
      </c>
      <c r="F11" s="10" t="s">
        <v>286</v>
      </c>
      <c r="H11" s="10" t="s">
        <v>287</v>
      </c>
      <c r="L11" s="10" t="s">
        <v>288</v>
      </c>
    </row>
    <row r="12" spans="1:12">
      <c r="A12" s="10" t="s">
        <v>41</v>
      </c>
      <c r="B12" s="14" t="s">
        <v>41</v>
      </c>
      <c r="C12" s="15" t="s">
        <v>223</v>
      </c>
      <c r="D12" s="15" t="s">
        <v>289</v>
      </c>
      <c r="E12" s="10" t="s">
        <v>290</v>
      </c>
      <c r="F12" s="10" t="s">
        <v>291</v>
      </c>
      <c r="H12" s="10" t="s">
        <v>292</v>
      </c>
      <c r="L12" s="10" t="s">
        <v>293</v>
      </c>
    </row>
    <row r="13" spans="1:12">
      <c r="A13" s="10" t="s">
        <v>48</v>
      </c>
      <c r="B13" s="16" t="s">
        <v>46</v>
      </c>
      <c r="C13" s="15" t="s">
        <v>224</v>
      </c>
      <c r="D13" s="15" t="s">
        <v>294</v>
      </c>
      <c r="E13" s="10" t="s">
        <v>295</v>
      </c>
      <c r="F13" s="10" t="s">
        <v>296</v>
      </c>
      <c r="H13" s="10" t="s">
        <v>297</v>
      </c>
      <c r="L13" s="10" t="s">
        <v>298</v>
      </c>
    </row>
    <row r="14" spans="1:12">
      <c r="A14" s="12" t="s">
        <v>53</v>
      </c>
      <c r="B14" s="14" t="s">
        <v>51</v>
      </c>
      <c r="C14" s="15" t="s">
        <v>225</v>
      </c>
      <c r="D14" s="15" t="s">
        <v>299</v>
      </c>
      <c r="E14" s="10" t="s">
        <v>300</v>
      </c>
      <c r="F14" s="10" t="s">
        <v>51</v>
      </c>
      <c r="H14" s="10" t="s">
        <v>301</v>
      </c>
      <c r="L14" s="10" t="s">
        <v>302</v>
      </c>
    </row>
    <row r="15" spans="1:12">
      <c r="A15" s="10" t="s">
        <v>31</v>
      </c>
      <c r="B15" s="16" t="s">
        <v>56</v>
      </c>
      <c r="C15" s="18" t="s">
        <v>221</v>
      </c>
      <c r="D15" s="18" t="s">
        <v>238</v>
      </c>
      <c r="E15" s="10" t="s">
        <v>280</v>
      </c>
      <c r="F15" s="10" t="s">
        <v>56</v>
      </c>
      <c r="H15" s="10" t="s">
        <v>303</v>
      </c>
      <c r="L15" s="10" t="s">
        <v>304</v>
      </c>
    </row>
    <row r="16" spans="1:12">
      <c r="B16" s="20" t="s">
        <v>59</v>
      </c>
      <c r="C16" s="15" t="s">
        <v>226</v>
      </c>
      <c r="D16" s="15" t="s">
        <v>305</v>
      </c>
      <c r="E16" s="10" t="s">
        <v>305</v>
      </c>
      <c r="F16" s="10" t="s">
        <v>59</v>
      </c>
      <c r="H16" s="10" t="s">
        <v>306</v>
      </c>
      <c r="L16" s="10" t="s">
        <v>307</v>
      </c>
    </row>
    <row r="17" spans="1:13">
      <c r="B17" s="17" t="s">
        <v>62</v>
      </c>
      <c r="C17" s="15" t="s">
        <v>228</v>
      </c>
      <c r="D17" s="15" t="s">
        <v>308</v>
      </c>
      <c r="E17" s="10" t="s">
        <v>308</v>
      </c>
      <c r="F17" s="10" t="s">
        <v>62</v>
      </c>
      <c r="H17" s="10" t="s">
        <v>309</v>
      </c>
      <c r="L17" s="10" t="s">
        <v>310</v>
      </c>
    </row>
    <row r="18" spans="1:13">
      <c r="A18" s="10" t="s">
        <v>190</v>
      </c>
      <c r="B18" s="14" t="s">
        <v>65</v>
      </c>
      <c r="C18" s="15" t="s">
        <v>230</v>
      </c>
      <c r="D18" s="15" t="s">
        <v>311</v>
      </c>
      <c r="E18" s="10" t="s">
        <v>311</v>
      </c>
      <c r="F18" s="10" t="s">
        <v>65</v>
      </c>
      <c r="H18" s="10" t="s">
        <v>312</v>
      </c>
      <c r="L18" s="10" t="s">
        <v>313</v>
      </c>
    </row>
    <row r="19" spans="1:13">
      <c r="B19" s="17" t="s">
        <v>69</v>
      </c>
      <c r="C19" s="15" t="s">
        <v>314</v>
      </c>
      <c r="D19" s="15" t="s">
        <v>315</v>
      </c>
      <c r="E19" s="10" t="s">
        <v>316</v>
      </c>
      <c r="F19" s="10" t="s">
        <v>69</v>
      </c>
      <c r="H19" s="10" t="s">
        <v>317</v>
      </c>
      <c r="L19" s="10" t="s">
        <v>318</v>
      </c>
    </row>
    <row r="20" spans="1:13">
      <c r="B20" s="21" t="s">
        <v>72</v>
      </c>
      <c r="C20" s="15" t="s">
        <v>319</v>
      </c>
      <c r="D20" s="15" t="s">
        <v>320</v>
      </c>
      <c r="E20" s="10" t="s">
        <v>320</v>
      </c>
      <c r="F20" s="10" t="s">
        <v>72</v>
      </c>
      <c r="H20" s="10" t="s">
        <v>321</v>
      </c>
      <c r="L20" s="10" t="s">
        <v>322</v>
      </c>
    </row>
    <row r="21" spans="1:13">
      <c r="A21" s="15" t="s">
        <v>233</v>
      </c>
      <c r="B21" s="16" t="s">
        <v>75</v>
      </c>
      <c r="C21" s="15" t="s">
        <v>233</v>
      </c>
      <c r="D21" s="15" t="s">
        <v>233</v>
      </c>
      <c r="E21" s="10" t="s">
        <v>233</v>
      </c>
      <c r="F21" s="10" t="s">
        <v>75</v>
      </c>
      <c r="H21" s="10" t="s">
        <v>323</v>
      </c>
    </row>
    <row r="22" spans="1:13">
      <c r="A22" s="15" t="s">
        <v>234</v>
      </c>
      <c r="B22" s="14" t="s">
        <v>324</v>
      </c>
      <c r="C22" s="15" t="s">
        <v>234</v>
      </c>
      <c r="D22" s="15" t="s">
        <v>234</v>
      </c>
      <c r="E22" s="10" t="s">
        <v>234</v>
      </c>
      <c r="F22" s="10" t="s">
        <v>325</v>
      </c>
      <c r="H22" s="10" t="s">
        <v>326</v>
      </c>
    </row>
    <row r="23" spans="1:13">
      <c r="A23" s="15" t="s">
        <v>234</v>
      </c>
      <c r="B23" s="16" t="s">
        <v>327</v>
      </c>
      <c r="C23" s="15" t="s">
        <v>234</v>
      </c>
      <c r="D23" s="15" t="s">
        <v>234</v>
      </c>
      <c r="E23" s="10" t="s">
        <v>234</v>
      </c>
      <c r="F23" s="10" t="s">
        <v>328</v>
      </c>
      <c r="H23" s="10" t="s">
        <v>329</v>
      </c>
    </row>
    <row r="24" spans="1:13">
      <c r="B24" s="21" t="s">
        <v>81</v>
      </c>
      <c r="C24" s="15" t="s">
        <v>235</v>
      </c>
      <c r="D24" s="15" t="s">
        <v>235</v>
      </c>
      <c r="E24" s="10" t="s">
        <v>235</v>
      </c>
      <c r="F24" s="10" t="s">
        <v>81</v>
      </c>
      <c r="H24" s="10" t="s">
        <v>330</v>
      </c>
    </row>
    <row r="25" spans="1:13">
      <c r="B25" s="19" t="s">
        <v>84</v>
      </c>
      <c r="C25" s="15" t="s">
        <v>236</v>
      </c>
      <c r="D25" s="15" t="s">
        <v>236</v>
      </c>
      <c r="E25" s="10" t="s">
        <v>236</v>
      </c>
      <c r="F25" s="10" t="s">
        <v>84</v>
      </c>
      <c r="H25" s="10" t="s">
        <v>331</v>
      </c>
    </row>
    <row r="26" spans="1:13">
      <c r="A26" s="10" t="s">
        <v>87</v>
      </c>
      <c r="B26" s="14" t="s">
        <v>87</v>
      </c>
      <c r="C26" s="15" t="s">
        <v>237</v>
      </c>
      <c r="D26" s="15" t="s">
        <v>265</v>
      </c>
      <c r="E26" s="10" t="s">
        <v>266</v>
      </c>
      <c r="F26" s="10" t="s">
        <v>87</v>
      </c>
      <c r="H26" s="10" t="s">
        <v>332</v>
      </c>
    </row>
    <row r="27" spans="1:13">
      <c r="A27" s="15" t="s">
        <v>234</v>
      </c>
      <c r="B27" s="16" t="s">
        <v>90</v>
      </c>
      <c r="C27" s="15" t="s">
        <v>234</v>
      </c>
      <c r="D27" s="15" t="s">
        <v>234</v>
      </c>
      <c r="E27" s="10" t="s">
        <v>234</v>
      </c>
      <c r="F27" s="10" t="s">
        <v>90</v>
      </c>
      <c r="H27" s="10" t="s">
        <v>333</v>
      </c>
    </row>
    <row r="28" spans="1:13">
      <c r="A28" s="15" t="s">
        <v>238</v>
      </c>
      <c r="B28" s="14" t="s">
        <v>91</v>
      </c>
      <c r="C28" s="15" t="s">
        <v>238</v>
      </c>
      <c r="D28" s="15" t="s">
        <v>238</v>
      </c>
      <c r="E28" s="10" t="s">
        <v>238</v>
      </c>
      <c r="F28" s="10" t="s">
        <v>91</v>
      </c>
      <c r="H28" s="10" t="s">
        <v>334</v>
      </c>
    </row>
    <row r="29" spans="1:13">
      <c r="A29" s="15" t="s">
        <v>238</v>
      </c>
      <c r="B29" s="16" t="s">
        <v>93</v>
      </c>
      <c r="C29" s="15" t="s">
        <v>238</v>
      </c>
      <c r="D29" s="15" t="s">
        <v>238</v>
      </c>
      <c r="E29" s="10" t="s">
        <v>238</v>
      </c>
      <c r="F29" s="10" t="s">
        <v>335</v>
      </c>
      <c r="H29" s="10" t="s">
        <v>336</v>
      </c>
    </row>
    <row r="30" spans="1:13">
      <c r="A30" s="10">
        <v>99000112</v>
      </c>
      <c r="B30" s="14" t="s">
        <v>95</v>
      </c>
      <c r="C30" s="15" t="s">
        <v>239</v>
      </c>
      <c r="D30" s="15" t="s">
        <v>337</v>
      </c>
      <c r="E30" s="10" t="s">
        <v>338</v>
      </c>
      <c r="F30" s="10" t="s">
        <v>95</v>
      </c>
      <c r="H30" s="10" t="s">
        <v>339</v>
      </c>
      <c r="L30" s="10" t="s">
        <v>340</v>
      </c>
      <c r="M30" s="10" t="s">
        <v>341</v>
      </c>
    </row>
    <row r="31" spans="1:13">
      <c r="A31" s="15" t="s">
        <v>238</v>
      </c>
      <c r="B31" s="16" t="s">
        <v>99</v>
      </c>
      <c r="C31" s="15" t="s">
        <v>238</v>
      </c>
      <c r="D31" s="15" t="s">
        <v>238</v>
      </c>
      <c r="E31" s="10" t="s">
        <v>238</v>
      </c>
      <c r="F31" s="10" t="s">
        <v>342</v>
      </c>
      <c r="H31" s="10" t="s">
        <v>343</v>
      </c>
      <c r="L31" s="10" t="s">
        <v>344</v>
      </c>
      <c r="M31" s="10" t="s">
        <v>345</v>
      </c>
    </row>
    <row r="32" spans="1:13">
      <c r="A32" s="22" t="s">
        <v>346</v>
      </c>
      <c r="B32" s="14" t="s">
        <v>100</v>
      </c>
      <c r="C32" s="15" t="s">
        <v>240</v>
      </c>
      <c r="D32" s="15" t="s">
        <v>240</v>
      </c>
      <c r="E32" s="10" t="s">
        <v>240</v>
      </c>
      <c r="F32" s="10" t="s">
        <v>347</v>
      </c>
      <c r="H32" s="10" t="s">
        <v>348</v>
      </c>
    </row>
    <row r="33" spans="1:8">
      <c r="A33" s="10" t="s">
        <v>106</v>
      </c>
      <c r="B33" s="16" t="s">
        <v>103</v>
      </c>
      <c r="C33" s="18" t="s">
        <v>241</v>
      </c>
      <c r="D33" s="18" t="s">
        <v>349</v>
      </c>
      <c r="E33" s="10" t="s">
        <v>350</v>
      </c>
      <c r="F33" s="10" t="s">
        <v>351</v>
      </c>
      <c r="H33" s="11" t="s">
        <v>352</v>
      </c>
    </row>
    <row r="34" spans="1:8">
      <c r="A34" s="10" t="s">
        <v>111</v>
      </c>
      <c r="B34" s="14" t="s">
        <v>353</v>
      </c>
      <c r="C34" s="15" t="s">
        <v>242</v>
      </c>
      <c r="D34" s="15" t="s">
        <v>354</v>
      </c>
      <c r="E34" s="10" t="s">
        <v>355</v>
      </c>
      <c r="F34" s="10" t="s">
        <v>356</v>
      </c>
      <c r="H34" s="10" t="s">
        <v>357</v>
      </c>
    </row>
    <row r="35" spans="1:8">
      <c r="B35" s="19" t="s">
        <v>358</v>
      </c>
      <c r="C35" s="15" t="s">
        <v>244</v>
      </c>
      <c r="D35" s="15" t="s">
        <v>359</v>
      </c>
      <c r="E35" s="10" t="s">
        <v>360</v>
      </c>
      <c r="F35" s="10" t="s">
        <v>361</v>
      </c>
      <c r="H35" s="10" t="s">
        <v>362</v>
      </c>
    </row>
    <row r="36" spans="1:8">
      <c r="A36" s="10" t="s">
        <v>119</v>
      </c>
      <c r="B36" s="21" t="s">
        <v>117</v>
      </c>
      <c r="C36" s="15" t="s">
        <v>245</v>
      </c>
      <c r="D36" s="15" t="s">
        <v>363</v>
      </c>
      <c r="E36" s="10" t="s">
        <v>364</v>
      </c>
      <c r="F36" s="10" t="s">
        <v>117</v>
      </c>
      <c r="H36" s="10" t="s">
        <v>365</v>
      </c>
    </row>
    <row r="37" spans="1:8">
      <c r="A37" s="10" t="s">
        <v>122</v>
      </c>
      <c r="B37" s="19" t="s">
        <v>120</v>
      </c>
      <c r="C37" s="15" t="s">
        <v>246</v>
      </c>
      <c r="D37" s="15" t="s">
        <v>366</v>
      </c>
      <c r="E37" s="10" t="s">
        <v>367</v>
      </c>
      <c r="F37" s="10" t="s">
        <v>120</v>
      </c>
      <c r="H37" s="10" t="s">
        <v>368</v>
      </c>
    </row>
    <row r="38" spans="1:8">
      <c r="B38" s="21" t="s">
        <v>123</v>
      </c>
      <c r="C38" s="15" t="s">
        <v>247</v>
      </c>
      <c r="D38" s="15" t="s">
        <v>369</v>
      </c>
      <c r="E38" s="10" t="s">
        <v>370</v>
      </c>
      <c r="F38" s="10" t="s">
        <v>123</v>
      </c>
      <c r="H38" s="10" t="s">
        <v>371</v>
      </c>
    </row>
    <row r="39" spans="1:8">
      <c r="A39" s="10" t="s">
        <v>130</v>
      </c>
      <c r="B39" s="23" t="s">
        <v>127</v>
      </c>
      <c r="C39" s="15" t="s">
        <v>248</v>
      </c>
      <c r="D39" s="15" t="s">
        <v>372</v>
      </c>
      <c r="E39" s="10" t="s">
        <v>373</v>
      </c>
      <c r="F39" s="10" t="s">
        <v>130</v>
      </c>
      <c r="H39" s="10" t="s">
        <v>374</v>
      </c>
    </row>
    <row r="40" spans="1:8">
      <c r="A40" s="10" t="s">
        <v>135</v>
      </c>
      <c r="B40" s="14" t="s">
        <v>133</v>
      </c>
      <c r="C40" s="15" t="s">
        <v>249</v>
      </c>
      <c r="D40" s="15" t="s">
        <v>375</v>
      </c>
      <c r="E40" s="10" t="s">
        <v>375</v>
      </c>
      <c r="F40" s="10" t="s">
        <v>133</v>
      </c>
      <c r="H40" s="10" t="s">
        <v>376</v>
      </c>
    </row>
  </sheetData>
  <autoFilter xmlns:etc="http://www.wps.cn/officeDocument/2017/etCustomData" ref="A5:M4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8"/>
  <sheetViews>
    <sheetView showGridLines="0" topLeftCell="A25" workbookViewId="0">
      <selection activeCell="A50" sqref="$A50:$XFD55"/>
    </sheetView>
  </sheetViews>
  <sheetFormatPr defaultColWidth="9.14285714285714" defaultRowHeight="14.25"/>
  <cols>
    <col min="1" max="1" width="9.14285714285714" style="5"/>
    <col min="2" max="2" width="11" style="5" customWidth="1"/>
    <col min="3" max="3" width="10.4285714285714" style="5" customWidth="1"/>
    <col min="4" max="4" width="10.1428571428571" style="5" customWidth="1"/>
    <col min="5" max="5" width="17.8571428571429" style="5" customWidth="1"/>
    <col min="6" max="6" width="15.4285714285714" style="5" customWidth="1"/>
    <col min="7" max="7" width="15" style="5" customWidth="1"/>
    <col min="8" max="8" width="8" style="5" customWidth="1"/>
    <col min="9" max="9" width="10.1428571428571" style="5" customWidth="1"/>
    <col min="10" max="10" width="13.4285714285714" style="5" customWidth="1"/>
    <col min="11" max="11" width="22.1428571428571" style="5" customWidth="1"/>
    <col min="12" max="12" width="12" style="5" customWidth="1"/>
    <col min="13" max="13" width="23.2857142857143" style="5" customWidth="1"/>
    <col min="14" max="14" width="13" style="5" customWidth="1"/>
    <col min="15" max="16" width="15.4285714285714" style="5" customWidth="1"/>
    <col min="17" max="17" width="12.8571428571429" style="5" customWidth="1"/>
    <col min="18" max="18" width="12.5714285714286" style="5" customWidth="1"/>
    <col min="19" max="19" width="15.4285714285714" style="5" customWidth="1"/>
    <col min="20" max="20" width="20.1428571428571" style="5" customWidth="1"/>
    <col min="21" max="21" width="12.5714285714286" style="5" customWidth="1"/>
    <col min="22" max="22" width="10.8571428571429" style="5" customWidth="1"/>
    <col min="23" max="23" width="20.1428571428571" style="5" customWidth="1"/>
    <col min="24" max="24" width="15" style="5" customWidth="1"/>
    <col min="25" max="25" width="16.2857142857143" style="5" customWidth="1"/>
    <col min="26" max="26" width="10.7142857142857" style="5" customWidth="1"/>
    <col min="27" max="27" width="13" style="5" customWidth="1"/>
    <col min="28" max="28" width="9.14285714285714" style="5"/>
    <col min="29" max="29" width="12" style="5" customWidth="1"/>
    <col min="30" max="30" width="9.14285714285714" style="5"/>
    <col min="31" max="31" width="12.1428571428571" style="5" customWidth="1"/>
    <col min="32" max="16384" width="9.14285714285714" style="5"/>
  </cols>
  <sheetData>
    <row r="1" spans="2:32">
      <c r="B1" s="5" t="s">
        <v>377</v>
      </c>
    </row>
    <row r="2" spans="2:32">
      <c r="B2" s="5" t="s">
        <v>378</v>
      </c>
      <c r="X2" s="6" t="s">
        <v>379</v>
      </c>
    </row>
    <row r="3" spans="2:32">
      <c r="B3" s="5" t="s">
        <v>380</v>
      </c>
      <c r="X3" s="6"/>
    </row>
    <row r="4" spans="2:32">
      <c r="B4" s="5">
        <v>2</v>
      </c>
      <c r="C4" s="5">
        <v>8</v>
      </c>
      <c r="D4" s="5">
        <v>8</v>
      </c>
      <c r="E4" s="5">
        <v>6</v>
      </c>
      <c r="F4" s="5">
        <v>6</v>
      </c>
      <c r="G4" s="5">
        <v>9</v>
      </c>
      <c r="H4" s="5">
        <v>2</v>
      </c>
      <c r="I4" s="5">
        <v>2</v>
      </c>
      <c r="J4" s="5">
        <v>2</v>
      </c>
      <c r="K4" s="5">
        <v>8</v>
      </c>
      <c r="L4" s="5">
        <v>8</v>
      </c>
      <c r="M4" s="5">
        <v>8</v>
      </c>
      <c r="N4" s="5">
        <v>8</v>
      </c>
      <c r="O4" s="5">
        <v>8</v>
      </c>
      <c r="P4" s="5">
        <v>2</v>
      </c>
      <c r="Q4" s="5">
        <v>2</v>
      </c>
      <c r="R4" s="5">
        <v>2</v>
      </c>
      <c r="S4" s="5">
        <v>4</v>
      </c>
      <c r="T4" s="5">
        <v>10</v>
      </c>
      <c r="U4" s="5">
        <v>3</v>
      </c>
      <c r="V4" s="5">
        <v>3</v>
      </c>
      <c r="W4" s="5">
        <v>14</v>
      </c>
      <c r="X4" s="5">
        <v>6</v>
      </c>
      <c r="Y4" s="5">
        <v>7</v>
      </c>
      <c r="Z4" s="5">
        <v>7</v>
      </c>
      <c r="AA4" s="5">
        <v>9</v>
      </c>
      <c r="AB4" s="5">
        <v>7</v>
      </c>
      <c r="AC4" s="5">
        <v>5</v>
      </c>
      <c r="AD4" s="5">
        <v>7</v>
      </c>
      <c r="AE4" s="5">
        <v>9</v>
      </c>
      <c r="AF4" s="5">
        <v>330</v>
      </c>
    </row>
    <row r="5" spans="2:32">
      <c r="B5" s="7" t="s">
        <v>180</v>
      </c>
      <c r="C5" s="7" t="s">
        <v>183</v>
      </c>
      <c r="D5" s="7" t="s">
        <v>186</v>
      </c>
      <c r="E5" s="7" t="s">
        <v>53</v>
      </c>
      <c r="F5" s="7" t="s">
        <v>381</v>
      </c>
      <c r="G5" s="7" t="s">
        <v>48</v>
      </c>
      <c r="H5" s="7" t="s">
        <v>190</v>
      </c>
      <c r="I5" s="7" t="s">
        <v>192</v>
      </c>
      <c r="J5" s="8" t="s">
        <v>194</v>
      </c>
      <c r="K5" s="7" t="s">
        <v>196</v>
      </c>
      <c r="L5" s="7" t="s">
        <v>15</v>
      </c>
      <c r="M5" s="7" t="s">
        <v>382</v>
      </c>
      <c r="N5" s="7" t="s">
        <v>383</v>
      </c>
      <c r="O5" s="7" t="s">
        <v>87</v>
      </c>
      <c r="P5" s="7" t="s">
        <v>200</v>
      </c>
      <c r="Q5" s="7" t="s">
        <v>41</v>
      </c>
      <c r="R5" s="7" t="s">
        <v>203</v>
      </c>
      <c r="S5" s="7" t="s">
        <v>205</v>
      </c>
      <c r="T5" s="7" t="s">
        <v>31</v>
      </c>
      <c r="U5" s="7" t="s">
        <v>106</v>
      </c>
      <c r="V5" s="7" t="s">
        <v>384</v>
      </c>
      <c r="W5" s="7" t="s">
        <v>130</v>
      </c>
      <c r="X5" s="9" t="s">
        <v>385</v>
      </c>
      <c r="Y5" s="7" t="s">
        <v>386</v>
      </c>
      <c r="Z5" s="7" t="s">
        <v>387</v>
      </c>
      <c r="AA5" s="7" t="s">
        <v>388</v>
      </c>
      <c r="AB5" s="7" t="s">
        <v>111</v>
      </c>
      <c r="AC5" s="7" t="s">
        <v>135</v>
      </c>
      <c r="AD5" s="7" t="s">
        <v>213</v>
      </c>
      <c r="AE5" s="7" t="s">
        <v>389</v>
      </c>
      <c r="AF5" s="7" t="s">
        <v>215</v>
      </c>
    </row>
    <row r="6" spans="2:32">
      <c r="B6" s="7">
        <v>24</v>
      </c>
      <c r="C6" s="7">
        <v>20260606</v>
      </c>
      <c r="D6" s="84" t="s">
        <v>390</v>
      </c>
      <c r="E6" s="84" t="s">
        <v>391</v>
      </c>
      <c r="F6" s="84" t="s">
        <v>391</v>
      </c>
      <c r="G6" s="84" t="s">
        <v>392</v>
      </c>
      <c r="H6" s="7">
        <v>10</v>
      </c>
      <c r="I6" s="84" t="s">
        <v>393</v>
      </c>
      <c r="J6" s="8">
        <v>7</v>
      </c>
      <c r="K6" s="7">
        <v>20260606</v>
      </c>
      <c r="L6" s="7">
        <v>20260625</v>
      </c>
      <c r="M6" s="7">
        <v>20260625</v>
      </c>
      <c r="N6" s="7">
        <v>20260625</v>
      </c>
      <c r="O6" s="7">
        <v>20260625</v>
      </c>
      <c r="P6" s="7">
        <v>28</v>
      </c>
      <c r="Q6" s="7">
        <v>90</v>
      </c>
      <c r="R6" s="84" t="s">
        <v>394</v>
      </c>
      <c r="S6" s="7">
        <v>1555</v>
      </c>
      <c r="T6" s="84" t="s">
        <v>395</v>
      </c>
      <c r="U6" s="84" t="s">
        <v>396</v>
      </c>
      <c r="V6" s="84" t="s">
        <v>396</v>
      </c>
      <c r="W6" s="84" t="s">
        <v>397</v>
      </c>
      <c r="X6" s="84" t="s">
        <v>398</v>
      </c>
      <c r="Y6" s="84" t="s">
        <v>399</v>
      </c>
      <c r="Z6" s="84" t="s">
        <v>400</v>
      </c>
      <c r="AA6" s="84" t="s">
        <v>401</v>
      </c>
      <c r="AB6" s="84" t="s">
        <v>399</v>
      </c>
      <c r="AC6" s="84" t="s">
        <v>402</v>
      </c>
      <c r="AD6" s="84" t="s">
        <v>403</v>
      </c>
      <c r="AE6" s="84" t="s">
        <v>401</v>
      </c>
      <c r="AF6" s="7"/>
    </row>
    <row r="7" spans="2:32">
      <c r="B7" s="7">
        <v>24</v>
      </c>
      <c r="C7" s="7">
        <v>20260606</v>
      </c>
      <c r="D7" s="84" t="s">
        <v>390</v>
      </c>
      <c r="E7" s="84" t="s">
        <v>391</v>
      </c>
      <c r="F7" s="84" t="s">
        <v>391</v>
      </c>
      <c r="G7" s="84" t="s">
        <v>392</v>
      </c>
      <c r="H7" s="7">
        <v>10</v>
      </c>
      <c r="I7" s="84" t="s">
        <v>393</v>
      </c>
      <c r="J7" s="8">
        <v>7</v>
      </c>
      <c r="K7" s="7">
        <v>20260606</v>
      </c>
      <c r="L7" s="7">
        <v>20260625</v>
      </c>
      <c r="M7" s="7">
        <v>20260625</v>
      </c>
      <c r="N7" s="7">
        <v>20260625</v>
      </c>
      <c r="O7" s="7">
        <v>20260625</v>
      </c>
      <c r="P7" s="7">
        <v>28</v>
      </c>
      <c r="Q7" s="7">
        <v>90</v>
      </c>
      <c r="R7" s="84" t="s">
        <v>394</v>
      </c>
      <c r="S7" s="7">
        <v>1555</v>
      </c>
      <c r="T7" s="84" t="s">
        <v>395</v>
      </c>
      <c r="U7" s="84" t="s">
        <v>396</v>
      </c>
      <c r="V7" s="84" t="s">
        <v>404</v>
      </c>
      <c r="W7" s="84" t="s">
        <v>397</v>
      </c>
      <c r="X7" s="84" t="s">
        <v>405</v>
      </c>
      <c r="Y7" s="84" t="s">
        <v>406</v>
      </c>
      <c r="Z7" s="84" t="s">
        <v>400</v>
      </c>
      <c r="AA7" s="84" t="s">
        <v>401</v>
      </c>
      <c r="AB7" s="84" t="s">
        <v>406</v>
      </c>
      <c r="AC7" s="84" t="s">
        <v>402</v>
      </c>
      <c r="AD7" s="84" t="s">
        <v>403</v>
      </c>
      <c r="AE7" s="84" t="s">
        <v>401</v>
      </c>
      <c r="AF7" s="7"/>
    </row>
    <row r="8" spans="2:32">
      <c r="B8" s="7">
        <v>24</v>
      </c>
      <c r="C8" s="7">
        <v>20260606</v>
      </c>
      <c r="D8" s="84" t="s">
        <v>390</v>
      </c>
      <c r="E8" s="84" t="s">
        <v>391</v>
      </c>
      <c r="F8" s="84" t="s">
        <v>391</v>
      </c>
      <c r="G8" s="84" t="s">
        <v>392</v>
      </c>
      <c r="H8" s="7">
        <v>10</v>
      </c>
      <c r="I8" s="84" t="s">
        <v>393</v>
      </c>
      <c r="J8" s="8">
        <v>7</v>
      </c>
      <c r="K8" s="7">
        <v>20260606</v>
      </c>
      <c r="L8" s="7">
        <v>20260625</v>
      </c>
      <c r="M8" s="7">
        <v>20260625</v>
      </c>
      <c r="N8" s="7">
        <v>20260625</v>
      </c>
      <c r="O8" s="7">
        <v>20260625</v>
      </c>
      <c r="P8" s="7">
        <v>28</v>
      </c>
      <c r="Q8" s="7">
        <v>90</v>
      </c>
      <c r="R8" s="84" t="s">
        <v>394</v>
      </c>
      <c r="S8" s="7">
        <v>1555</v>
      </c>
      <c r="T8" s="84" t="s">
        <v>395</v>
      </c>
      <c r="U8" s="84" t="s">
        <v>396</v>
      </c>
      <c r="V8" s="84" t="s">
        <v>407</v>
      </c>
      <c r="W8" s="84" t="s">
        <v>397</v>
      </c>
      <c r="X8" s="84" t="s">
        <v>408</v>
      </c>
      <c r="Y8" s="84" t="s">
        <v>409</v>
      </c>
      <c r="Z8" s="84" t="s">
        <v>400</v>
      </c>
      <c r="AA8" s="84" t="s">
        <v>401</v>
      </c>
      <c r="AB8" s="84" t="s">
        <v>409</v>
      </c>
      <c r="AC8" s="84" t="s">
        <v>402</v>
      </c>
      <c r="AD8" s="84" t="s">
        <v>403</v>
      </c>
      <c r="AE8" s="84" t="s">
        <v>401</v>
      </c>
      <c r="AF8" s="7"/>
    </row>
    <row r="9" spans="2:32">
      <c r="B9" s="7">
        <v>24</v>
      </c>
      <c r="C9" s="7">
        <v>20260606</v>
      </c>
      <c r="D9" s="84" t="s">
        <v>390</v>
      </c>
      <c r="E9" s="84" t="s">
        <v>391</v>
      </c>
      <c r="F9" s="84" t="s">
        <v>391</v>
      </c>
      <c r="G9" s="84" t="s">
        <v>392</v>
      </c>
      <c r="H9" s="7">
        <v>10</v>
      </c>
      <c r="I9" s="84" t="s">
        <v>393</v>
      </c>
      <c r="J9" s="8">
        <v>7</v>
      </c>
      <c r="K9" s="7">
        <v>20260606</v>
      </c>
      <c r="L9" s="7">
        <v>20260625</v>
      </c>
      <c r="M9" s="7">
        <v>20260625</v>
      </c>
      <c r="N9" s="7">
        <v>20260625</v>
      </c>
      <c r="O9" s="7">
        <v>20260625</v>
      </c>
      <c r="P9" s="7">
        <v>28</v>
      </c>
      <c r="Q9" s="7">
        <v>90</v>
      </c>
      <c r="R9" s="84" t="s">
        <v>394</v>
      </c>
      <c r="S9" s="7">
        <v>1555</v>
      </c>
      <c r="T9" s="84" t="s">
        <v>395</v>
      </c>
      <c r="U9" s="84" t="s">
        <v>396</v>
      </c>
      <c r="V9" s="84" t="s">
        <v>410</v>
      </c>
      <c r="W9" s="84" t="s">
        <v>397</v>
      </c>
      <c r="X9" s="84" t="s">
        <v>411</v>
      </c>
      <c r="Y9" s="84" t="s">
        <v>412</v>
      </c>
      <c r="Z9" s="84" t="s">
        <v>400</v>
      </c>
      <c r="AA9" s="84" t="s">
        <v>401</v>
      </c>
      <c r="AB9" s="84" t="s">
        <v>412</v>
      </c>
      <c r="AC9" s="84" t="s">
        <v>402</v>
      </c>
      <c r="AD9" s="84" t="s">
        <v>403</v>
      </c>
      <c r="AE9" s="84" t="s">
        <v>401</v>
      </c>
      <c r="AF9" s="7"/>
    </row>
    <row r="10" spans="2:32">
      <c r="B10" s="7">
        <v>24</v>
      </c>
      <c r="C10" s="7">
        <v>20260606</v>
      </c>
      <c r="D10" s="84" t="s">
        <v>390</v>
      </c>
      <c r="E10" s="84" t="s">
        <v>391</v>
      </c>
      <c r="F10" s="84" t="s">
        <v>391</v>
      </c>
      <c r="G10" s="84" t="s">
        <v>392</v>
      </c>
      <c r="H10" s="7">
        <v>10</v>
      </c>
      <c r="I10" s="84" t="s">
        <v>393</v>
      </c>
      <c r="J10" s="8">
        <v>7</v>
      </c>
      <c r="K10" s="7">
        <v>20260606</v>
      </c>
      <c r="L10" s="7">
        <v>20260625</v>
      </c>
      <c r="M10" s="7">
        <v>20260625</v>
      </c>
      <c r="N10" s="7">
        <v>20260625</v>
      </c>
      <c r="O10" s="7">
        <v>20260625</v>
      </c>
      <c r="P10" s="7">
        <v>28</v>
      </c>
      <c r="Q10" s="7">
        <v>90</v>
      </c>
      <c r="R10" s="84" t="s">
        <v>394</v>
      </c>
      <c r="S10" s="7">
        <v>1555</v>
      </c>
      <c r="T10" s="84" t="s">
        <v>395</v>
      </c>
      <c r="U10" s="84" t="s">
        <v>396</v>
      </c>
      <c r="V10" s="84" t="s">
        <v>413</v>
      </c>
      <c r="W10" s="84" t="s">
        <v>397</v>
      </c>
      <c r="X10" s="84" t="s">
        <v>414</v>
      </c>
      <c r="Y10" s="84" t="s">
        <v>415</v>
      </c>
      <c r="Z10" s="84" t="s">
        <v>400</v>
      </c>
      <c r="AA10" s="84" t="s">
        <v>401</v>
      </c>
      <c r="AB10" s="84" t="s">
        <v>415</v>
      </c>
      <c r="AC10" s="84" t="s">
        <v>402</v>
      </c>
      <c r="AD10" s="84" t="s">
        <v>403</v>
      </c>
      <c r="AE10" s="84" t="s">
        <v>401</v>
      </c>
      <c r="AF10" s="7"/>
    </row>
    <row r="11" spans="2:32">
      <c r="B11" s="7">
        <v>24</v>
      </c>
      <c r="C11" s="7">
        <v>20260606</v>
      </c>
      <c r="D11" s="84" t="s">
        <v>390</v>
      </c>
      <c r="E11" s="84" t="s">
        <v>391</v>
      </c>
      <c r="F11" s="84" t="s">
        <v>391</v>
      </c>
      <c r="G11" s="84" t="s">
        <v>392</v>
      </c>
      <c r="H11" s="7">
        <v>10</v>
      </c>
      <c r="I11" s="84" t="s">
        <v>393</v>
      </c>
      <c r="J11" s="8">
        <v>7</v>
      </c>
      <c r="K11" s="7">
        <v>20260606</v>
      </c>
      <c r="L11" s="7">
        <v>20260625</v>
      </c>
      <c r="M11" s="7">
        <v>20260625</v>
      </c>
      <c r="N11" s="7">
        <v>20260625</v>
      </c>
      <c r="O11" s="7">
        <v>20260625</v>
      </c>
      <c r="P11" s="7">
        <v>28</v>
      </c>
      <c r="Q11" s="7">
        <v>90</v>
      </c>
      <c r="R11" s="84" t="s">
        <v>394</v>
      </c>
      <c r="S11" s="7">
        <v>1555</v>
      </c>
      <c r="T11" s="84" t="s">
        <v>395</v>
      </c>
      <c r="U11" s="84" t="s">
        <v>396</v>
      </c>
      <c r="V11" s="84" t="s">
        <v>416</v>
      </c>
      <c r="W11" s="84" t="s">
        <v>397</v>
      </c>
      <c r="X11" s="84" t="s">
        <v>417</v>
      </c>
      <c r="Y11" s="84" t="s">
        <v>418</v>
      </c>
      <c r="Z11" s="84" t="s">
        <v>400</v>
      </c>
      <c r="AA11" s="84" t="s">
        <v>401</v>
      </c>
      <c r="AB11" s="84" t="s">
        <v>418</v>
      </c>
      <c r="AC11" s="84" t="s">
        <v>402</v>
      </c>
      <c r="AD11" s="84" t="s">
        <v>403</v>
      </c>
      <c r="AE11" s="84" t="s">
        <v>401</v>
      </c>
      <c r="AF11" s="7"/>
    </row>
    <row r="12" spans="2:32">
      <c r="B12" s="7">
        <v>24</v>
      </c>
      <c r="C12" s="7">
        <v>20260606</v>
      </c>
      <c r="D12" s="84" t="s">
        <v>390</v>
      </c>
      <c r="E12" s="84" t="s">
        <v>391</v>
      </c>
      <c r="F12" s="84" t="s">
        <v>391</v>
      </c>
      <c r="G12" s="84" t="s">
        <v>392</v>
      </c>
      <c r="H12" s="7">
        <v>10</v>
      </c>
      <c r="I12" s="84" t="s">
        <v>393</v>
      </c>
      <c r="J12" s="8">
        <v>7</v>
      </c>
      <c r="K12" s="7">
        <v>20260606</v>
      </c>
      <c r="L12" s="7">
        <v>20260625</v>
      </c>
      <c r="M12" s="7">
        <v>20260625</v>
      </c>
      <c r="N12" s="7">
        <v>20260625</v>
      </c>
      <c r="O12" s="7">
        <v>20260625</v>
      </c>
      <c r="P12" s="7">
        <v>28</v>
      </c>
      <c r="Q12" s="7">
        <v>90</v>
      </c>
      <c r="R12" s="84" t="s">
        <v>394</v>
      </c>
      <c r="S12" s="7">
        <v>1555</v>
      </c>
      <c r="T12" s="84" t="s">
        <v>395</v>
      </c>
      <c r="U12" s="84" t="s">
        <v>396</v>
      </c>
      <c r="V12" s="84" t="s">
        <v>419</v>
      </c>
      <c r="W12" s="84" t="s">
        <v>397</v>
      </c>
      <c r="X12" s="84" t="s">
        <v>420</v>
      </c>
      <c r="Y12" s="84" t="s">
        <v>421</v>
      </c>
      <c r="Z12" s="84" t="s">
        <v>400</v>
      </c>
      <c r="AA12" s="84" t="s">
        <v>401</v>
      </c>
      <c r="AB12" s="84" t="s">
        <v>421</v>
      </c>
      <c r="AC12" s="84" t="s">
        <v>402</v>
      </c>
      <c r="AD12" s="84" t="s">
        <v>403</v>
      </c>
      <c r="AE12" s="84" t="s">
        <v>401</v>
      </c>
      <c r="AF12" s="7"/>
    </row>
    <row r="13" spans="2:32">
      <c r="B13" s="7">
        <v>24</v>
      </c>
      <c r="C13" s="7">
        <v>20260606</v>
      </c>
      <c r="D13" s="84" t="s">
        <v>390</v>
      </c>
      <c r="E13" s="84" t="s">
        <v>391</v>
      </c>
      <c r="F13" s="84" t="s">
        <v>391</v>
      </c>
      <c r="G13" s="84" t="s">
        <v>392</v>
      </c>
      <c r="H13" s="7">
        <v>10</v>
      </c>
      <c r="I13" s="84" t="s">
        <v>393</v>
      </c>
      <c r="J13" s="8">
        <v>7</v>
      </c>
      <c r="K13" s="7">
        <v>20260606</v>
      </c>
      <c r="L13" s="7">
        <v>20260625</v>
      </c>
      <c r="M13" s="7">
        <v>20260625</v>
      </c>
      <c r="N13" s="7">
        <v>20260625</v>
      </c>
      <c r="O13" s="7">
        <v>20260625</v>
      </c>
      <c r="P13" s="7">
        <v>28</v>
      </c>
      <c r="Q13" s="7">
        <v>90</v>
      </c>
      <c r="R13" s="84" t="s">
        <v>394</v>
      </c>
      <c r="S13" s="7">
        <v>1555</v>
      </c>
      <c r="T13" s="84" t="s">
        <v>395</v>
      </c>
      <c r="U13" s="84" t="s">
        <v>396</v>
      </c>
      <c r="V13" s="84" t="s">
        <v>422</v>
      </c>
      <c r="W13" s="84" t="s">
        <v>397</v>
      </c>
      <c r="X13" s="84" t="s">
        <v>423</v>
      </c>
      <c r="Y13" s="84" t="s">
        <v>421</v>
      </c>
      <c r="Z13" s="84" t="s">
        <v>400</v>
      </c>
      <c r="AA13" s="84" t="s">
        <v>401</v>
      </c>
      <c r="AB13" s="84" t="s">
        <v>421</v>
      </c>
      <c r="AC13" s="84" t="s">
        <v>402</v>
      </c>
      <c r="AD13" s="84" t="s">
        <v>403</v>
      </c>
      <c r="AE13" s="84" t="s">
        <v>401</v>
      </c>
      <c r="AF13" s="7"/>
    </row>
    <row r="14" spans="2:32">
      <c r="B14" s="7">
        <v>24</v>
      </c>
      <c r="C14" s="7">
        <v>20260606</v>
      </c>
      <c r="D14" s="84" t="s">
        <v>390</v>
      </c>
      <c r="E14" s="84" t="s">
        <v>391</v>
      </c>
      <c r="F14" s="84" t="s">
        <v>391</v>
      </c>
      <c r="G14" s="84" t="s">
        <v>392</v>
      </c>
      <c r="H14" s="7">
        <v>10</v>
      </c>
      <c r="I14" s="84" t="s">
        <v>393</v>
      </c>
      <c r="J14" s="8">
        <v>7</v>
      </c>
      <c r="K14" s="7">
        <v>20260606</v>
      </c>
      <c r="L14" s="7">
        <v>20260625</v>
      </c>
      <c r="M14" s="7">
        <v>20260625</v>
      </c>
      <c r="N14" s="7">
        <v>20260625</v>
      </c>
      <c r="O14" s="7">
        <v>20260625</v>
      </c>
      <c r="P14" s="7">
        <v>28</v>
      </c>
      <c r="Q14" s="7">
        <v>90</v>
      </c>
      <c r="R14" s="84" t="s">
        <v>394</v>
      </c>
      <c r="S14" s="7">
        <v>1555</v>
      </c>
      <c r="T14" s="84" t="s">
        <v>395</v>
      </c>
      <c r="U14" s="84" t="s">
        <v>396</v>
      </c>
      <c r="V14" s="84" t="s">
        <v>424</v>
      </c>
      <c r="W14" s="84" t="s">
        <v>397</v>
      </c>
      <c r="X14" s="84" t="s">
        <v>425</v>
      </c>
      <c r="Y14" s="84" t="s">
        <v>426</v>
      </c>
      <c r="Z14" s="84" t="s">
        <v>400</v>
      </c>
      <c r="AA14" s="84" t="s">
        <v>401</v>
      </c>
      <c r="AB14" s="84" t="s">
        <v>426</v>
      </c>
      <c r="AC14" s="84" t="s">
        <v>402</v>
      </c>
      <c r="AD14" s="84" t="s">
        <v>403</v>
      </c>
      <c r="AE14" s="84" t="s">
        <v>401</v>
      </c>
      <c r="AF14" s="7"/>
    </row>
    <row r="15" spans="2:32">
      <c r="B15" s="7">
        <v>24</v>
      </c>
      <c r="C15" s="7">
        <v>20260606</v>
      </c>
      <c r="D15" s="84" t="s">
        <v>390</v>
      </c>
      <c r="E15" s="84" t="s">
        <v>391</v>
      </c>
      <c r="F15" s="84" t="s">
        <v>391</v>
      </c>
      <c r="G15" s="84" t="s">
        <v>392</v>
      </c>
      <c r="H15" s="7">
        <v>10</v>
      </c>
      <c r="I15" s="84" t="s">
        <v>393</v>
      </c>
      <c r="J15" s="8">
        <v>7</v>
      </c>
      <c r="K15" s="7">
        <v>20260606</v>
      </c>
      <c r="L15" s="7">
        <v>20260625</v>
      </c>
      <c r="M15" s="7">
        <v>20260625</v>
      </c>
      <c r="N15" s="7">
        <v>20260625</v>
      </c>
      <c r="O15" s="7">
        <v>20260625</v>
      </c>
      <c r="P15" s="7">
        <v>28</v>
      </c>
      <c r="Q15" s="7">
        <v>90</v>
      </c>
      <c r="R15" s="84" t="s">
        <v>394</v>
      </c>
      <c r="S15" s="7">
        <v>1555</v>
      </c>
      <c r="T15" s="84" t="s">
        <v>395</v>
      </c>
      <c r="U15" s="84" t="s">
        <v>396</v>
      </c>
      <c r="V15" s="84" t="s">
        <v>427</v>
      </c>
      <c r="W15" s="84" t="s">
        <v>397</v>
      </c>
      <c r="X15" s="84" t="s">
        <v>428</v>
      </c>
      <c r="Y15" s="84" t="s">
        <v>399</v>
      </c>
      <c r="Z15" s="84" t="s">
        <v>400</v>
      </c>
      <c r="AA15" s="84" t="s">
        <v>401</v>
      </c>
      <c r="AB15" s="84" t="s">
        <v>399</v>
      </c>
      <c r="AC15" s="84" t="s">
        <v>402</v>
      </c>
      <c r="AD15" s="84" t="s">
        <v>403</v>
      </c>
      <c r="AE15" s="84" t="s">
        <v>401</v>
      </c>
      <c r="AF15" s="7"/>
    </row>
    <row r="16" spans="2:32">
      <c r="B16" s="7">
        <v>24</v>
      </c>
      <c r="C16" s="7">
        <v>20260606</v>
      </c>
      <c r="D16" s="84" t="s">
        <v>390</v>
      </c>
      <c r="E16" s="84" t="s">
        <v>391</v>
      </c>
      <c r="F16" s="84" t="s">
        <v>391</v>
      </c>
      <c r="G16" s="84" t="s">
        <v>392</v>
      </c>
      <c r="H16" s="7">
        <v>10</v>
      </c>
      <c r="I16" s="84" t="s">
        <v>393</v>
      </c>
      <c r="J16" s="8">
        <v>7</v>
      </c>
      <c r="K16" s="7">
        <v>20260606</v>
      </c>
      <c r="L16" s="7">
        <v>20260625</v>
      </c>
      <c r="M16" s="7">
        <v>20260625</v>
      </c>
      <c r="N16" s="7">
        <v>20260625</v>
      </c>
      <c r="O16" s="7">
        <v>20260625</v>
      </c>
      <c r="P16" s="7">
        <v>28</v>
      </c>
      <c r="Q16" s="7">
        <v>90</v>
      </c>
      <c r="R16" s="84" t="s">
        <v>394</v>
      </c>
      <c r="S16" s="7">
        <v>1555</v>
      </c>
      <c r="T16" s="84" t="s">
        <v>395</v>
      </c>
      <c r="U16" s="84" t="s">
        <v>396</v>
      </c>
      <c r="V16" s="84" t="s">
        <v>429</v>
      </c>
      <c r="W16" s="84" t="s">
        <v>397</v>
      </c>
      <c r="X16" s="84" t="s">
        <v>430</v>
      </c>
      <c r="Y16" s="84" t="s">
        <v>415</v>
      </c>
      <c r="Z16" s="84" t="s">
        <v>400</v>
      </c>
      <c r="AA16" s="84" t="s">
        <v>401</v>
      </c>
      <c r="AB16" s="84" t="s">
        <v>415</v>
      </c>
      <c r="AC16" s="84" t="s">
        <v>402</v>
      </c>
      <c r="AD16" s="84" t="s">
        <v>403</v>
      </c>
      <c r="AE16" s="84" t="s">
        <v>401</v>
      </c>
      <c r="AF16" s="7"/>
    </row>
    <row r="17" spans="2:32">
      <c r="B17" s="7">
        <v>24</v>
      </c>
      <c r="C17" s="7">
        <v>20260606</v>
      </c>
      <c r="D17" s="84" t="s">
        <v>390</v>
      </c>
      <c r="E17" s="84" t="s">
        <v>391</v>
      </c>
      <c r="F17" s="84" t="s">
        <v>391</v>
      </c>
      <c r="G17" s="84" t="s">
        <v>392</v>
      </c>
      <c r="H17" s="7">
        <v>10</v>
      </c>
      <c r="I17" s="84" t="s">
        <v>393</v>
      </c>
      <c r="J17" s="8">
        <v>7</v>
      </c>
      <c r="K17" s="7">
        <v>20260606</v>
      </c>
      <c r="L17" s="7">
        <v>20260625</v>
      </c>
      <c r="M17" s="7">
        <v>20260625</v>
      </c>
      <c r="N17" s="7">
        <v>20260625</v>
      </c>
      <c r="O17" s="7">
        <v>20260625</v>
      </c>
      <c r="P17" s="7">
        <v>28</v>
      </c>
      <c r="Q17" s="7">
        <v>90</v>
      </c>
      <c r="R17" s="84" t="s">
        <v>394</v>
      </c>
      <c r="S17" s="7">
        <v>1555</v>
      </c>
      <c r="T17" s="84" t="s">
        <v>395</v>
      </c>
      <c r="U17" s="84" t="s">
        <v>396</v>
      </c>
      <c r="V17" s="84" t="s">
        <v>431</v>
      </c>
      <c r="W17" s="84" t="s">
        <v>397</v>
      </c>
      <c r="X17" s="84" t="s">
        <v>432</v>
      </c>
      <c r="Y17" s="84" t="s">
        <v>433</v>
      </c>
      <c r="Z17" s="84" t="s">
        <v>400</v>
      </c>
      <c r="AA17" s="84" t="s">
        <v>401</v>
      </c>
      <c r="AB17" s="84" t="s">
        <v>433</v>
      </c>
      <c r="AC17" s="84" t="s">
        <v>402</v>
      </c>
      <c r="AD17" s="84" t="s">
        <v>403</v>
      </c>
      <c r="AE17" s="84" t="s">
        <v>401</v>
      </c>
      <c r="AF17" s="7"/>
    </row>
    <row r="18" spans="2:32">
      <c r="B18" s="7">
        <v>24</v>
      </c>
      <c r="C18" s="7">
        <v>20260606</v>
      </c>
      <c r="D18" s="84" t="s">
        <v>390</v>
      </c>
      <c r="E18" s="84" t="s">
        <v>391</v>
      </c>
      <c r="F18" s="84" t="s">
        <v>391</v>
      </c>
      <c r="G18" s="84" t="s">
        <v>392</v>
      </c>
      <c r="H18" s="7">
        <v>10</v>
      </c>
      <c r="I18" s="84" t="s">
        <v>393</v>
      </c>
      <c r="J18" s="8">
        <v>7</v>
      </c>
      <c r="K18" s="7">
        <v>20260606</v>
      </c>
      <c r="L18" s="7">
        <v>20260625</v>
      </c>
      <c r="M18" s="7">
        <v>20260625</v>
      </c>
      <c r="N18" s="7">
        <v>20260625</v>
      </c>
      <c r="O18" s="7">
        <v>20260625</v>
      </c>
      <c r="P18" s="7">
        <v>28</v>
      </c>
      <c r="Q18" s="7">
        <v>90</v>
      </c>
      <c r="R18" s="84" t="s">
        <v>394</v>
      </c>
      <c r="S18" s="7">
        <v>1555</v>
      </c>
      <c r="T18" s="84" t="s">
        <v>395</v>
      </c>
      <c r="U18" s="84" t="s">
        <v>396</v>
      </c>
      <c r="V18" s="84" t="s">
        <v>434</v>
      </c>
      <c r="W18" s="84" t="s">
        <v>397</v>
      </c>
      <c r="X18" s="84" t="s">
        <v>435</v>
      </c>
      <c r="Y18" s="84" t="s">
        <v>436</v>
      </c>
      <c r="Z18" s="84" t="s">
        <v>400</v>
      </c>
      <c r="AA18" s="84" t="s">
        <v>401</v>
      </c>
      <c r="AB18" s="84" t="s">
        <v>436</v>
      </c>
      <c r="AC18" s="84" t="s">
        <v>402</v>
      </c>
      <c r="AD18" s="84" t="s">
        <v>403</v>
      </c>
      <c r="AE18" s="84" t="s">
        <v>401</v>
      </c>
      <c r="AF18" s="7"/>
    </row>
    <row r="19" spans="2:32">
      <c r="B19" s="7">
        <v>24</v>
      </c>
      <c r="C19" s="7">
        <v>20260606</v>
      </c>
      <c r="D19" s="84" t="s">
        <v>390</v>
      </c>
      <c r="E19" s="84" t="s">
        <v>391</v>
      </c>
      <c r="F19" s="84" t="s">
        <v>391</v>
      </c>
      <c r="G19" s="84" t="s">
        <v>392</v>
      </c>
      <c r="H19" s="7">
        <v>10</v>
      </c>
      <c r="I19" s="84" t="s">
        <v>393</v>
      </c>
      <c r="J19" s="8">
        <v>7</v>
      </c>
      <c r="K19" s="7">
        <v>20260606</v>
      </c>
      <c r="L19" s="7">
        <v>20260625</v>
      </c>
      <c r="M19" s="7">
        <v>20260625</v>
      </c>
      <c r="N19" s="7">
        <v>20260625</v>
      </c>
      <c r="O19" s="7">
        <v>20260625</v>
      </c>
      <c r="P19" s="7">
        <v>28</v>
      </c>
      <c r="Q19" s="7">
        <v>90</v>
      </c>
      <c r="R19" s="84" t="s">
        <v>394</v>
      </c>
      <c r="S19" s="7">
        <v>1555</v>
      </c>
      <c r="T19" s="84" t="s">
        <v>395</v>
      </c>
      <c r="U19" s="84" t="s">
        <v>396</v>
      </c>
      <c r="V19" s="84" t="s">
        <v>437</v>
      </c>
      <c r="W19" s="84" t="s">
        <v>397</v>
      </c>
      <c r="X19" s="84" t="s">
        <v>438</v>
      </c>
      <c r="Y19" s="84" t="s">
        <v>409</v>
      </c>
      <c r="Z19" s="84" t="s">
        <v>400</v>
      </c>
      <c r="AA19" s="84" t="s">
        <v>401</v>
      </c>
      <c r="AB19" s="84" t="s">
        <v>409</v>
      </c>
      <c r="AC19" s="84" t="s">
        <v>402</v>
      </c>
      <c r="AD19" s="84" t="s">
        <v>403</v>
      </c>
      <c r="AE19" s="84" t="s">
        <v>401</v>
      </c>
      <c r="AF19" s="7"/>
    </row>
    <row r="20" spans="2:32">
      <c r="B20" s="7">
        <v>24</v>
      </c>
      <c r="C20" s="7">
        <v>20260606</v>
      </c>
      <c r="D20" s="84" t="s">
        <v>390</v>
      </c>
      <c r="E20" s="84" t="s">
        <v>391</v>
      </c>
      <c r="F20" s="84" t="s">
        <v>391</v>
      </c>
      <c r="G20" s="84" t="s">
        <v>392</v>
      </c>
      <c r="H20" s="7">
        <v>10</v>
      </c>
      <c r="I20" s="84" t="s">
        <v>393</v>
      </c>
      <c r="J20" s="8">
        <v>7</v>
      </c>
      <c r="K20" s="7">
        <v>20260606</v>
      </c>
      <c r="L20" s="7">
        <v>20260625</v>
      </c>
      <c r="M20" s="7">
        <v>20260625</v>
      </c>
      <c r="N20" s="7">
        <v>20260625</v>
      </c>
      <c r="O20" s="7">
        <v>20260625</v>
      </c>
      <c r="P20" s="7">
        <v>28</v>
      </c>
      <c r="Q20" s="7">
        <v>90</v>
      </c>
      <c r="R20" s="84" t="s">
        <v>394</v>
      </c>
      <c r="S20" s="7">
        <v>1555</v>
      </c>
      <c r="T20" s="84" t="s">
        <v>395</v>
      </c>
      <c r="U20" s="84" t="s">
        <v>396</v>
      </c>
      <c r="V20" s="84" t="s">
        <v>439</v>
      </c>
      <c r="W20" s="84" t="s">
        <v>397</v>
      </c>
      <c r="X20" s="84" t="s">
        <v>440</v>
      </c>
      <c r="Y20" s="84" t="s">
        <v>441</v>
      </c>
      <c r="Z20" s="84" t="s">
        <v>400</v>
      </c>
      <c r="AA20" s="84" t="s">
        <v>401</v>
      </c>
      <c r="AB20" s="84" t="s">
        <v>441</v>
      </c>
      <c r="AC20" s="84" t="s">
        <v>402</v>
      </c>
      <c r="AD20" s="84" t="s">
        <v>403</v>
      </c>
      <c r="AE20" s="84" t="s">
        <v>401</v>
      </c>
      <c r="AF20" s="7"/>
    </row>
    <row r="21" spans="2:32">
      <c r="B21" s="7">
        <v>24</v>
      </c>
      <c r="C21" s="7">
        <v>20260606</v>
      </c>
      <c r="D21" s="84" t="s">
        <v>390</v>
      </c>
      <c r="E21" s="84" t="s">
        <v>391</v>
      </c>
      <c r="F21" s="84" t="s">
        <v>391</v>
      </c>
      <c r="G21" s="84" t="s">
        <v>392</v>
      </c>
      <c r="H21" s="7">
        <v>10</v>
      </c>
      <c r="I21" s="84" t="s">
        <v>393</v>
      </c>
      <c r="J21" s="8">
        <v>7</v>
      </c>
      <c r="K21" s="7">
        <v>20260606</v>
      </c>
      <c r="L21" s="7">
        <v>20260625</v>
      </c>
      <c r="M21" s="7">
        <v>20260625</v>
      </c>
      <c r="N21" s="7">
        <v>20260625</v>
      </c>
      <c r="O21" s="7">
        <v>20260625</v>
      </c>
      <c r="P21" s="7">
        <v>28</v>
      </c>
      <c r="Q21" s="7">
        <v>90</v>
      </c>
      <c r="R21" s="84" t="s">
        <v>394</v>
      </c>
      <c r="S21" s="7">
        <v>1555</v>
      </c>
      <c r="T21" s="84" t="s">
        <v>395</v>
      </c>
      <c r="U21" s="84" t="s">
        <v>396</v>
      </c>
      <c r="V21" s="84" t="s">
        <v>442</v>
      </c>
      <c r="W21" s="84" t="s">
        <v>397</v>
      </c>
      <c r="X21" s="84" t="s">
        <v>443</v>
      </c>
      <c r="Y21" s="84" t="s">
        <v>444</v>
      </c>
      <c r="Z21" s="84" t="s">
        <v>400</v>
      </c>
      <c r="AA21" s="84" t="s">
        <v>401</v>
      </c>
      <c r="AB21" s="84" t="s">
        <v>444</v>
      </c>
      <c r="AC21" s="84" t="s">
        <v>402</v>
      </c>
      <c r="AD21" s="84" t="s">
        <v>403</v>
      </c>
      <c r="AE21" s="84" t="s">
        <v>401</v>
      </c>
      <c r="AF21" s="7"/>
    </row>
    <row r="22" spans="2:32">
      <c r="B22" s="7">
        <v>24</v>
      </c>
      <c r="C22" s="7">
        <v>20260606</v>
      </c>
      <c r="D22" s="84" t="s">
        <v>390</v>
      </c>
      <c r="E22" s="84" t="s">
        <v>391</v>
      </c>
      <c r="F22" s="84" t="s">
        <v>391</v>
      </c>
      <c r="G22" s="84" t="s">
        <v>392</v>
      </c>
      <c r="H22" s="7">
        <v>10</v>
      </c>
      <c r="I22" s="84" t="s">
        <v>393</v>
      </c>
      <c r="J22" s="8">
        <v>7</v>
      </c>
      <c r="K22" s="7">
        <v>20260606</v>
      </c>
      <c r="L22" s="7">
        <v>20260625</v>
      </c>
      <c r="M22" s="7">
        <v>20260625</v>
      </c>
      <c r="N22" s="7">
        <v>20260625</v>
      </c>
      <c r="O22" s="7">
        <v>20260625</v>
      </c>
      <c r="P22" s="7">
        <v>28</v>
      </c>
      <c r="Q22" s="7">
        <v>90</v>
      </c>
      <c r="R22" s="84" t="s">
        <v>394</v>
      </c>
      <c r="S22" s="7">
        <v>1555</v>
      </c>
      <c r="T22" s="84" t="s">
        <v>395</v>
      </c>
      <c r="U22" s="84" t="s">
        <v>396</v>
      </c>
      <c r="V22" s="84" t="s">
        <v>445</v>
      </c>
      <c r="W22" s="84" t="s">
        <v>397</v>
      </c>
      <c r="X22" s="84" t="s">
        <v>446</v>
      </c>
      <c r="Y22" s="84" t="s">
        <v>412</v>
      </c>
      <c r="Z22" s="84" t="s">
        <v>400</v>
      </c>
      <c r="AA22" s="84" t="s">
        <v>401</v>
      </c>
      <c r="AB22" s="84" t="s">
        <v>412</v>
      </c>
      <c r="AC22" s="84" t="s">
        <v>402</v>
      </c>
      <c r="AD22" s="84" t="s">
        <v>403</v>
      </c>
      <c r="AE22" s="84" t="s">
        <v>401</v>
      </c>
      <c r="AF22" s="7"/>
    </row>
    <row r="23" spans="2:32">
      <c r="B23" s="7">
        <v>24</v>
      </c>
      <c r="C23" s="7">
        <v>20260606</v>
      </c>
      <c r="D23" s="84" t="s">
        <v>390</v>
      </c>
      <c r="E23" s="84" t="s">
        <v>391</v>
      </c>
      <c r="F23" s="84" t="s">
        <v>391</v>
      </c>
      <c r="G23" s="84" t="s">
        <v>392</v>
      </c>
      <c r="H23" s="7">
        <v>10</v>
      </c>
      <c r="I23" s="84" t="s">
        <v>393</v>
      </c>
      <c r="J23" s="8">
        <v>7</v>
      </c>
      <c r="K23" s="7">
        <v>20260606</v>
      </c>
      <c r="L23" s="7">
        <v>20260625</v>
      </c>
      <c r="M23" s="7">
        <v>20260625</v>
      </c>
      <c r="N23" s="7">
        <v>20260625</v>
      </c>
      <c r="O23" s="7">
        <v>20260625</v>
      </c>
      <c r="P23" s="7">
        <v>28</v>
      </c>
      <c r="Q23" s="7">
        <v>90</v>
      </c>
      <c r="R23" s="84" t="s">
        <v>394</v>
      </c>
      <c r="S23" s="7">
        <v>1555</v>
      </c>
      <c r="T23" s="84" t="s">
        <v>395</v>
      </c>
      <c r="U23" s="84" t="s">
        <v>396</v>
      </c>
      <c r="V23" s="84" t="s">
        <v>447</v>
      </c>
      <c r="W23" s="84" t="s">
        <v>397</v>
      </c>
      <c r="X23" s="84" t="s">
        <v>448</v>
      </c>
      <c r="Y23" s="84" t="s">
        <v>449</v>
      </c>
      <c r="Z23" s="84" t="s">
        <v>400</v>
      </c>
      <c r="AA23" s="84" t="s">
        <v>401</v>
      </c>
      <c r="AB23" s="84" t="s">
        <v>449</v>
      </c>
      <c r="AC23" s="84" t="s">
        <v>402</v>
      </c>
      <c r="AD23" s="84" t="s">
        <v>403</v>
      </c>
      <c r="AE23" s="84" t="s">
        <v>401</v>
      </c>
      <c r="AF23" s="7"/>
    </row>
    <row r="24" spans="2:32">
      <c r="B24" s="7">
        <v>24</v>
      </c>
      <c r="C24" s="7">
        <v>20260606</v>
      </c>
      <c r="D24" s="84" t="s">
        <v>390</v>
      </c>
      <c r="E24" s="84" t="s">
        <v>391</v>
      </c>
      <c r="F24" s="84" t="s">
        <v>391</v>
      </c>
      <c r="G24" s="84" t="s">
        <v>392</v>
      </c>
      <c r="H24" s="7">
        <v>10</v>
      </c>
      <c r="I24" s="84" t="s">
        <v>393</v>
      </c>
      <c r="J24" s="8">
        <v>7</v>
      </c>
      <c r="K24" s="7">
        <v>20260606</v>
      </c>
      <c r="L24" s="7">
        <v>20260625</v>
      </c>
      <c r="M24" s="7">
        <v>20260625</v>
      </c>
      <c r="N24" s="7">
        <v>20260625</v>
      </c>
      <c r="O24" s="7">
        <v>20260625</v>
      </c>
      <c r="P24" s="7">
        <v>28</v>
      </c>
      <c r="Q24" s="7">
        <v>90</v>
      </c>
      <c r="R24" s="84" t="s">
        <v>394</v>
      </c>
      <c r="S24" s="7">
        <v>1555</v>
      </c>
      <c r="T24" s="84" t="s">
        <v>395</v>
      </c>
      <c r="U24" s="84" t="s">
        <v>396</v>
      </c>
      <c r="V24" s="84" t="s">
        <v>450</v>
      </c>
      <c r="W24" s="84" t="s">
        <v>397</v>
      </c>
      <c r="X24" s="84" t="s">
        <v>451</v>
      </c>
      <c r="Y24" s="84" t="s">
        <v>412</v>
      </c>
      <c r="Z24" s="84" t="s">
        <v>400</v>
      </c>
      <c r="AA24" s="84" t="s">
        <v>401</v>
      </c>
      <c r="AB24" s="84" t="s">
        <v>412</v>
      </c>
      <c r="AC24" s="84" t="s">
        <v>402</v>
      </c>
      <c r="AD24" s="84" t="s">
        <v>403</v>
      </c>
      <c r="AE24" s="84" t="s">
        <v>401</v>
      </c>
      <c r="AF24" s="7"/>
    </row>
    <row r="25" spans="2:32">
      <c r="B25" s="7">
        <v>24</v>
      </c>
      <c r="C25" s="7">
        <v>20260606</v>
      </c>
      <c r="D25" s="84" t="s">
        <v>390</v>
      </c>
      <c r="E25" s="84" t="s">
        <v>391</v>
      </c>
      <c r="F25" s="84" t="s">
        <v>391</v>
      </c>
      <c r="G25" s="84" t="s">
        <v>392</v>
      </c>
      <c r="H25" s="7">
        <v>10</v>
      </c>
      <c r="I25" s="84" t="s">
        <v>393</v>
      </c>
      <c r="J25" s="8">
        <v>7</v>
      </c>
      <c r="K25" s="7">
        <v>20260606</v>
      </c>
      <c r="L25" s="7">
        <v>20260625</v>
      </c>
      <c r="M25" s="7">
        <v>20260625</v>
      </c>
      <c r="N25" s="7">
        <v>20260625</v>
      </c>
      <c r="O25" s="7">
        <v>20260625</v>
      </c>
      <c r="P25" s="7">
        <v>28</v>
      </c>
      <c r="Q25" s="7">
        <v>90</v>
      </c>
      <c r="R25" s="84" t="s">
        <v>394</v>
      </c>
      <c r="S25" s="7">
        <v>1555</v>
      </c>
      <c r="T25" s="84" t="s">
        <v>395</v>
      </c>
      <c r="U25" s="84" t="s">
        <v>396</v>
      </c>
      <c r="V25" s="84" t="s">
        <v>452</v>
      </c>
      <c r="W25" s="84" t="s">
        <v>397</v>
      </c>
      <c r="X25" s="84" t="s">
        <v>453</v>
      </c>
      <c r="Y25" s="84" t="s">
        <v>454</v>
      </c>
      <c r="Z25" s="84" t="s">
        <v>400</v>
      </c>
      <c r="AA25" s="84" t="s">
        <v>401</v>
      </c>
      <c r="AB25" s="84" t="s">
        <v>454</v>
      </c>
      <c r="AC25" s="84" t="s">
        <v>402</v>
      </c>
      <c r="AD25" s="84" t="s">
        <v>403</v>
      </c>
      <c r="AE25" s="84" t="s">
        <v>401</v>
      </c>
      <c r="AF25" s="7"/>
    </row>
    <row r="28" spans="2:32">
      <c r="B28" s="5">
        <v>2</v>
      </c>
      <c r="C28" s="5">
        <v>8</v>
      </c>
      <c r="D28" s="5">
        <v>8</v>
      </c>
      <c r="E28" s="5">
        <v>6</v>
      </c>
      <c r="F28" s="5">
        <v>9</v>
      </c>
      <c r="G28" s="5">
        <v>2</v>
      </c>
      <c r="H28" s="5">
        <v>2</v>
      </c>
      <c r="I28" s="5">
        <v>2</v>
      </c>
      <c r="J28" s="5">
        <v>8</v>
      </c>
      <c r="K28" s="5">
        <v>8</v>
      </c>
      <c r="L28" s="5">
        <v>8</v>
      </c>
      <c r="M28" s="5">
        <v>2</v>
      </c>
      <c r="N28" s="5">
        <v>2</v>
      </c>
      <c r="O28" s="5">
        <v>2</v>
      </c>
      <c r="P28" s="5">
        <v>4</v>
      </c>
      <c r="Q28" s="5">
        <v>10</v>
      </c>
      <c r="R28" s="5">
        <v>3</v>
      </c>
      <c r="S28" s="5">
        <v>14</v>
      </c>
      <c r="T28" s="5">
        <v>7</v>
      </c>
      <c r="U28" s="5">
        <v>7</v>
      </c>
      <c r="V28" s="5">
        <v>9</v>
      </c>
      <c r="W28" s="5">
        <v>7</v>
      </c>
      <c r="X28" s="5">
        <v>5</v>
      </c>
      <c r="Y28" s="5">
        <v>7</v>
      </c>
      <c r="Z28" s="5">
        <v>370</v>
      </c>
    </row>
    <row r="29" spans="2:32">
      <c r="B29" s="5" t="s">
        <v>157</v>
      </c>
    </row>
    <row r="30" spans="2:32">
      <c r="B30" s="5" t="s">
        <v>455</v>
      </c>
    </row>
    <row r="31" spans="2:32">
      <c r="B31" s="5" t="s">
        <v>456</v>
      </c>
    </row>
    <row r="32" spans="2:32">
      <c r="E32" s="6" t="s">
        <v>457</v>
      </c>
    </row>
    <row r="33" spans="2:30">
      <c r="B33" s="7" t="s">
        <v>180</v>
      </c>
      <c r="C33" s="7" t="s">
        <v>183</v>
      </c>
      <c r="D33" s="7" t="s">
        <v>186</v>
      </c>
      <c r="E33" s="7" t="s">
        <v>53</v>
      </c>
      <c r="F33" s="7" t="s">
        <v>48</v>
      </c>
      <c r="G33" s="7" t="s">
        <v>190</v>
      </c>
      <c r="H33" s="7" t="s">
        <v>192</v>
      </c>
      <c r="I33" s="8" t="s">
        <v>194</v>
      </c>
      <c r="J33" s="7" t="s">
        <v>196</v>
      </c>
      <c r="K33" s="7" t="s">
        <v>15</v>
      </c>
      <c r="L33" s="7" t="s">
        <v>87</v>
      </c>
      <c r="M33" s="7" t="s">
        <v>200</v>
      </c>
      <c r="N33" s="7" t="s">
        <v>41</v>
      </c>
      <c r="O33" s="7" t="s">
        <v>203</v>
      </c>
      <c r="P33" s="7" t="s">
        <v>205</v>
      </c>
      <c r="Q33" s="7" t="s">
        <v>31</v>
      </c>
      <c r="R33" s="7" t="s">
        <v>106</v>
      </c>
      <c r="S33" s="7" t="s">
        <v>130</v>
      </c>
      <c r="T33" s="7" t="s">
        <v>207</v>
      </c>
      <c r="U33" s="7" t="s">
        <v>208</v>
      </c>
      <c r="V33" s="7" t="s">
        <v>209</v>
      </c>
      <c r="W33" s="7" t="s">
        <v>111</v>
      </c>
      <c r="X33" s="7" t="s">
        <v>135</v>
      </c>
      <c r="Y33" s="7" t="s">
        <v>213</v>
      </c>
      <c r="Z33" s="7" t="s">
        <v>215</v>
      </c>
    </row>
    <row r="34" spans="2:30">
      <c r="B34" s="7">
        <v>23</v>
      </c>
      <c r="C34" s="7">
        <v>20260606</v>
      </c>
      <c r="D34" s="84" t="s">
        <v>390</v>
      </c>
      <c r="E34" s="84" t="s">
        <v>391</v>
      </c>
      <c r="F34" s="84" t="s">
        <v>392</v>
      </c>
      <c r="G34" s="7">
        <v>10</v>
      </c>
      <c r="H34" s="84" t="s">
        <v>393</v>
      </c>
      <c r="I34" s="8">
        <v>7</v>
      </c>
      <c r="J34" s="7">
        <v>20260606</v>
      </c>
      <c r="K34" s="7">
        <v>20260625</v>
      </c>
      <c r="L34" s="7">
        <v>20260625</v>
      </c>
      <c r="M34" s="7">
        <v>28</v>
      </c>
      <c r="N34" s="7">
        <v>90</v>
      </c>
      <c r="O34" s="84" t="s">
        <v>394</v>
      </c>
      <c r="P34" s="7">
        <v>1555</v>
      </c>
      <c r="Q34" s="84" t="s">
        <v>395</v>
      </c>
      <c r="R34" s="84" t="s">
        <v>396</v>
      </c>
      <c r="S34" s="84" t="s">
        <v>397</v>
      </c>
      <c r="T34" s="84" t="s">
        <v>458</v>
      </c>
      <c r="U34" s="84" t="s">
        <v>400</v>
      </c>
      <c r="V34" s="84" t="s">
        <v>401</v>
      </c>
      <c r="W34" s="84" t="s">
        <v>458</v>
      </c>
      <c r="X34" s="84" t="s">
        <v>402</v>
      </c>
      <c r="Y34" s="84" t="s">
        <v>403</v>
      </c>
      <c r="Z34" s="7"/>
    </row>
    <row r="35" spans="2:30">
      <c r="B35" s="7">
        <v>23</v>
      </c>
      <c r="C35" s="7">
        <v>20260606</v>
      </c>
      <c r="D35" s="84" t="s">
        <v>390</v>
      </c>
      <c r="E35" s="84" t="s">
        <v>391</v>
      </c>
      <c r="F35" s="84" t="s">
        <v>392</v>
      </c>
      <c r="G35" s="7">
        <v>10</v>
      </c>
      <c r="H35" s="84" t="s">
        <v>393</v>
      </c>
      <c r="I35" s="8">
        <v>7</v>
      </c>
      <c r="J35" s="7">
        <v>20260606</v>
      </c>
      <c r="K35" s="7">
        <v>20260625</v>
      </c>
      <c r="L35" s="7">
        <v>20260625</v>
      </c>
      <c r="M35" s="7">
        <v>28</v>
      </c>
      <c r="N35" s="7">
        <v>90</v>
      </c>
      <c r="O35" s="84" t="s">
        <v>394</v>
      </c>
      <c r="P35" s="7">
        <v>1550</v>
      </c>
      <c r="Q35" s="84" t="s">
        <v>395</v>
      </c>
      <c r="R35" s="84" t="s">
        <v>404</v>
      </c>
      <c r="S35" s="84" t="s">
        <v>459</v>
      </c>
      <c r="T35" s="84" t="s">
        <v>460</v>
      </c>
      <c r="U35" s="84" t="s">
        <v>400</v>
      </c>
      <c r="V35" s="84" t="s">
        <v>401</v>
      </c>
      <c r="W35" s="84" t="s">
        <v>460</v>
      </c>
      <c r="X35" s="84" t="s">
        <v>402</v>
      </c>
      <c r="Y35" s="84" t="s">
        <v>403</v>
      </c>
      <c r="Z35" s="7"/>
    </row>
    <row r="36" spans="2:30">
      <c r="B36" s="7">
        <v>23</v>
      </c>
      <c r="C36" s="7">
        <v>20260606</v>
      </c>
      <c r="D36" s="84" t="s">
        <v>390</v>
      </c>
      <c r="E36" s="84" t="s">
        <v>391</v>
      </c>
      <c r="F36" s="84" t="s">
        <v>392</v>
      </c>
      <c r="G36" s="7">
        <v>10</v>
      </c>
      <c r="H36" s="84" t="s">
        <v>393</v>
      </c>
      <c r="I36" s="8">
        <v>7</v>
      </c>
      <c r="J36" s="7">
        <v>20260606</v>
      </c>
      <c r="K36" s="7">
        <v>20260625</v>
      </c>
      <c r="L36" s="7">
        <v>20260625</v>
      </c>
      <c r="M36" s="7">
        <v>28</v>
      </c>
      <c r="N36" s="7">
        <v>90</v>
      </c>
      <c r="O36" s="84" t="s">
        <v>394</v>
      </c>
      <c r="P36" s="7">
        <v>1535</v>
      </c>
      <c r="Q36" s="84" t="s">
        <v>395</v>
      </c>
      <c r="R36" s="84" t="s">
        <v>407</v>
      </c>
      <c r="S36" s="84" t="s">
        <v>461</v>
      </c>
      <c r="T36" s="84" t="s">
        <v>462</v>
      </c>
      <c r="U36" s="84" t="s">
        <v>400</v>
      </c>
      <c r="V36" s="84" t="s">
        <v>401</v>
      </c>
      <c r="W36" s="84" t="s">
        <v>462</v>
      </c>
      <c r="X36" s="84" t="s">
        <v>402</v>
      </c>
      <c r="Y36" s="84" t="s">
        <v>403</v>
      </c>
      <c r="Z36" s="7"/>
    </row>
    <row r="39" spans="2:30">
      <c r="B39" s="5" t="s">
        <v>463</v>
      </c>
    </row>
    <row r="40" spans="2:30">
      <c r="B40" s="5" t="s">
        <v>464</v>
      </c>
      <c r="W40" s="5" t="s">
        <v>379</v>
      </c>
    </row>
    <row r="41" spans="2:30">
      <c r="B41" s="5" t="s">
        <v>465</v>
      </c>
    </row>
    <row r="42" spans="2:30">
      <c r="E42" s="6" t="s">
        <v>466</v>
      </c>
      <c r="H42" s="6" t="s">
        <v>467</v>
      </c>
    </row>
    <row r="43" spans="2:30">
      <c r="B43" s="5">
        <v>2</v>
      </c>
      <c r="C43" s="5">
        <v>8</v>
      </c>
      <c r="D43" s="5">
        <v>8</v>
      </c>
      <c r="E43" s="5">
        <v>6</v>
      </c>
      <c r="F43" s="5">
        <v>6</v>
      </c>
      <c r="G43" s="5">
        <v>9</v>
      </c>
      <c r="H43" s="5">
        <v>2</v>
      </c>
      <c r="I43" s="5">
        <v>2</v>
      </c>
      <c r="J43" s="5">
        <v>2</v>
      </c>
      <c r="K43" s="5">
        <v>8</v>
      </c>
      <c r="L43" s="5">
        <v>8</v>
      </c>
      <c r="M43" s="5">
        <v>8</v>
      </c>
      <c r="N43" s="5">
        <v>8</v>
      </c>
      <c r="O43" s="5">
        <v>8</v>
      </c>
      <c r="P43" s="5">
        <v>2</v>
      </c>
      <c r="Q43" s="5">
        <v>2</v>
      </c>
      <c r="R43" s="5">
        <v>2</v>
      </c>
      <c r="S43" s="5">
        <v>4</v>
      </c>
      <c r="T43" s="5">
        <v>10</v>
      </c>
      <c r="U43" s="5">
        <v>3</v>
      </c>
      <c r="V43" s="5">
        <v>14</v>
      </c>
      <c r="W43" s="5">
        <v>6</v>
      </c>
      <c r="X43" s="5">
        <v>7</v>
      </c>
      <c r="Y43" s="5">
        <v>7</v>
      </c>
      <c r="Z43" s="5">
        <v>7</v>
      </c>
      <c r="AA43" s="5">
        <v>5</v>
      </c>
      <c r="AB43" s="5">
        <v>7</v>
      </c>
      <c r="AC43" s="5">
        <v>9</v>
      </c>
      <c r="AD43" s="5">
        <v>342</v>
      </c>
    </row>
    <row r="44" spans="2:30">
      <c r="B44" s="7" t="s">
        <v>180</v>
      </c>
      <c r="C44" s="7" t="s">
        <v>183</v>
      </c>
      <c r="D44" s="7" t="s">
        <v>186</v>
      </c>
      <c r="E44" s="7" t="s">
        <v>53</v>
      </c>
      <c r="F44" s="7" t="s">
        <v>381</v>
      </c>
      <c r="G44" s="7" t="s">
        <v>48</v>
      </c>
      <c r="H44" s="7" t="s">
        <v>190</v>
      </c>
      <c r="I44" s="7" t="s">
        <v>192</v>
      </c>
      <c r="J44" s="8" t="s">
        <v>194</v>
      </c>
      <c r="K44" s="7" t="s">
        <v>196</v>
      </c>
      <c r="L44" s="7" t="s">
        <v>15</v>
      </c>
      <c r="M44" s="7" t="s">
        <v>382</v>
      </c>
      <c r="N44" s="7" t="s">
        <v>383</v>
      </c>
      <c r="O44" s="7" t="s">
        <v>87</v>
      </c>
      <c r="P44" s="7" t="s">
        <v>200</v>
      </c>
      <c r="Q44" s="7" t="s">
        <v>41</v>
      </c>
      <c r="R44" s="7" t="s">
        <v>203</v>
      </c>
      <c r="S44" s="7" t="s">
        <v>205</v>
      </c>
      <c r="T44" s="7" t="s">
        <v>31</v>
      </c>
      <c r="U44" s="7" t="s">
        <v>106</v>
      </c>
      <c r="V44" s="7" t="s">
        <v>130</v>
      </c>
      <c r="W44" s="9" t="s">
        <v>385</v>
      </c>
      <c r="X44" s="7" t="s">
        <v>386</v>
      </c>
      <c r="Y44" s="7" t="s">
        <v>387</v>
      </c>
      <c r="Z44" s="7" t="s">
        <v>111</v>
      </c>
      <c r="AA44" s="7" t="s">
        <v>135</v>
      </c>
      <c r="AB44" s="7" t="s">
        <v>213</v>
      </c>
      <c r="AC44" s="7" t="s">
        <v>468</v>
      </c>
      <c r="AD44" s="7" t="s">
        <v>215</v>
      </c>
    </row>
    <row r="45" spans="2:30">
      <c r="B45" s="7">
        <v>22</v>
      </c>
      <c r="C45" s="7">
        <v>20260623</v>
      </c>
      <c r="D45" s="84" t="s">
        <v>469</v>
      </c>
      <c r="E45" s="84" t="s">
        <v>470</v>
      </c>
      <c r="F45" s="84" t="s">
        <v>471</v>
      </c>
      <c r="G45" s="84" t="s">
        <v>472</v>
      </c>
      <c r="H45" s="8">
        <v>51</v>
      </c>
      <c r="I45" s="84" t="s">
        <v>393</v>
      </c>
      <c r="J45" s="8">
        <v>0</v>
      </c>
      <c r="K45" s="7">
        <v>20260623</v>
      </c>
      <c r="L45" s="7">
        <v>20260625</v>
      </c>
      <c r="M45" s="7">
        <v>20260625</v>
      </c>
      <c r="N45" s="7">
        <v>20260625</v>
      </c>
      <c r="O45" s="7">
        <v>20260624</v>
      </c>
      <c r="P45" s="7">
        <v>28</v>
      </c>
      <c r="Q45" s="7">
        <v>90</v>
      </c>
      <c r="R45" s="84" t="s">
        <v>393</v>
      </c>
      <c r="S45" s="84" t="s">
        <v>473</v>
      </c>
      <c r="T45" s="84" t="s">
        <v>474</v>
      </c>
      <c r="U45" s="84" t="s">
        <v>416</v>
      </c>
      <c r="V45" s="84" t="s">
        <v>475</v>
      </c>
      <c r="W45" s="84" t="s">
        <v>476</v>
      </c>
      <c r="X45" s="84" t="s">
        <v>477</v>
      </c>
      <c r="Y45" s="84" t="s">
        <v>477</v>
      </c>
      <c r="Z45" s="84" t="s">
        <v>477</v>
      </c>
      <c r="AA45" s="84" t="s">
        <v>402</v>
      </c>
      <c r="AB45" s="84" t="s">
        <v>403</v>
      </c>
      <c r="AC45" s="84" t="s">
        <v>478</v>
      </c>
      <c r="AD45" s="7"/>
    </row>
    <row r="46" spans="2:30">
      <c r="B46" s="7">
        <v>22</v>
      </c>
      <c r="C46" s="7">
        <v>20260623</v>
      </c>
      <c r="D46" s="84" t="s">
        <v>479</v>
      </c>
      <c r="E46" s="84" t="s">
        <v>470</v>
      </c>
      <c r="F46" s="84" t="s">
        <v>480</v>
      </c>
      <c r="G46" s="84" t="s">
        <v>472</v>
      </c>
      <c r="H46" s="8">
        <v>51</v>
      </c>
      <c r="I46" s="84" t="s">
        <v>393</v>
      </c>
      <c r="J46" s="8">
        <v>0</v>
      </c>
      <c r="K46" s="7">
        <v>20260623</v>
      </c>
      <c r="L46" s="7">
        <v>20260625</v>
      </c>
      <c r="M46" s="7">
        <v>20260625</v>
      </c>
      <c r="N46" s="7">
        <v>20260625</v>
      </c>
      <c r="O46" s="7">
        <v>20260624</v>
      </c>
      <c r="P46" s="7">
        <v>28</v>
      </c>
      <c r="Q46" s="7">
        <v>90</v>
      </c>
      <c r="R46" s="84" t="s">
        <v>393</v>
      </c>
      <c r="S46" s="84" t="s">
        <v>473</v>
      </c>
      <c r="T46" s="84" t="s">
        <v>481</v>
      </c>
      <c r="U46" s="84" t="s">
        <v>396</v>
      </c>
      <c r="V46" s="84" t="s">
        <v>482</v>
      </c>
      <c r="W46" s="84" t="s">
        <v>483</v>
      </c>
      <c r="X46" s="84" t="s">
        <v>477</v>
      </c>
      <c r="Y46" s="84" t="s">
        <v>477</v>
      </c>
      <c r="Z46" s="84" t="s">
        <v>477</v>
      </c>
      <c r="AA46" s="84" t="s">
        <v>402</v>
      </c>
      <c r="AB46" s="84" t="s">
        <v>403</v>
      </c>
      <c r="AC46" s="84" t="s">
        <v>478</v>
      </c>
      <c r="AD46" s="7"/>
    </row>
    <row r="47" spans="2:30">
      <c r="B47" s="7">
        <v>22</v>
      </c>
      <c r="C47" s="7">
        <v>20260623</v>
      </c>
      <c r="D47" s="84" t="s">
        <v>479</v>
      </c>
      <c r="E47" s="84" t="s">
        <v>470</v>
      </c>
      <c r="F47" s="84" t="s">
        <v>480</v>
      </c>
      <c r="G47" s="84" t="s">
        <v>472</v>
      </c>
      <c r="H47" s="8">
        <v>51</v>
      </c>
      <c r="I47" s="84" t="s">
        <v>393</v>
      </c>
      <c r="J47" s="8">
        <v>0</v>
      </c>
      <c r="K47" s="7">
        <v>20260623</v>
      </c>
      <c r="L47" s="7">
        <v>20260625</v>
      </c>
      <c r="M47" s="7">
        <v>20260625</v>
      </c>
      <c r="N47" s="7">
        <v>20260625</v>
      </c>
      <c r="O47" s="7">
        <v>20260624</v>
      </c>
      <c r="P47" s="7">
        <v>28</v>
      </c>
      <c r="Q47" s="7">
        <v>90</v>
      </c>
      <c r="R47" s="84" t="s">
        <v>393</v>
      </c>
      <c r="S47" s="84" t="s">
        <v>473</v>
      </c>
      <c r="T47" s="84" t="s">
        <v>481</v>
      </c>
      <c r="U47" s="84" t="s">
        <v>404</v>
      </c>
      <c r="V47" s="84" t="s">
        <v>475</v>
      </c>
      <c r="W47" s="84" t="s">
        <v>483</v>
      </c>
      <c r="X47" s="84" t="s">
        <v>477</v>
      </c>
      <c r="Y47" s="84" t="s">
        <v>477</v>
      </c>
      <c r="Z47" s="84" t="s">
        <v>477</v>
      </c>
      <c r="AA47" s="84" t="s">
        <v>402</v>
      </c>
      <c r="AB47" s="84" t="s">
        <v>403</v>
      </c>
      <c r="AC47" s="84" t="s">
        <v>478</v>
      </c>
      <c r="AD47" s="7"/>
    </row>
    <row r="50" spans="2:24">
      <c r="B50" s="5" t="s">
        <v>484</v>
      </c>
    </row>
    <row r="51" spans="2:24">
      <c r="B51" s="5" t="s">
        <v>485</v>
      </c>
    </row>
    <row r="52" spans="2:24">
      <c r="B52" s="5" t="s">
        <v>486</v>
      </c>
    </row>
    <row r="53" spans="2:24">
      <c r="E53" s="6" t="s">
        <v>487</v>
      </c>
      <c r="G53" s="6" t="s">
        <v>488</v>
      </c>
      <c r="H53" s="5" t="s">
        <v>489</v>
      </c>
    </row>
    <row r="54" spans="2:24">
      <c r="B54" s="5">
        <v>2</v>
      </c>
      <c r="C54" s="5">
        <v>8</v>
      </c>
      <c r="D54" s="5">
        <v>8</v>
      </c>
      <c r="E54" s="5">
        <v>6</v>
      </c>
      <c r="F54" s="5">
        <v>9</v>
      </c>
      <c r="G54" s="5">
        <v>2</v>
      </c>
      <c r="H54" s="5">
        <v>2</v>
      </c>
      <c r="I54" s="5">
        <v>8</v>
      </c>
      <c r="J54" s="5">
        <v>8</v>
      </c>
      <c r="K54" s="5">
        <v>8</v>
      </c>
      <c r="L54" s="5">
        <v>2</v>
      </c>
      <c r="M54" s="5">
        <v>2</v>
      </c>
      <c r="N54" s="5">
        <v>2</v>
      </c>
      <c r="O54" s="5">
        <v>4</v>
      </c>
      <c r="P54" s="5">
        <v>10</v>
      </c>
      <c r="Q54" s="5">
        <v>3</v>
      </c>
      <c r="R54" s="5">
        <v>14</v>
      </c>
      <c r="S54" s="5">
        <v>7</v>
      </c>
      <c r="T54" s="5">
        <v>7</v>
      </c>
      <c r="U54" s="5">
        <v>7</v>
      </c>
      <c r="V54" s="5">
        <v>5</v>
      </c>
      <c r="W54" s="5">
        <v>7</v>
      </c>
      <c r="X54" s="5">
        <v>381</v>
      </c>
    </row>
    <row r="55" spans="2:24">
      <c r="B55" s="7" t="s">
        <v>180</v>
      </c>
      <c r="C55" s="7" t="s">
        <v>183</v>
      </c>
      <c r="D55" s="7" t="s">
        <v>186</v>
      </c>
      <c r="E55" s="7" t="s">
        <v>53</v>
      </c>
      <c r="F55" s="7" t="s">
        <v>48</v>
      </c>
      <c r="G55" s="7" t="s">
        <v>190</v>
      </c>
      <c r="H55" s="8" t="s">
        <v>194</v>
      </c>
      <c r="I55" s="7" t="s">
        <v>196</v>
      </c>
      <c r="J55" s="7" t="s">
        <v>15</v>
      </c>
      <c r="K55" s="7" t="s">
        <v>87</v>
      </c>
      <c r="L55" s="7" t="s">
        <v>200</v>
      </c>
      <c r="M55" s="7" t="s">
        <v>41</v>
      </c>
      <c r="N55" s="7" t="s">
        <v>203</v>
      </c>
      <c r="O55" s="7" t="s">
        <v>205</v>
      </c>
      <c r="P55" s="7" t="s">
        <v>31</v>
      </c>
      <c r="Q55" s="7" t="s">
        <v>106</v>
      </c>
      <c r="R55" s="7" t="s">
        <v>130</v>
      </c>
      <c r="S55" s="7" t="s">
        <v>207</v>
      </c>
      <c r="T55" s="7" t="s">
        <v>208</v>
      </c>
      <c r="U55" s="7" t="s">
        <v>111</v>
      </c>
      <c r="V55" s="7" t="s">
        <v>135</v>
      </c>
      <c r="W55" s="7" t="s">
        <v>213</v>
      </c>
      <c r="X55" s="7" t="s">
        <v>215</v>
      </c>
    </row>
    <row r="56" spans="2:24">
      <c r="B56" s="7">
        <v>21</v>
      </c>
      <c r="C56" s="7">
        <v>20260623</v>
      </c>
      <c r="D56" s="84" t="s">
        <v>490</v>
      </c>
      <c r="E56" s="84" t="s">
        <v>491</v>
      </c>
      <c r="F56" s="84" t="s">
        <v>492</v>
      </c>
      <c r="G56" s="8">
        <v>30</v>
      </c>
      <c r="H56" s="8">
        <v>7</v>
      </c>
      <c r="I56" s="7">
        <v>20260623</v>
      </c>
      <c r="J56" s="7">
        <v>20260625</v>
      </c>
      <c r="K56" s="7">
        <v>20260625</v>
      </c>
      <c r="L56" s="7">
        <v>28</v>
      </c>
      <c r="M56" s="7">
        <v>92</v>
      </c>
      <c r="N56" s="84" t="s">
        <v>493</v>
      </c>
      <c r="O56" s="7">
        <v>1026</v>
      </c>
      <c r="P56" s="84" t="s">
        <v>494</v>
      </c>
      <c r="Q56" s="84" t="s">
        <v>396</v>
      </c>
      <c r="R56" s="84" t="s">
        <v>495</v>
      </c>
      <c r="S56" s="84" t="s">
        <v>496</v>
      </c>
      <c r="T56" s="84" t="s">
        <v>421</v>
      </c>
      <c r="U56" s="84" t="s">
        <v>496</v>
      </c>
      <c r="V56" s="84" t="s">
        <v>402</v>
      </c>
      <c r="W56" s="84" t="s">
        <v>403</v>
      </c>
      <c r="X56" s="7"/>
    </row>
    <row r="57" spans="2:24">
      <c r="B57" s="7">
        <v>21</v>
      </c>
      <c r="C57" s="7">
        <v>20260620</v>
      </c>
      <c r="D57" s="84" t="s">
        <v>497</v>
      </c>
      <c r="E57" s="84" t="s">
        <v>491</v>
      </c>
      <c r="F57" s="84" t="s">
        <v>498</v>
      </c>
      <c r="G57" s="8">
        <v>30</v>
      </c>
      <c r="H57" s="8">
        <v>7</v>
      </c>
      <c r="I57" s="7">
        <v>20260620</v>
      </c>
      <c r="J57" s="7">
        <v>20260625</v>
      </c>
      <c r="K57" s="7">
        <v>20260625</v>
      </c>
      <c r="L57" s="7">
        <v>28</v>
      </c>
      <c r="M57" s="7">
        <v>92</v>
      </c>
      <c r="N57" s="84" t="s">
        <v>499</v>
      </c>
      <c r="O57" s="7">
        <v>1040</v>
      </c>
      <c r="P57" s="84" t="s">
        <v>500</v>
      </c>
      <c r="Q57" s="84" t="s">
        <v>396</v>
      </c>
      <c r="R57" s="84" t="s">
        <v>501</v>
      </c>
      <c r="S57" s="84" t="s">
        <v>421</v>
      </c>
      <c r="T57" s="84" t="s">
        <v>502</v>
      </c>
      <c r="U57" s="84" t="s">
        <v>421</v>
      </c>
      <c r="V57" s="84" t="s">
        <v>402</v>
      </c>
      <c r="W57" s="84" t="s">
        <v>403</v>
      </c>
      <c r="X57" s="7"/>
    </row>
    <row r="58" spans="2:24">
      <c r="B58" s="7">
        <v>21</v>
      </c>
      <c r="C58" s="7">
        <v>20260620</v>
      </c>
      <c r="D58" s="84" t="s">
        <v>497</v>
      </c>
      <c r="E58" s="84" t="s">
        <v>491</v>
      </c>
      <c r="F58" s="84" t="s">
        <v>498</v>
      </c>
      <c r="G58" s="8">
        <v>30</v>
      </c>
      <c r="H58" s="8">
        <v>7</v>
      </c>
      <c r="I58" s="7">
        <v>20260620</v>
      </c>
      <c r="J58" s="7">
        <v>20260625</v>
      </c>
      <c r="K58" s="7">
        <v>20260625</v>
      </c>
      <c r="L58" s="7">
        <v>28</v>
      </c>
      <c r="M58" s="7">
        <v>92</v>
      </c>
      <c r="N58" s="84" t="s">
        <v>499</v>
      </c>
      <c r="O58" s="7">
        <v>1040</v>
      </c>
      <c r="P58" s="84" t="s">
        <v>500</v>
      </c>
      <c r="Q58" s="84" t="s">
        <v>404</v>
      </c>
      <c r="R58" s="84" t="s">
        <v>503</v>
      </c>
      <c r="S58" s="84" t="s">
        <v>421</v>
      </c>
      <c r="T58" s="84" t="s">
        <v>502</v>
      </c>
      <c r="U58" s="84" t="s">
        <v>421</v>
      </c>
      <c r="V58" s="84" t="s">
        <v>402</v>
      </c>
      <c r="W58" s="84" t="s">
        <v>403</v>
      </c>
      <c r="X58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2"/>
  <sheetViews>
    <sheetView workbookViewId="0">
      <selection activeCell="K17" sqref="K17"/>
    </sheetView>
  </sheetViews>
  <sheetFormatPr defaultColWidth="9.14285714285714" defaultRowHeight="15.75"/>
  <cols>
    <col min="1" max="1" width="11.7142857142857" customWidth="1"/>
    <col min="4" max="4" width="11.7142857142857" customWidth="1"/>
    <col min="9" max="10" width="20.2857142857143" style="1" customWidth="1"/>
    <col min="11" max="11" width="8.14285714285714" style="1" customWidth="1"/>
  </cols>
  <sheetData>
    <row r="1" spans="1:11">
      <c r="A1" s="2" t="s">
        <v>31</v>
      </c>
      <c r="D1" s="2" t="s">
        <v>31</v>
      </c>
      <c r="I1" s="1">
        <v>230</v>
      </c>
      <c r="J1" s="1">
        <v>210</v>
      </c>
    </row>
    <row r="2" spans="1:11">
      <c r="A2" s="85" t="s">
        <v>504</v>
      </c>
      <c r="D2" s="85" t="s">
        <v>504</v>
      </c>
      <c r="E2" t="b">
        <f>D2=A2</f>
        <v>1</v>
      </c>
      <c r="I2" s="3" t="s">
        <v>180</v>
      </c>
      <c r="J2" s="3" t="s">
        <v>180</v>
      </c>
      <c r="K2" s="1" t="b">
        <f t="shared" ref="K2:K26" si="0">J2=I2</f>
        <v>1</v>
      </c>
    </row>
    <row r="3" spans="1:11">
      <c r="A3" s="85" t="s">
        <v>505</v>
      </c>
      <c r="D3" s="85" t="s">
        <v>505</v>
      </c>
      <c r="E3" t="b">
        <f t="shared" ref="E3:E66" si="1">D3=A3</f>
        <v>1</v>
      </c>
      <c r="I3" s="3" t="s">
        <v>183</v>
      </c>
      <c r="J3" s="3" t="s">
        <v>183</v>
      </c>
      <c r="K3" s="1" t="b">
        <f t="shared" si="0"/>
        <v>1</v>
      </c>
    </row>
    <row r="4" spans="1:11">
      <c r="A4" s="85" t="s">
        <v>506</v>
      </c>
      <c r="D4" s="85" t="s">
        <v>506</v>
      </c>
      <c r="E4" t="b">
        <f t="shared" si="1"/>
        <v>1</v>
      </c>
      <c r="I4" s="3" t="s">
        <v>186</v>
      </c>
      <c r="J4" s="3" t="s">
        <v>186</v>
      </c>
      <c r="K4" s="1" t="b">
        <f t="shared" si="0"/>
        <v>1</v>
      </c>
    </row>
    <row r="5" spans="1:11">
      <c r="A5" s="85" t="s">
        <v>507</v>
      </c>
      <c r="D5" s="85" t="s">
        <v>507</v>
      </c>
      <c r="E5" t="b">
        <f t="shared" si="1"/>
        <v>1</v>
      </c>
      <c r="I5" s="3" t="s">
        <v>53</v>
      </c>
      <c r="J5" s="3" t="s">
        <v>53</v>
      </c>
      <c r="K5" s="1" t="b">
        <f t="shared" si="0"/>
        <v>1</v>
      </c>
    </row>
    <row r="6" spans="1:11">
      <c r="A6" s="85" t="s">
        <v>508</v>
      </c>
      <c r="D6" s="85" t="s">
        <v>508</v>
      </c>
      <c r="E6" t="b">
        <f t="shared" si="1"/>
        <v>1</v>
      </c>
      <c r="I6" s="3" t="s">
        <v>48</v>
      </c>
      <c r="J6" s="3" t="s">
        <v>48</v>
      </c>
      <c r="K6" s="1" t="b">
        <f t="shared" si="0"/>
        <v>1</v>
      </c>
    </row>
    <row r="7" spans="1:11">
      <c r="A7" s="85" t="s">
        <v>509</v>
      </c>
      <c r="D7" s="85" t="s">
        <v>509</v>
      </c>
      <c r="E7" t="b">
        <f t="shared" si="1"/>
        <v>1</v>
      </c>
      <c r="I7" s="3" t="s">
        <v>190</v>
      </c>
      <c r="J7" s="3" t="s">
        <v>190</v>
      </c>
      <c r="K7" s="1" t="b">
        <f t="shared" si="0"/>
        <v>1</v>
      </c>
    </row>
    <row r="8" spans="1:11">
      <c r="A8" s="85" t="s">
        <v>510</v>
      </c>
      <c r="D8" s="85" t="s">
        <v>510</v>
      </c>
      <c r="E8" t="b">
        <f t="shared" si="1"/>
        <v>1</v>
      </c>
      <c r="I8" s="3" t="s">
        <v>192</v>
      </c>
      <c r="J8" s="3"/>
      <c r="K8" s="1" t="b">
        <f t="shared" si="0"/>
        <v>0</v>
      </c>
    </row>
    <row r="9" spans="1:11">
      <c r="A9" s="85" t="s">
        <v>511</v>
      </c>
      <c r="D9" s="85" t="s">
        <v>511</v>
      </c>
      <c r="E9" t="b">
        <f t="shared" si="1"/>
        <v>1</v>
      </c>
      <c r="I9" s="3" t="s">
        <v>194</v>
      </c>
      <c r="J9" s="3" t="s">
        <v>194</v>
      </c>
      <c r="K9" s="1" t="b">
        <f t="shared" si="0"/>
        <v>1</v>
      </c>
    </row>
    <row r="10" spans="1:11">
      <c r="A10" s="85" t="s">
        <v>512</v>
      </c>
      <c r="D10" s="85" t="s">
        <v>512</v>
      </c>
      <c r="E10" t="b">
        <f t="shared" si="1"/>
        <v>1</v>
      </c>
      <c r="I10" s="3" t="s">
        <v>196</v>
      </c>
      <c r="J10" s="3" t="s">
        <v>196</v>
      </c>
      <c r="K10" s="1" t="b">
        <f t="shared" si="0"/>
        <v>1</v>
      </c>
    </row>
    <row r="11" spans="1:11">
      <c r="A11" s="85" t="s">
        <v>513</v>
      </c>
      <c r="D11" s="85" t="s">
        <v>513</v>
      </c>
      <c r="E11" t="b">
        <f t="shared" si="1"/>
        <v>1</v>
      </c>
      <c r="I11" s="3" t="s">
        <v>15</v>
      </c>
      <c r="J11" s="3" t="s">
        <v>15</v>
      </c>
      <c r="K11" s="1" t="b">
        <f t="shared" si="0"/>
        <v>1</v>
      </c>
    </row>
    <row r="12" spans="1:11">
      <c r="A12" s="85" t="s">
        <v>514</v>
      </c>
      <c r="D12" s="85" t="s">
        <v>514</v>
      </c>
      <c r="E12" t="b">
        <f t="shared" si="1"/>
        <v>1</v>
      </c>
      <c r="I12" s="3" t="s">
        <v>87</v>
      </c>
      <c r="J12" s="3" t="s">
        <v>87</v>
      </c>
      <c r="K12" s="1" t="b">
        <f t="shared" si="0"/>
        <v>1</v>
      </c>
    </row>
    <row r="13" spans="1:11">
      <c r="A13" s="85" t="s">
        <v>515</v>
      </c>
      <c r="D13" s="85" t="s">
        <v>515</v>
      </c>
      <c r="E13" t="b">
        <f t="shared" si="1"/>
        <v>1</v>
      </c>
      <c r="I13" s="3" t="s">
        <v>200</v>
      </c>
      <c r="J13" s="3" t="s">
        <v>200</v>
      </c>
      <c r="K13" s="1" t="b">
        <f t="shared" si="0"/>
        <v>1</v>
      </c>
    </row>
    <row r="14" spans="1:11">
      <c r="A14" s="85" t="s">
        <v>516</v>
      </c>
      <c r="D14" s="85" t="s">
        <v>516</v>
      </c>
      <c r="E14" t="b">
        <f t="shared" si="1"/>
        <v>1</v>
      </c>
      <c r="I14" s="3" t="s">
        <v>41</v>
      </c>
      <c r="J14" s="3" t="s">
        <v>41</v>
      </c>
      <c r="K14" s="1" t="b">
        <f t="shared" si="0"/>
        <v>1</v>
      </c>
    </row>
    <row r="15" spans="1:11">
      <c r="A15" s="85" t="s">
        <v>517</v>
      </c>
      <c r="D15" s="85" t="s">
        <v>517</v>
      </c>
      <c r="E15" t="b">
        <f t="shared" si="1"/>
        <v>1</v>
      </c>
      <c r="I15" s="3" t="s">
        <v>203</v>
      </c>
      <c r="J15" s="3" t="s">
        <v>203</v>
      </c>
      <c r="K15" s="1" t="b">
        <f t="shared" si="0"/>
        <v>1</v>
      </c>
    </row>
    <row r="16" spans="1:11">
      <c r="A16" s="85" t="s">
        <v>395</v>
      </c>
      <c r="D16" s="85" t="s">
        <v>395</v>
      </c>
      <c r="E16" t="b">
        <f t="shared" si="1"/>
        <v>1</v>
      </c>
      <c r="I16" s="3" t="s">
        <v>205</v>
      </c>
      <c r="J16" s="3" t="s">
        <v>205</v>
      </c>
      <c r="K16" s="1" t="b">
        <f t="shared" si="0"/>
        <v>1</v>
      </c>
    </row>
    <row r="17" spans="1:11">
      <c r="A17" s="85" t="s">
        <v>518</v>
      </c>
      <c r="D17" s="85" t="s">
        <v>518</v>
      </c>
      <c r="E17" t="b">
        <f t="shared" si="1"/>
        <v>1</v>
      </c>
      <c r="I17" s="3" t="s">
        <v>31</v>
      </c>
      <c r="J17" s="3" t="s">
        <v>31</v>
      </c>
      <c r="K17" s="1" t="b">
        <f t="shared" si="0"/>
        <v>1</v>
      </c>
    </row>
    <row r="18" spans="1:11">
      <c r="A18" s="85" t="s">
        <v>519</v>
      </c>
      <c r="D18" s="85" t="s">
        <v>519</v>
      </c>
      <c r="E18" t="b">
        <f t="shared" si="1"/>
        <v>1</v>
      </c>
      <c r="I18" s="3" t="s">
        <v>106</v>
      </c>
      <c r="J18" s="3" t="s">
        <v>106</v>
      </c>
      <c r="K18" s="1" t="b">
        <f t="shared" si="0"/>
        <v>1</v>
      </c>
    </row>
    <row r="19" spans="1:11">
      <c r="A19" s="85" t="s">
        <v>520</v>
      </c>
      <c r="D19" s="85" t="s">
        <v>520</v>
      </c>
      <c r="E19" t="b">
        <f t="shared" si="1"/>
        <v>1</v>
      </c>
      <c r="I19" s="3" t="s">
        <v>130</v>
      </c>
      <c r="J19" s="3" t="s">
        <v>130</v>
      </c>
      <c r="K19" s="1" t="b">
        <f t="shared" si="0"/>
        <v>1</v>
      </c>
    </row>
    <row r="20" spans="1:11">
      <c r="A20" s="85" t="s">
        <v>521</v>
      </c>
      <c r="D20" s="85" t="s">
        <v>521</v>
      </c>
      <c r="E20" t="b">
        <f t="shared" si="1"/>
        <v>1</v>
      </c>
      <c r="I20" s="3" t="s">
        <v>207</v>
      </c>
      <c r="J20" s="3" t="s">
        <v>207</v>
      </c>
      <c r="K20" s="1" t="b">
        <f t="shared" si="0"/>
        <v>1</v>
      </c>
    </row>
    <row r="21" spans="1:11">
      <c r="A21" s="85" t="s">
        <v>522</v>
      </c>
      <c r="D21" s="85" t="s">
        <v>522</v>
      </c>
      <c r="E21" t="b">
        <f t="shared" si="1"/>
        <v>1</v>
      </c>
      <c r="I21" s="4" t="s">
        <v>208</v>
      </c>
      <c r="J21" s="4" t="s">
        <v>208</v>
      </c>
      <c r="K21" s="1" t="b">
        <f t="shared" si="0"/>
        <v>1</v>
      </c>
    </row>
    <row r="22" spans="1:11">
      <c r="A22" s="85" t="s">
        <v>523</v>
      </c>
      <c r="D22" s="85" t="s">
        <v>523</v>
      </c>
      <c r="E22" t="b">
        <f t="shared" si="1"/>
        <v>1</v>
      </c>
      <c r="I22" s="3" t="s">
        <v>209</v>
      </c>
      <c r="J22" s="4"/>
      <c r="K22" s="1" t="b">
        <f t="shared" si="0"/>
        <v>0</v>
      </c>
    </row>
    <row r="23" spans="1:11">
      <c r="A23" s="85" t="s">
        <v>524</v>
      </c>
      <c r="D23" s="85" t="s">
        <v>524</v>
      </c>
      <c r="E23" t="b">
        <f t="shared" si="1"/>
        <v>1</v>
      </c>
      <c r="I23" s="3" t="s">
        <v>111</v>
      </c>
      <c r="J23" s="3" t="s">
        <v>111</v>
      </c>
      <c r="K23" s="1" t="b">
        <f t="shared" si="0"/>
        <v>1</v>
      </c>
    </row>
    <row r="24" spans="1:11">
      <c r="A24" s="85" t="s">
        <v>525</v>
      </c>
      <c r="D24" s="85" t="s">
        <v>525</v>
      </c>
      <c r="E24" t="b">
        <f t="shared" si="1"/>
        <v>1</v>
      </c>
      <c r="I24" s="3" t="s">
        <v>135</v>
      </c>
      <c r="J24" s="3" t="s">
        <v>135</v>
      </c>
      <c r="K24" s="1" t="b">
        <f t="shared" si="0"/>
        <v>1</v>
      </c>
    </row>
    <row r="25" spans="1:11">
      <c r="A25" s="85" t="s">
        <v>526</v>
      </c>
      <c r="D25" s="85" t="s">
        <v>526</v>
      </c>
      <c r="E25" t="b">
        <f t="shared" si="1"/>
        <v>1</v>
      </c>
      <c r="I25" s="3" t="s">
        <v>213</v>
      </c>
      <c r="J25" s="3" t="s">
        <v>213</v>
      </c>
      <c r="K25" s="1" t="b">
        <f t="shared" si="0"/>
        <v>1</v>
      </c>
    </row>
    <row r="26" spans="1:11">
      <c r="A26" s="85" t="s">
        <v>527</v>
      </c>
      <c r="D26" s="85" t="s">
        <v>527</v>
      </c>
      <c r="E26" t="b">
        <f t="shared" si="1"/>
        <v>1</v>
      </c>
      <c r="I26" s="3" t="s">
        <v>215</v>
      </c>
      <c r="J26" s="3" t="s">
        <v>215</v>
      </c>
      <c r="K26" s="1" t="b">
        <f t="shared" si="0"/>
        <v>1</v>
      </c>
    </row>
    <row r="27" spans="1:11">
      <c r="A27" s="85" t="s">
        <v>528</v>
      </c>
      <c r="D27" s="85" t="s">
        <v>528</v>
      </c>
      <c r="E27" t="b">
        <f t="shared" si="1"/>
        <v>1</v>
      </c>
    </row>
    <row r="28" spans="1:11">
      <c r="A28" s="85" t="s">
        <v>529</v>
      </c>
      <c r="D28" s="85" t="s">
        <v>529</v>
      </c>
      <c r="E28" t="b">
        <f t="shared" si="1"/>
        <v>1</v>
      </c>
    </row>
    <row r="29" spans="1:11">
      <c r="A29" s="85" t="s">
        <v>530</v>
      </c>
      <c r="D29" s="85" t="s">
        <v>530</v>
      </c>
      <c r="E29" t="b">
        <f t="shared" si="1"/>
        <v>1</v>
      </c>
    </row>
    <row r="30" spans="1:11">
      <c r="A30" s="85" t="s">
        <v>531</v>
      </c>
      <c r="D30" s="85" t="s">
        <v>531</v>
      </c>
      <c r="E30" t="b">
        <f t="shared" si="1"/>
        <v>1</v>
      </c>
    </row>
    <row r="31" spans="1:11">
      <c r="A31" s="85" t="s">
        <v>532</v>
      </c>
      <c r="D31" s="85" t="s">
        <v>532</v>
      </c>
      <c r="E31" t="b">
        <f t="shared" si="1"/>
        <v>1</v>
      </c>
    </row>
    <row r="32" spans="1:11">
      <c r="A32" s="85" t="s">
        <v>533</v>
      </c>
      <c r="D32" s="85" t="s">
        <v>533</v>
      </c>
      <c r="E32" t="b">
        <f t="shared" si="1"/>
        <v>1</v>
      </c>
    </row>
    <row r="33" spans="1:5">
      <c r="A33" s="85" t="s">
        <v>534</v>
      </c>
      <c r="D33" s="85" t="s">
        <v>534</v>
      </c>
      <c r="E33" t="b">
        <f t="shared" si="1"/>
        <v>1</v>
      </c>
    </row>
    <row r="34" spans="1:5">
      <c r="A34" s="85" t="s">
        <v>535</v>
      </c>
      <c r="D34" s="85" t="s">
        <v>535</v>
      </c>
      <c r="E34" t="b">
        <f t="shared" si="1"/>
        <v>1</v>
      </c>
    </row>
    <row r="35" spans="1:5">
      <c r="A35" s="85" t="s">
        <v>536</v>
      </c>
      <c r="D35" s="85" t="s">
        <v>536</v>
      </c>
      <c r="E35" t="b">
        <f t="shared" si="1"/>
        <v>1</v>
      </c>
    </row>
    <row r="36" spans="1:5">
      <c r="A36" s="85" t="s">
        <v>537</v>
      </c>
      <c r="D36" s="85" t="s">
        <v>537</v>
      </c>
      <c r="E36" t="b">
        <f t="shared" si="1"/>
        <v>1</v>
      </c>
    </row>
    <row r="37" spans="1:5">
      <c r="A37" s="85" t="s">
        <v>538</v>
      </c>
      <c r="D37" s="85" t="s">
        <v>538</v>
      </c>
      <c r="E37" t="b">
        <f t="shared" si="1"/>
        <v>1</v>
      </c>
    </row>
    <row r="38" spans="1:5">
      <c r="A38" s="85" t="s">
        <v>539</v>
      </c>
      <c r="D38" s="85" t="s">
        <v>539</v>
      </c>
      <c r="E38" t="b">
        <f t="shared" si="1"/>
        <v>1</v>
      </c>
    </row>
    <row r="39" spans="1:5">
      <c r="A39" s="85" t="s">
        <v>540</v>
      </c>
      <c r="D39" s="85" t="s">
        <v>540</v>
      </c>
      <c r="E39" t="b">
        <f t="shared" si="1"/>
        <v>1</v>
      </c>
    </row>
    <row r="40" spans="1:5">
      <c r="A40" s="85" t="s">
        <v>541</v>
      </c>
      <c r="D40" s="85" t="s">
        <v>541</v>
      </c>
      <c r="E40" t="b">
        <f t="shared" si="1"/>
        <v>1</v>
      </c>
    </row>
    <row r="41" spans="1:5">
      <c r="A41" s="85" t="s">
        <v>542</v>
      </c>
      <c r="D41" s="85" t="s">
        <v>542</v>
      </c>
      <c r="E41" t="b">
        <f t="shared" si="1"/>
        <v>1</v>
      </c>
    </row>
    <row r="42" spans="1:5">
      <c r="A42" s="85" t="s">
        <v>543</v>
      </c>
      <c r="D42" s="85" t="s">
        <v>543</v>
      </c>
      <c r="E42" t="b">
        <f t="shared" si="1"/>
        <v>1</v>
      </c>
    </row>
    <row r="43" spans="1:5">
      <c r="A43" s="85" t="s">
        <v>544</v>
      </c>
      <c r="D43" s="85" t="s">
        <v>544</v>
      </c>
      <c r="E43" t="b">
        <f t="shared" si="1"/>
        <v>1</v>
      </c>
    </row>
    <row r="44" spans="1:5">
      <c r="A44" s="85" t="s">
        <v>545</v>
      </c>
      <c r="D44" s="85" t="s">
        <v>545</v>
      </c>
      <c r="E44" t="b">
        <f t="shared" si="1"/>
        <v>1</v>
      </c>
    </row>
    <row r="45" spans="1:5">
      <c r="A45" s="85" t="s">
        <v>546</v>
      </c>
      <c r="D45" s="85" t="s">
        <v>546</v>
      </c>
      <c r="E45" t="b">
        <f t="shared" si="1"/>
        <v>1</v>
      </c>
    </row>
    <row r="46" spans="1:5">
      <c r="A46" s="85" t="s">
        <v>547</v>
      </c>
      <c r="D46" s="85" t="s">
        <v>547</v>
      </c>
      <c r="E46" t="b">
        <f t="shared" si="1"/>
        <v>1</v>
      </c>
    </row>
    <row r="47" spans="1:5">
      <c r="A47" s="85" t="s">
        <v>548</v>
      </c>
      <c r="D47" s="85" t="s">
        <v>548</v>
      </c>
      <c r="E47" t="b">
        <f t="shared" si="1"/>
        <v>1</v>
      </c>
    </row>
    <row r="48" spans="1:5">
      <c r="A48" s="85" t="s">
        <v>549</v>
      </c>
      <c r="D48" s="85" t="s">
        <v>549</v>
      </c>
      <c r="E48" t="b">
        <f t="shared" si="1"/>
        <v>1</v>
      </c>
    </row>
    <row r="49" spans="1:5">
      <c r="A49" s="85" t="s">
        <v>550</v>
      </c>
      <c r="D49" s="85" t="s">
        <v>550</v>
      </c>
      <c r="E49" t="b">
        <f t="shared" si="1"/>
        <v>1</v>
      </c>
    </row>
    <row r="50" spans="1:5">
      <c r="A50" s="85" t="s">
        <v>551</v>
      </c>
      <c r="D50" s="85" t="s">
        <v>551</v>
      </c>
      <c r="E50" t="b">
        <f t="shared" si="1"/>
        <v>1</v>
      </c>
    </row>
    <row r="51" spans="1:5">
      <c r="A51" s="85" t="s">
        <v>552</v>
      </c>
      <c r="D51" s="85" t="s">
        <v>552</v>
      </c>
      <c r="E51" t="b">
        <f t="shared" si="1"/>
        <v>1</v>
      </c>
    </row>
    <row r="52" spans="1:5">
      <c r="A52" s="85" t="s">
        <v>553</v>
      </c>
      <c r="D52" s="85" t="s">
        <v>553</v>
      </c>
      <c r="E52" t="b">
        <f t="shared" si="1"/>
        <v>1</v>
      </c>
    </row>
    <row r="53" spans="1:5">
      <c r="A53" s="85" t="s">
        <v>554</v>
      </c>
      <c r="D53" s="85" t="s">
        <v>554</v>
      </c>
      <c r="E53" t="b">
        <f t="shared" si="1"/>
        <v>1</v>
      </c>
    </row>
    <row r="54" spans="1:5">
      <c r="A54" s="85" t="s">
        <v>555</v>
      </c>
      <c r="D54" s="85" t="s">
        <v>555</v>
      </c>
      <c r="E54" t="b">
        <f t="shared" si="1"/>
        <v>1</v>
      </c>
    </row>
    <row r="55" spans="1:5">
      <c r="A55" s="85" t="s">
        <v>556</v>
      </c>
      <c r="D55" s="85" t="s">
        <v>556</v>
      </c>
      <c r="E55" t="b">
        <f t="shared" si="1"/>
        <v>1</v>
      </c>
    </row>
    <row r="56" spans="1:5">
      <c r="A56" s="85" t="s">
        <v>557</v>
      </c>
      <c r="D56" s="85" t="s">
        <v>557</v>
      </c>
      <c r="E56" t="b">
        <f t="shared" si="1"/>
        <v>1</v>
      </c>
    </row>
    <row r="57" spans="1:5">
      <c r="A57" s="85" t="s">
        <v>558</v>
      </c>
      <c r="D57" s="85" t="s">
        <v>558</v>
      </c>
      <c r="E57" t="b">
        <f t="shared" si="1"/>
        <v>1</v>
      </c>
    </row>
    <row r="58" spans="1:5">
      <c r="A58" s="85" t="s">
        <v>559</v>
      </c>
      <c r="D58" s="85" t="s">
        <v>559</v>
      </c>
      <c r="E58" t="b">
        <f t="shared" si="1"/>
        <v>1</v>
      </c>
    </row>
    <row r="59" spans="1:5">
      <c r="A59" s="85" t="s">
        <v>560</v>
      </c>
      <c r="D59" s="85" t="s">
        <v>560</v>
      </c>
      <c r="E59" t="b">
        <f t="shared" si="1"/>
        <v>1</v>
      </c>
    </row>
    <row r="60" spans="1:5">
      <c r="A60" s="85" t="s">
        <v>561</v>
      </c>
      <c r="D60" s="85" t="s">
        <v>561</v>
      </c>
      <c r="E60" t="b">
        <f t="shared" si="1"/>
        <v>1</v>
      </c>
    </row>
    <row r="61" spans="1:5">
      <c r="A61" s="85" t="s">
        <v>562</v>
      </c>
      <c r="D61" s="85" t="s">
        <v>562</v>
      </c>
      <c r="E61" t="b">
        <f t="shared" si="1"/>
        <v>1</v>
      </c>
    </row>
    <row r="62" spans="1:5">
      <c r="A62" s="85" t="s">
        <v>563</v>
      </c>
      <c r="D62" s="85" t="s">
        <v>563</v>
      </c>
      <c r="E62" t="b">
        <f t="shared" si="1"/>
        <v>1</v>
      </c>
    </row>
    <row r="63" spans="1:5">
      <c r="A63" s="85" t="s">
        <v>564</v>
      </c>
      <c r="D63" s="85" t="s">
        <v>564</v>
      </c>
      <c r="E63" t="b">
        <f t="shared" si="1"/>
        <v>1</v>
      </c>
    </row>
    <row r="64" spans="1:5">
      <c r="A64" s="85" t="s">
        <v>565</v>
      </c>
      <c r="D64" s="85" t="s">
        <v>565</v>
      </c>
      <c r="E64" t="b">
        <f t="shared" si="1"/>
        <v>1</v>
      </c>
    </row>
    <row r="65" spans="1:5">
      <c r="A65" s="85" t="s">
        <v>566</v>
      </c>
      <c r="D65" s="85" t="s">
        <v>566</v>
      </c>
      <c r="E65" t="b">
        <f t="shared" si="1"/>
        <v>1</v>
      </c>
    </row>
    <row r="66" spans="1:5">
      <c r="A66" s="85" t="s">
        <v>567</v>
      </c>
      <c r="D66" s="85" t="s">
        <v>567</v>
      </c>
      <c r="E66" t="b">
        <f t="shared" si="1"/>
        <v>1</v>
      </c>
    </row>
    <row r="67" spans="1:5">
      <c r="A67" s="85" t="s">
        <v>568</v>
      </c>
      <c r="D67" s="85" t="s">
        <v>568</v>
      </c>
      <c r="E67" t="b">
        <f t="shared" ref="E67:E130" si="2">D67=A67</f>
        <v>1</v>
      </c>
    </row>
    <row r="68" spans="1:5">
      <c r="A68" s="85" t="s">
        <v>569</v>
      </c>
      <c r="D68" s="85" t="s">
        <v>569</v>
      </c>
      <c r="E68" t="b">
        <f t="shared" si="2"/>
        <v>1</v>
      </c>
    </row>
    <row r="69" spans="1:5">
      <c r="A69" s="85" t="s">
        <v>570</v>
      </c>
      <c r="D69" s="85" t="s">
        <v>570</v>
      </c>
      <c r="E69" t="b">
        <f t="shared" si="2"/>
        <v>1</v>
      </c>
    </row>
    <row r="70" spans="1:5">
      <c r="A70" s="85" t="s">
        <v>571</v>
      </c>
      <c r="D70" s="85" t="s">
        <v>571</v>
      </c>
      <c r="E70" t="b">
        <f t="shared" si="2"/>
        <v>1</v>
      </c>
    </row>
    <row r="71" spans="1:5">
      <c r="A71" s="85" t="s">
        <v>572</v>
      </c>
      <c r="D71" s="85" t="s">
        <v>572</v>
      </c>
      <c r="E71" t="b">
        <f t="shared" si="2"/>
        <v>1</v>
      </c>
    </row>
    <row r="72" spans="1:5">
      <c r="A72" s="85" t="s">
        <v>573</v>
      </c>
      <c r="D72" s="85" t="s">
        <v>573</v>
      </c>
      <c r="E72" t="b">
        <f t="shared" si="2"/>
        <v>1</v>
      </c>
    </row>
    <row r="73" spans="1:5">
      <c r="A73" s="85" t="s">
        <v>574</v>
      </c>
      <c r="D73" s="85" t="s">
        <v>574</v>
      </c>
      <c r="E73" t="b">
        <f t="shared" si="2"/>
        <v>1</v>
      </c>
    </row>
    <row r="74" spans="1:5">
      <c r="A74" s="85" t="s">
        <v>575</v>
      </c>
      <c r="D74" s="85" t="s">
        <v>575</v>
      </c>
      <c r="E74" t="b">
        <f t="shared" si="2"/>
        <v>1</v>
      </c>
    </row>
    <row r="75" spans="1:5">
      <c r="A75" s="85" t="s">
        <v>576</v>
      </c>
      <c r="D75" s="85" t="s">
        <v>576</v>
      </c>
      <c r="E75" t="b">
        <f t="shared" si="2"/>
        <v>1</v>
      </c>
    </row>
    <row r="76" spans="1:5">
      <c r="A76" s="85" t="s">
        <v>577</v>
      </c>
      <c r="D76" s="85" t="s">
        <v>577</v>
      </c>
      <c r="E76" t="b">
        <f t="shared" si="2"/>
        <v>1</v>
      </c>
    </row>
    <row r="77" spans="1:5">
      <c r="A77" s="85" t="s">
        <v>578</v>
      </c>
      <c r="D77" s="85" t="s">
        <v>578</v>
      </c>
      <c r="E77" t="b">
        <f t="shared" si="2"/>
        <v>1</v>
      </c>
    </row>
    <row r="78" spans="1:5">
      <c r="A78" s="85" t="s">
        <v>579</v>
      </c>
      <c r="D78" s="85" t="s">
        <v>579</v>
      </c>
      <c r="E78" t="b">
        <f t="shared" si="2"/>
        <v>1</v>
      </c>
    </row>
    <row r="79" spans="1:5">
      <c r="A79" s="85" t="s">
        <v>580</v>
      </c>
      <c r="D79" s="85" t="s">
        <v>580</v>
      </c>
      <c r="E79" t="b">
        <f t="shared" si="2"/>
        <v>1</v>
      </c>
    </row>
    <row r="80" spans="1:5">
      <c r="A80" s="85" t="s">
        <v>581</v>
      </c>
      <c r="D80" s="85" t="s">
        <v>581</v>
      </c>
      <c r="E80" t="b">
        <f t="shared" si="2"/>
        <v>1</v>
      </c>
    </row>
    <row r="81" spans="1:5">
      <c r="A81" s="85" t="s">
        <v>582</v>
      </c>
      <c r="D81" s="85" t="s">
        <v>582</v>
      </c>
      <c r="E81" t="b">
        <f t="shared" si="2"/>
        <v>1</v>
      </c>
    </row>
    <row r="82" spans="1:5">
      <c r="A82" s="85" t="s">
        <v>583</v>
      </c>
      <c r="D82" s="85" t="s">
        <v>583</v>
      </c>
      <c r="E82" t="b">
        <f t="shared" si="2"/>
        <v>1</v>
      </c>
    </row>
    <row r="83" spans="1:5">
      <c r="A83" s="85" t="s">
        <v>584</v>
      </c>
      <c r="D83" s="85" t="s">
        <v>584</v>
      </c>
      <c r="E83" t="b">
        <f t="shared" si="2"/>
        <v>1</v>
      </c>
    </row>
    <row r="84" spans="1:5">
      <c r="A84" s="85" t="s">
        <v>585</v>
      </c>
      <c r="D84" s="85" t="s">
        <v>585</v>
      </c>
      <c r="E84" t="b">
        <f t="shared" si="2"/>
        <v>1</v>
      </c>
    </row>
    <row r="85" spans="1:5">
      <c r="A85" s="85" t="s">
        <v>586</v>
      </c>
      <c r="D85" s="85" t="s">
        <v>586</v>
      </c>
      <c r="E85" t="b">
        <f t="shared" si="2"/>
        <v>1</v>
      </c>
    </row>
    <row r="86" spans="1:5">
      <c r="A86" s="85" t="s">
        <v>587</v>
      </c>
      <c r="D86" s="85" t="s">
        <v>587</v>
      </c>
      <c r="E86" t="b">
        <f t="shared" si="2"/>
        <v>1</v>
      </c>
    </row>
    <row r="87" spans="1:5">
      <c r="A87" s="85" t="s">
        <v>588</v>
      </c>
      <c r="D87" s="85" t="s">
        <v>588</v>
      </c>
      <c r="E87" t="b">
        <f t="shared" si="2"/>
        <v>1</v>
      </c>
    </row>
    <row r="88" spans="1:5">
      <c r="A88" s="85" t="s">
        <v>589</v>
      </c>
      <c r="D88" s="85" t="s">
        <v>589</v>
      </c>
      <c r="E88" t="b">
        <f t="shared" si="2"/>
        <v>1</v>
      </c>
    </row>
    <row r="89" spans="1:5">
      <c r="A89" s="85" t="s">
        <v>590</v>
      </c>
      <c r="D89" s="85" t="s">
        <v>590</v>
      </c>
      <c r="E89" t="b">
        <f t="shared" si="2"/>
        <v>1</v>
      </c>
    </row>
    <row r="90" spans="1:5">
      <c r="A90" s="85" t="s">
        <v>591</v>
      </c>
      <c r="D90" s="85" t="s">
        <v>591</v>
      </c>
      <c r="E90" t="b">
        <f t="shared" si="2"/>
        <v>1</v>
      </c>
    </row>
    <row r="91" spans="1:5">
      <c r="A91" s="85" t="s">
        <v>592</v>
      </c>
      <c r="D91" s="85" t="s">
        <v>592</v>
      </c>
      <c r="E91" t="b">
        <f t="shared" si="2"/>
        <v>1</v>
      </c>
    </row>
    <row r="92" spans="1:5">
      <c r="A92" s="85" t="s">
        <v>593</v>
      </c>
      <c r="D92" s="85" t="s">
        <v>593</v>
      </c>
      <c r="E92" t="b">
        <f t="shared" si="2"/>
        <v>1</v>
      </c>
    </row>
    <row r="93" spans="1:5">
      <c r="A93" s="85" t="s">
        <v>594</v>
      </c>
      <c r="D93" s="85" t="s">
        <v>594</v>
      </c>
      <c r="E93" t="b">
        <f t="shared" si="2"/>
        <v>1</v>
      </c>
    </row>
    <row r="94" spans="1:5">
      <c r="A94" s="85" t="s">
        <v>595</v>
      </c>
      <c r="D94" s="85" t="s">
        <v>595</v>
      </c>
      <c r="E94" t="b">
        <f t="shared" si="2"/>
        <v>1</v>
      </c>
    </row>
    <row r="95" spans="1:5">
      <c r="A95" s="85" t="s">
        <v>596</v>
      </c>
      <c r="D95" s="85" t="s">
        <v>596</v>
      </c>
      <c r="E95" t="b">
        <f t="shared" si="2"/>
        <v>1</v>
      </c>
    </row>
    <row r="96" spans="1:5">
      <c r="A96" s="85" t="s">
        <v>597</v>
      </c>
      <c r="D96" s="85" t="s">
        <v>597</v>
      </c>
      <c r="E96" t="b">
        <f t="shared" si="2"/>
        <v>1</v>
      </c>
    </row>
    <row r="97" spans="1:5">
      <c r="A97" s="85" t="s">
        <v>598</v>
      </c>
      <c r="D97" s="85" t="s">
        <v>598</v>
      </c>
      <c r="E97" t="b">
        <f t="shared" si="2"/>
        <v>1</v>
      </c>
    </row>
    <row r="98" spans="1:5">
      <c r="A98" s="85" t="s">
        <v>599</v>
      </c>
      <c r="D98" s="85" t="s">
        <v>599</v>
      </c>
      <c r="E98" t="b">
        <f t="shared" si="2"/>
        <v>1</v>
      </c>
    </row>
    <row r="99" spans="1:5">
      <c r="A99" s="85" t="s">
        <v>600</v>
      </c>
      <c r="D99" s="85" t="s">
        <v>600</v>
      </c>
      <c r="E99" t="b">
        <f t="shared" si="2"/>
        <v>1</v>
      </c>
    </row>
    <row r="100" spans="1:5">
      <c r="A100" s="85" t="s">
        <v>601</v>
      </c>
      <c r="D100" s="85" t="s">
        <v>601</v>
      </c>
      <c r="E100" t="b">
        <f t="shared" si="2"/>
        <v>1</v>
      </c>
    </row>
    <row r="101" spans="1:5">
      <c r="A101" s="85" t="s">
        <v>602</v>
      </c>
      <c r="D101" s="85" t="s">
        <v>602</v>
      </c>
      <c r="E101" t="b">
        <f t="shared" si="2"/>
        <v>1</v>
      </c>
    </row>
    <row r="102" spans="1:5">
      <c r="A102" s="85" t="s">
        <v>603</v>
      </c>
      <c r="D102" s="85" t="s">
        <v>603</v>
      </c>
      <c r="E102" t="b">
        <f t="shared" si="2"/>
        <v>1</v>
      </c>
    </row>
    <row r="103" spans="1:5">
      <c r="A103" s="85" t="s">
        <v>604</v>
      </c>
      <c r="D103" s="85" t="s">
        <v>604</v>
      </c>
      <c r="E103" t="b">
        <f t="shared" si="2"/>
        <v>1</v>
      </c>
    </row>
    <row r="104" spans="1:5">
      <c r="A104" s="85" t="s">
        <v>605</v>
      </c>
      <c r="D104" s="85" t="s">
        <v>605</v>
      </c>
      <c r="E104" t="b">
        <f t="shared" si="2"/>
        <v>1</v>
      </c>
    </row>
    <row r="105" spans="1:5">
      <c r="A105" s="85" t="s">
        <v>606</v>
      </c>
      <c r="D105" s="85" t="s">
        <v>606</v>
      </c>
      <c r="E105" t="b">
        <f t="shared" si="2"/>
        <v>1</v>
      </c>
    </row>
    <row r="106" spans="1:5">
      <c r="A106" s="85" t="s">
        <v>607</v>
      </c>
      <c r="D106" s="85" t="s">
        <v>607</v>
      </c>
      <c r="E106" t="b">
        <f t="shared" si="2"/>
        <v>1</v>
      </c>
    </row>
    <row r="107" spans="1:5">
      <c r="A107" s="85" t="s">
        <v>608</v>
      </c>
      <c r="D107" s="85" t="s">
        <v>608</v>
      </c>
      <c r="E107" t="b">
        <f t="shared" si="2"/>
        <v>1</v>
      </c>
    </row>
    <row r="108" spans="1:5">
      <c r="A108" s="85" t="s">
        <v>609</v>
      </c>
      <c r="D108" s="85" t="s">
        <v>609</v>
      </c>
      <c r="E108" t="b">
        <f t="shared" si="2"/>
        <v>1</v>
      </c>
    </row>
    <row r="109" spans="1:5">
      <c r="A109" s="85" t="s">
        <v>610</v>
      </c>
      <c r="D109" s="85" t="s">
        <v>610</v>
      </c>
      <c r="E109" t="b">
        <f t="shared" si="2"/>
        <v>1</v>
      </c>
    </row>
    <row r="110" spans="1:5">
      <c r="A110" s="85" t="s">
        <v>611</v>
      </c>
      <c r="D110" s="85" t="s">
        <v>611</v>
      </c>
      <c r="E110" t="b">
        <f t="shared" si="2"/>
        <v>1</v>
      </c>
    </row>
    <row r="111" spans="1:5">
      <c r="A111" s="85" t="s">
        <v>612</v>
      </c>
      <c r="D111" s="85" t="s">
        <v>612</v>
      </c>
      <c r="E111" t="b">
        <f t="shared" si="2"/>
        <v>1</v>
      </c>
    </row>
    <row r="112" spans="1:5">
      <c r="A112" s="85" t="s">
        <v>613</v>
      </c>
      <c r="D112" s="85" t="s">
        <v>613</v>
      </c>
      <c r="E112" t="b">
        <f t="shared" si="2"/>
        <v>1</v>
      </c>
    </row>
    <row r="113" spans="1:5">
      <c r="A113" s="85" t="s">
        <v>614</v>
      </c>
      <c r="D113" s="85" t="s">
        <v>614</v>
      </c>
      <c r="E113" t="b">
        <f t="shared" si="2"/>
        <v>1</v>
      </c>
    </row>
    <row r="114" spans="1:5">
      <c r="A114" s="85" t="s">
        <v>615</v>
      </c>
      <c r="D114" s="85" t="s">
        <v>615</v>
      </c>
      <c r="E114" t="b">
        <f t="shared" si="2"/>
        <v>1</v>
      </c>
    </row>
    <row r="115" spans="1:5">
      <c r="A115" s="85" t="s">
        <v>616</v>
      </c>
      <c r="D115" s="85" t="s">
        <v>616</v>
      </c>
      <c r="E115" t="b">
        <f t="shared" si="2"/>
        <v>1</v>
      </c>
    </row>
    <row r="116" spans="1:5">
      <c r="A116" s="85" t="s">
        <v>617</v>
      </c>
      <c r="D116" s="85" t="s">
        <v>617</v>
      </c>
      <c r="E116" t="b">
        <f t="shared" si="2"/>
        <v>1</v>
      </c>
    </row>
    <row r="117" spans="1:5">
      <c r="A117" s="85" t="s">
        <v>618</v>
      </c>
      <c r="D117" s="85" t="s">
        <v>618</v>
      </c>
      <c r="E117" t="b">
        <f t="shared" si="2"/>
        <v>1</v>
      </c>
    </row>
    <row r="118" spans="1:5">
      <c r="A118" s="85" t="s">
        <v>619</v>
      </c>
      <c r="D118" s="85" t="s">
        <v>619</v>
      </c>
      <c r="E118" t="b">
        <f t="shared" si="2"/>
        <v>1</v>
      </c>
    </row>
    <row r="119" spans="1:5">
      <c r="A119" s="85" t="s">
        <v>620</v>
      </c>
      <c r="D119" s="85" t="s">
        <v>620</v>
      </c>
      <c r="E119" t="b">
        <f t="shared" si="2"/>
        <v>1</v>
      </c>
    </row>
    <row r="120" spans="1:5">
      <c r="A120" s="85" t="s">
        <v>621</v>
      </c>
      <c r="D120" s="85" t="s">
        <v>621</v>
      </c>
      <c r="E120" t="b">
        <f t="shared" si="2"/>
        <v>1</v>
      </c>
    </row>
    <row r="121" spans="1:5">
      <c r="A121" s="85" t="s">
        <v>622</v>
      </c>
      <c r="D121" s="85" t="s">
        <v>622</v>
      </c>
      <c r="E121" t="b">
        <f t="shared" si="2"/>
        <v>1</v>
      </c>
    </row>
    <row r="122" spans="1:5">
      <c r="A122" s="85" t="s">
        <v>623</v>
      </c>
      <c r="D122" s="85" t="s">
        <v>623</v>
      </c>
      <c r="E122" t="b">
        <f t="shared" si="2"/>
        <v>1</v>
      </c>
    </row>
    <row r="123" spans="1:5">
      <c r="A123" s="85" t="s">
        <v>624</v>
      </c>
      <c r="D123" s="85" t="s">
        <v>624</v>
      </c>
      <c r="E123" t="b">
        <f t="shared" si="2"/>
        <v>1</v>
      </c>
    </row>
    <row r="124" spans="1:5">
      <c r="A124" s="85" t="s">
        <v>625</v>
      </c>
      <c r="D124" s="85" t="s">
        <v>625</v>
      </c>
      <c r="E124" t="b">
        <f t="shared" si="2"/>
        <v>1</v>
      </c>
    </row>
    <row r="125" spans="1:5">
      <c r="A125" s="85" t="s">
        <v>626</v>
      </c>
      <c r="D125" s="85" t="s">
        <v>626</v>
      </c>
      <c r="E125" t="b">
        <f t="shared" si="2"/>
        <v>1</v>
      </c>
    </row>
    <row r="126" spans="1:5">
      <c r="A126" s="85" t="s">
        <v>627</v>
      </c>
      <c r="D126" s="85" t="s">
        <v>627</v>
      </c>
      <c r="E126" t="b">
        <f t="shared" si="2"/>
        <v>1</v>
      </c>
    </row>
    <row r="127" spans="1:5">
      <c r="A127" s="85" t="s">
        <v>628</v>
      </c>
      <c r="D127" s="85" t="s">
        <v>628</v>
      </c>
      <c r="E127" t="b">
        <f t="shared" si="2"/>
        <v>1</v>
      </c>
    </row>
    <row r="128" spans="1:5">
      <c r="A128" s="85" t="s">
        <v>629</v>
      </c>
      <c r="D128" s="85" t="s">
        <v>629</v>
      </c>
      <c r="E128" t="b">
        <f t="shared" si="2"/>
        <v>1</v>
      </c>
    </row>
    <row r="129" spans="1:5">
      <c r="A129" s="85" t="s">
        <v>630</v>
      </c>
      <c r="D129" s="85" t="s">
        <v>630</v>
      </c>
      <c r="E129" t="b">
        <f t="shared" si="2"/>
        <v>1</v>
      </c>
    </row>
    <row r="130" spans="1:5">
      <c r="A130" s="85" t="s">
        <v>631</v>
      </c>
      <c r="D130" s="85" t="s">
        <v>631</v>
      </c>
      <c r="E130" t="b">
        <f t="shared" si="2"/>
        <v>1</v>
      </c>
    </row>
    <row r="131" spans="1:5">
      <c r="A131" s="85" t="s">
        <v>632</v>
      </c>
      <c r="D131" s="85" t="s">
        <v>632</v>
      </c>
      <c r="E131" t="b">
        <f t="shared" ref="E131:E194" si="3">D131=A131</f>
        <v>1</v>
      </c>
    </row>
    <row r="132" spans="1:5">
      <c r="A132" s="85" t="s">
        <v>633</v>
      </c>
      <c r="D132" s="85" t="s">
        <v>633</v>
      </c>
      <c r="E132" t="b">
        <f t="shared" si="3"/>
        <v>1</v>
      </c>
    </row>
    <row r="133" spans="1:5">
      <c r="A133" s="85" t="s">
        <v>634</v>
      </c>
      <c r="D133" s="85" t="s">
        <v>634</v>
      </c>
      <c r="E133" t="b">
        <f t="shared" si="3"/>
        <v>1</v>
      </c>
    </row>
    <row r="134" spans="1:5">
      <c r="A134" s="85" t="s">
        <v>635</v>
      </c>
      <c r="D134" s="85" t="s">
        <v>635</v>
      </c>
      <c r="E134" t="b">
        <f t="shared" si="3"/>
        <v>1</v>
      </c>
    </row>
    <row r="135" spans="1:5">
      <c r="A135" s="85" t="s">
        <v>636</v>
      </c>
      <c r="D135" s="85" t="s">
        <v>636</v>
      </c>
      <c r="E135" t="b">
        <f t="shared" si="3"/>
        <v>1</v>
      </c>
    </row>
    <row r="136" spans="1:5">
      <c r="A136" s="85" t="s">
        <v>637</v>
      </c>
      <c r="D136" s="85" t="s">
        <v>637</v>
      </c>
      <c r="E136" t="b">
        <f t="shared" si="3"/>
        <v>1</v>
      </c>
    </row>
    <row r="137" spans="1:5">
      <c r="A137" s="85" t="s">
        <v>638</v>
      </c>
      <c r="D137" s="85" t="s">
        <v>638</v>
      </c>
      <c r="E137" t="b">
        <f t="shared" si="3"/>
        <v>1</v>
      </c>
    </row>
    <row r="138" spans="1:5">
      <c r="A138" s="85" t="s">
        <v>639</v>
      </c>
      <c r="D138" s="85" t="s">
        <v>639</v>
      </c>
      <c r="E138" t="b">
        <f t="shared" si="3"/>
        <v>1</v>
      </c>
    </row>
    <row r="139" spans="1:5">
      <c r="A139" s="85" t="s">
        <v>640</v>
      </c>
      <c r="D139" s="85" t="s">
        <v>640</v>
      </c>
      <c r="E139" t="b">
        <f t="shared" si="3"/>
        <v>1</v>
      </c>
    </row>
    <row r="140" spans="1:5">
      <c r="A140" s="85" t="s">
        <v>641</v>
      </c>
      <c r="D140" s="85" t="s">
        <v>641</v>
      </c>
      <c r="E140" t="b">
        <f t="shared" si="3"/>
        <v>1</v>
      </c>
    </row>
    <row r="141" spans="1:5">
      <c r="A141" s="85" t="s">
        <v>642</v>
      </c>
      <c r="D141" s="85" t="s">
        <v>642</v>
      </c>
      <c r="E141" t="b">
        <f t="shared" si="3"/>
        <v>1</v>
      </c>
    </row>
    <row r="142" spans="1:5">
      <c r="A142" s="85" t="s">
        <v>643</v>
      </c>
      <c r="D142" s="85" t="s">
        <v>643</v>
      </c>
      <c r="E142" t="b">
        <f t="shared" si="3"/>
        <v>1</v>
      </c>
    </row>
    <row r="143" spans="1:5">
      <c r="A143" s="85" t="s">
        <v>644</v>
      </c>
      <c r="D143" s="85" t="s">
        <v>644</v>
      </c>
      <c r="E143" t="b">
        <f t="shared" si="3"/>
        <v>1</v>
      </c>
    </row>
    <row r="144" spans="1:5">
      <c r="A144" s="85" t="s">
        <v>645</v>
      </c>
      <c r="D144" s="85" t="s">
        <v>645</v>
      </c>
      <c r="E144" t="b">
        <f t="shared" si="3"/>
        <v>1</v>
      </c>
    </row>
    <row r="145" spans="1:5">
      <c r="A145" s="85" t="s">
        <v>646</v>
      </c>
      <c r="D145" s="85" t="s">
        <v>646</v>
      </c>
      <c r="E145" t="b">
        <f t="shared" si="3"/>
        <v>1</v>
      </c>
    </row>
    <row r="146" spans="1:5">
      <c r="A146" s="85" t="s">
        <v>647</v>
      </c>
      <c r="D146" s="85" t="s">
        <v>647</v>
      </c>
      <c r="E146" t="b">
        <f t="shared" si="3"/>
        <v>1</v>
      </c>
    </row>
    <row r="147" spans="1:5">
      <c r="A147" s="85" t="s">
        <v>648</v>
      </c>
      <c r="D147" s="85" t="s">
        <v>648</v>
      </c>
      <c r="E147" t="b">
        <f t="shared" si="3"/>
        <v>1</v>
      </c>
    </row>
    <row r="148" spans="1:5">
      <c r="A148" s="85" t="s">
        <v>649</v>
      </c>
      <c r="D148" s="85" t="s">
        <v>649</v>
      </c>
      <c r="E148" t="b">
        <f t="shared" si="3"/>
        <v>1</v>
      </c>
    </row>
    <row r="149" spans="1:5">
      <c r="A149" s="85" t="s">
        <v>650</v>
      </c>
      <c r="D149" s="85" t="s">
        <v>650</v>
      </c>
      <c r="E149" t="b">
        <f t="shared" si="3"/>
        <v>1</v>
      </c>
    </row>
    <row r="150" spans="1:5">
      <c r="A150" s="85" t="s">
        <v>651</v>
      </c>
      <c r="D150" s="85" t="s">
        <v>651</v>
      </c>
      <c r="E150" t="b">
        <f t="shared" si="3"/>
        <v>1</v>
      </c>
    </row>
    <row r="151" spans="1:5">
      <c r="A151" s="85" t="s">
        <v>652</v>
      </c>
      <c r="D151" s="85" t="s">
        <v>652</v>
      </c>
      <c r="E151" t="b">
        <f t="shared" si="3"/>
        <v>1</v>
      </c>
    </row>
    <row r="152" spans="1:5">
      <c r="A152" s="85" t="s">
        <v>653</v>
      </c>
      <c r="D152" s="85" t="s">
        <v>653</v>
      </c>
      <c r="E152" t="b">
        <f t="shared" si="3"/>
        <v>1</v>
      </c>
    </row>
    <row r="153" spans="1:5">
      <c r="A153" s="85" t="s">
        <v>654</v>
      </c>
      <c r="D153" s="85" t="s">
        <v>654</v>
      </c>
      <c r="E153" t="b">
        <f t="shared" si="3"/>
        <v>1</v>
      </c>
    </row>
    <row r="154" spans="1:5">
      <c r="A154" s="85" t="s">
        <v>655</v>
      </c>
      <c r="D154" s="85" t="s">
        <v>655</v>
      </c>
      <c r="E154" t="b">
        <f t="shared" si="3"/>
        <v>1</v>
      </c>
    </row>
    <row r="155" spans="1:5">
      <c r="A155" s="85" t="s">
        <v>656</v>
      </c>
      <c r="D155" s="85" t="s">
        <v>656</v>
      </c>
      <c r="E155" t="b">
        <f t="shared" si="3"/>
        <v>1</v>
      </c>
    </row>
    <row r="156" spans="1:5">
      <c r="A156" s="85" t="s">
        <v>657</v>
      </c>
      <c r="D156" s="85" t="s">
        <v>657</v>
      </c>
      <c r="E156" t="b">
        <f t="shared" si="3"/>
        <v>1</v>
      </c>
    </row>
    <row r="157" spans="1:5">
      <c r="A157" s="85" t="s">
        <v>658</v>
      </c>
      <c r="D157" s="85" t="s">
        <v>658</v>
      </c>
      <c r="E157" t="b">
        <f t="shared" si="3"/>
        <v>1</v>
      </c>
    </row>
    <row r="158" spans="1:5">
      <c r="A158" s="85" t="s">
        <v>659</v>
      </c>
      <c r="D158" s="85" t="s">
        <v>659</v>
      </c>
      <c r="E158" t="b">
        <f t="shared" si="3"/>
        <v>1</v>
      </c>
    </row>
    <row r="159" spans="1:5">
      <c r="A159" s="85" t="s">
        <v>660</v>
      </c>
      <c r="D159" s="85" t="s">
        <v>660</v>
      </c>
      <c r="E159" t="b">
        <f t="shared" si="3"/>
        <v>1</v>
      </c>
    </row>
    <row r="160" spans="1:5">
      <c r="A160" s="85" t="s">
        <v>661</v>
      </c>
      <c r="D160" s="85" t="s">
        <v>661</v>
      </c>
      <c r="E160" t="b">
        <f t="shared" si="3"/>
        <v>1</v>
      </c>
    </row>
    <row r="161" spans="1:5">
      <c r="A161" s="85" t="s">
        <v>662</v>
      </c>
      <c r="D161" s="85" t="s">
        <v>662</v>
      </c>
      <c r="E161" t="b">
        <f t="shared" si="3"/>
        <v>1</v>
      </c>
    </row>
    <row r="162" spans="1:5">
      <c r="A162" s="85" t="s">
        <v>663</v>
      </c>
      <c r="D162" s="85" t="s">
        <v>663</v>
      </c>
      <c r="E162" t="b">
        <f t="shared" si="3"/>
        <v>1</v>
      </c>
    </row>
    <row r="163" spans="1:5">
      <c r="A163" s="85" t="s">
        <v>664</v>
      </c>
      <c r="D163" s="85" t="s">
        <v>664</v>
      </c>
      <c r="E163" t="b">
        <f t="shared" si="3"/>
        <v>1</v>
      </c>
    </row>
    <row r="164" spans="1:5">
      <c r="A164" s="85" t="s">
        <v>665</v>
      </c>
      <c r="D164" s="85" t="s">
        <v>665</v>
      </c>
      <c r="E164" t="b">
        <f t="shared" si="3"/>
        <v>1</v>
      </c>
    </row>
    <row r="165" spans="1:5">
      <c r="A165" s="85" t="s">
        <v>666</v>
      </c>
      <c r="D165" s="85" t="s">
        <v>666</v>
      </c>
      <c r="E165" t="b">
        <f t="shared" si="3"/>
        <v>1</v>
      </c>
    </row>
    <row r="166" spans="1:5">
      <c r="A166" s="85" t="s">
        <v>667</v>
      </c>
      <c r="D166" s="85" t="s">
        <v>667</v>
      </c>
      <c r="E166" t="b">
        <f t="shared" si="3"/>
        <v>1</v>
      </c>
    </row>
    <row r="167" spans="1:5">
      <c r="A167" s="85" t="s">
        <v>668</v>
      </c>
      <c r="D167" s="85" t="s">
        <v>668</v>
      </c>
      <c r="E167" t="b">
        <f t="shared" si="3"/>
        <v>1</v>
      </c>
    </row>
    <row r="168" spans="1:5">
      <c r="A168" s="85" t="s">
        <v>669</v>
      </c>
      <c r="D168" s="85" t="s">
        <v>669</v>
      </c>
      <c r="E168" t="b">
        <f t="shared" si="3"/>
        <v>1</v>
      </c>
    </row>
    <row r="169" spans="1:5">
      <c r="A169" s="85" t="s">
        <v>670</v>
      </c>
      <c r="D169" s="85" t="s">
        <v>670</v>
      </c>
      <c r="E169" t="b">
        <f t="shared" si="3"/>
        <v>1</v>
      </c>
    </row>
    <row r="170" spans="1:5">
      <c r="A170" s="85" t="s">
        <v>671</v>
      </c>
      <c r="D170" s="85" t="s">
        <v>671</v>
      </c>
      <c r="E170" t="b">
        <f t="shared" si="3"/>
        <v>1</v>
      </c>
    </row>
    <row r="171" spans="1:5">
      <c r="A171" s="85" t="s">
        <v>672</v>
      </c>
      <c r="D171" s="85" t="s">
        <v>672</v>
      </c>
      <c r="E171" t="b">
        <f t="shared" si="3"/>
        <v>1</v>
      </c>
    </row>
    <row r="172" spans="1:5">
      <c r="A172" s="85" t="s">
        <v>673</v>
      </c>
      <c r="D172" s="85" t="s">
        <v>673</v>
      </c>
      <c r="E172" t="b">
        <f t="shared" si="3"/>
        <v>1</v>
      </c>
    </row>
    <row r="173" spans="1:5">
      <c r="A173" s="85" t="s">
        <v>674</v>
      </c>
      <c r="D173" s="85" t="s">
        <v>674</v>
      </c>
      <c r="E173" t="b">
        <f t="shared" si="3"/>
        <v>1</v>
      </c>
    </row>
    <row r="174" spans="1:5">
      <c r="A174" s="85" t="s">
        <v>675</v>
      </c>
      <c r="D174" s="85" t="s">
        <v>675</v>
      </c>
      <c r="E174" t="b">
        <f t="shared" si="3"/>
        <v>1</v>
      </c>
    </row>
    <row r="175" spans="1:5">
      <c r="A175" s="85" t="s">
        <v>676</v>
      </c>
      <c r="D175" s="85" t="s">
        <v>676</v>
      </c>
      <c r="E175" t="b">
        <f t="shared" si="3"/>
        <v>1</v>
      </c>
    </row>
    <row r="176" spans="1:5">
      <c r="A176" s="85" t="s">
        <v>677</v>
      </c>
      <c r="D176" s="85" t="s">
        <v>677</v>
      </c>
      <c r="E176" t="b">
        <f t="shared" si="3"/>
        <v>1</v>
      </c>
    </row>
    <row r="177" spans="1:5">
      <c r="A177" s="85" t="s">
        <v>678</v>
      </c>
      <c r="D177" s="85" t="s">
        <v>678</v>
      </c>
      <c r="E177" t="b">
        <f t="shared" si="3"/>
        <v>1</v>
      </c>
    </row>
    <row r="178" spans="1:5">
      <c r="A178" s="85" t="s">
        <v>679</v>
      </c>
      <c r="D178" s="85" t="s">
        <v>679</v>
      </c>
      <c r="E178" t="b">
        <f t="shared" si="3"/>
        <v>1</v>
      </c>
    </row>
    <row r="179" spans="1:5">
      <c r="A179" s="85" t="s">
        <v>680</v>
      </c>
      <c r="D179" s="85" t="s">
        <v>680</v>
      </c>
      <c r="E179" t="b">
        <f t="shared" si="3"/>
        <v>1</v>
      </c>
    </row>
    <row r="180" spans="1:5">
      <c r="A180" s="85" t="s">
        <v>681</v>
      </c>
      <c r="D180" s="85" t="s">
        <v>681</v>
      </c>
      <c r="E180" t="b">
        <f t="shared" si="3"/>
        <v>1</v>
      </c>
    </row>
    <row r="181" spans="1:5">
      <c r="A181" s="85" t="s">
        <v>682</v>
      </c>
      <c r="D181" s="85" t="s">
        <v>682</v>
      </c>
      <c r="E181" t="b">
        <f t="shared" si="3"/>
        <v>1</v>
      </c>
    </row>
    <row r="182" spans="1:5">
      <c r="A182" s="85" t="s">
        <v>683</v>
      </c>
      <c r="D182" s="85" t="s">
        <v>683</v>
      </c>
      <c r="E182" t="b">
        <f t="shared" si="3"/>
        <v>1</v>
      </c>
    </row>
    <row r="183" spans="1:5">
      <c r="A183" s="85" t="s">
        <v>684</v>
      </c>
      <c r="D183" s="85" t="s">
        <v>684</v>
      </c>
      <c r="E183" t="b">
        <f t="shared" si="3"/>
        <v>1</v>
      </c>
    </row>
    <row r="184" spans="1:5">
      <c r="A184" s="85" t="s">
        <v>685</v>
      </c>
      <c r="D184" s="85" t="s">
        <v>685</v>
      </c>
      <c r="E184" t="b">
        <f t="shared" si="3"/>
        <v>1</v>
      </c>
    </row>
    <row r="185" spans="1:5">
      <c r="A185" s="85" t="s">
        <v>686</v>
      </c>
      <c r="D185" s="85" t="s">
        <v>686</v>
      </c>
      <c r="E185" t="b">
        <f t="shared" si="3"/>
        <v>1</v>
      </c>
    </row>
    <row r="186" spans="1:5">
      <c r="A186" s="85" t="s">
        <v>687</v>
      </c>
      <c r="D186" s="85" t="s">
        <v>687</v>
      </c>
      <c r="E186" t="b">
        <f t="shared" si="3"/>
        <v>1</v>
      </c>
    </row>
    <row r="187" spans="1:5">
      <c r="A187" s="85" t="s">
        <v>688</v>
      </c>
      <c r="D187" s="85" t="s">
        <v>688</v>
      </c>
      <c r="E187" t="b">
        <f t="shared" si="3"/>
        <v>1</v>
      </c>
    </row>
    <row r="188" spans="1:5">
      <c r="A188" s="85" t="s">
        <v>689</v>
      </c>
      <c r="D188" s="85" t="s">
        <v>689</v>
      </c>
      <c r="E188" t="b">
        <f t="shared" si="3"/>
        <v>1</v>
      </c>
    </row>
    <row r="189" spans="1:5">
      <c r="A189" s="85" t="s">
        <v>690</v>
      </c>
      <c r="D189" s="85" t="s">
        <v>690</v>
      </c>
      <c r="E189" t="b">
        <f t="shared" si="3"/>
        <v>1</v>
      </c>
    </row>
    <row r="190" spans="1:5">
      <c r="A190" s="85" t="s">
        <v>691</v>
      </c>
      <c r="D190" s="85" t="s">
        <v>691</v>
      </c>
      <c r="E190" t="b">
        <f t="shared" si="3"/>
        <v>1</v>
      </c>
    </row>
    <row r="191" spans="1:5">
      <c r="A191" s="85" t="s">
        <v>692</v>
      </c>
      <c r="D191" s="85" t="s">
        <v>692</v>
      </c>
      <c r="E191" t="b">
        <f t="shared" si="3"/>
        <v>1</v>
      </c>
    </row>
    <row r="192" spans="1:5">
      <c r="A192" s="85" t="s">
        <v>693</v>
      </c>
      <c r="D192" s="85" t="s">
        <v>693</v>
      </c>
      <c r="E192" t="b">
        <f t="shared" si="3"/>
        <v>1</v>
      </c>
    </row>
    <row r="193" spans="1:5">
      <c r="A193" s="85" t="s">
        <v>694</v>
      </c>
      <c r="D193" s="85" t="s">
        <v>694</v>
      </c>
      <c r="E193" t="b">
        <f t="shared" si="3"/>
        <v>1</v>
      </c>
    </row>
    <row r="194" spans="1:5">
      <c r="A194" s="85" t="s">
        <v>695</v>
      </c>
      <c r="D194" s="85" t="s">
        <v>695</v>
      </c>
      <c r="E194" t="b">
        <f t="shared" si="3"/>
        <v>1</v>
      </c>
    </row>
    <row r="195" spans="1:5">
      <c r="A195" s="85" t="s">
        <v>696</v>
      </c>
      <c r="D195" s="85" t="s">
        <v>696</v>
      </c>
      <c r="E195" t="b">
        <f t="shared" ref="E195:E258" si="4">D195=A195</f>
        <v>1</v>
      </c>
    </row>
    <row r="196" spans="1:5">
      <c r="A196" s="85" t="s">
        <v>697</v>
      </c>
      <c r="D196" s="85" t="s">
        <v>697</v>
      </c>
      <c r="E196" t="b">
        <f t="shared" si="4"/>
        <v>1</v>
      </c>
    </row>
    <row r="197" spans="1:5">
      <c r="A197" s="85" t="s">
        <v>698</v>
      </c>
      <c r="D197" s="85" t="s">
        <v>698</v>
      </c>
      <c r="E197" t="b">
        <f t="shared" si="4"/>
        <v>1</v>
      </c>
    </row>
    <row r="198" spans="1:5">
      <c r="A198" s="85" t="s">
        <v>699</v>
      </c>
      <c r="D198" s="85" t="s">
        <v>699</v>
      </c>
      <c r="E198" t="b">
        <f t="shared" si="4"/>
        <v>1</v>
      </c>
    </row>
    <row r="199" spans="1:5">
      <c r="A199" s="85" t="s">
        <v>700</v>
      </c>
      <c r="D199" s="85" t="s">
        <v>700</v>
      </c>
      <c r="E199" t="b">
        <f t="shared" si="4"/>
        <v>1</v>
      </c>
    </row>
    <row r="200" spans="1:5">
      <c r="A200" s="85" t="s">
        <v>701</v>
      </c>
      <c r="D200" s="85" t="s">
        <v>701</v>
      </c>
      <c r="E200" t="b">
        <f t="shared" si="4"/>
        <v>1</v>
      </c>
    </row>
    <row r="201" spans="1:5">
      <c r="A201" s="85" t="s">
        <v>702</v>
      </c>
      <c r="D201" s="85" t="s">
        <v>702</v>
      </c>
      <c r="E201" t="b">
        <f t="shared" si="4"/>
        <v>1</v>
      </c>
    </row>
    <row r="202" spans="1:5">
      <c r="A202" s="85" t="s">
        <v>703</v>
      </c>
      <c r="D202" s="85" t="s">
        <v>703</v>
      </c>
      <c r="E202" t="b">
        <f t="shared" si="4"/>
        <v>1</v>
      </c>
    </row>
    <row r="203" spans="1:5">
      <c r="A203" s="85" t="s">
        <v>704</v>
      </c>
      <c r="D203" s="85" t="s">
        <v>704</v>
      </c>
      <c r="E203" t="b">
        <f t="shared" si="4"/>
        <v>1</v>
      </c>
    </row>
    <row r="204" spans="1:5">
      <c r="A204" s="85" t="s">
        <v>705</v>
      </c>
      <c r="D204" s="85" t="s">
        <v>705</v>
      </c>
      <c r="E204" t="b">
        <f t="shared" si="4"/>
        <v>1</v>
      </c>
    </row>
    <row r="205" spans="1:5">
      <c r="A205" s="85" t="s">
        <v>706</v>
      </c>
      <c r="D205" s="85" t="s">
        <v>706</v>
      </c>
      <c r="E205" t="b">
        <f t="shared" si="4"/>
        <v>1</v>
      </c>
    </row>
    <row r="206" spans="1:5">
      <c r="A206" s="85" t="s">
        <v>707</v>
      </c>
      <c r="D206" s="85" t="s">
        <v>707</v>
      </c>
      <c r="E206" t="b">
        <f t="shared" si="4"/>
        <v>1</v>
      </c>
    </row>
    <row r="207" spans="1:5">
      <c r="A207" s="85" t="s">
        <v>708</v>
      </c>
      <c r="D207" s="85" t="s">
        <v>708</v>
      </c>
      <c r="E207" t="b">
        <f t="shared" si="4"/>
        <v>1</v>
      </c>
    </row>
    <row r="208" spans="1:5">
      <c r="A208" s="85" t="s">
        <v>709</v>
      </c>
      <c r="D208" s="85" t="s">
        <v>709</v>
      </c>
      <c r="E208" t="b">
        <f t="shared" si="4"/>
        <v>1</v>
      </c>
    </row>
    <row r="209" spans="1:5">
      <c r="A209" s="85" t="s">
        <v>710</v>
      </c>
      <c r="D209" s="85" t="s">
        <v>710</v>
      </c>
      <c r="E209" t="b">
        <f t="shared" si="4"/>
        <v>1</v>
      </c>
    </row>
    <row r="210" spans="1:5">
      <c r="A210" s="85" t="s">
        <v>711</v>
      </c>
      <c r="D210" s="85" t="s">
        <v>711</v>
      </c>
      <c r="E210" t="b">
        <f t="shared" si="4"/>
        <v>1</v>
      </c>
    </row>
    <row r="211" spans="1:5">
      <c r="A211" s="85" t="s">
        <v>712</v>
      </c>
      <c r="D211" s="85" t="s">
        <v>712</v>
      </c>
      <c r="E211" t="b">
        <f t="shared" si="4"/>
        <v>1</v>
      </c>
    </row>
    <row r="212" spans="1:5">
      <c r="A212" s="85" t="s">
        <v>713</v>
      </c>
      <c r="D212" s="85" t="s">
        <v>713</v>
      </c>
      <c r="E212" t="b">
        <f t="shared" si="4"/>
        <v>1</v>
      </c>
    </row>
    <row r="213" spans="1:5">
      <c r="A213" s="85" t="s">
        <v>714</v>
      </c>
      <c r="D213" s="85" t="s">
        <v>714</v>
      </c>
      <c r="E213" t="b">
        <f t="shared" si="4"/>
        <v>1</v>
      </c>
    </row>
    <row r="214" spans="1:5">
      <c r="A214" s="85" t="s">
        <v>715</v>
      </c>
      <c r="D214" s="85" t="s">
        <v>715</v>
      </c>
      <c r="E214" t="b">
        <f t="shared" si="4"/>
        <v>1</v>
      </c>
    </row>
    <row r="215" spans="1:5">
      <c r="A215" s="85" t="s">
        <v>716</v>
      </c>
      <c r="D215" s="85" t="s">
        <v>716</v>
      </c>
      <c r="E215" t="b">
        <f t="shared" si="4"/>
        <v>1</v>
      </c>
    </row>
    <row r="216" spans="1:5">
      <c r="A216" s="85" t="s">
        <v>717</v>
      </c>
      <c r="D216" s="85" t="s">
        <v>717</v>
      </c>
      <c r="E216" t="b">
        <f t="shared" si="4"/>
        <v>1</v>
      </c>
    </row>
    <row r="217" spans="1:5">
      <c r="A217" s="85" t="s">
        <v>718</v>
      </c>
      <c r="D217" s="85" t="s">
        <v>718</v>
      </c>
      <c r="E217" t="b">
        <f t="shared" si="4"/>
        <v>1</v>
      </c>
    </row>
    <row r="218" spans="1:5">
      <c r="A218" s="85" t="s">
        <v>719</v>
      </c>
      <c r="D218" s="85" t="s">
        <v>719</v>
      </c>
      <c r="E218" t="b">
        <f t="shared" si="4"/>
        <v>1</v>
      </c>
    </row>
    <row r="219" spans="1:5">
      <c r="A219" s="85" t="s">
        <v>720</v>
      </c>
      <c r="D219" s="85" t="s">
        <v>720</v>
      </c>
      <c r="E219" t="b">
        <f t="shared" si="4"/>
        <v>1</v>
      </c>
    </row>
    <row r="220" spans="1:5">
      <c r="A220" s="85" t="s">
        <v>721</v>
      </c>
      <c r="D220" s="85" t="s">
        <v>721</v>
      </c>
      <c r="E220" t="b">
        <f t="shared" si="4"/>
        <v>1</v>
      </c>
    </row>
    <row r="221" spans="1:5">
      <c r="A221" s="85" t="s">
        <v>722</v>
      </c>
      <c r="D221" s="85" t="s">
        <v>722</v>
      </c>
      <c r="E221" t="b">
        <f t="shared" si="4"/>
        <v>1</v>
      </c>
    </row>
    <row r="222" spans="1:5">
      <c r="A222" s="85" t="s">
        <v>723</v>
      </c>
      <c r="D222" s="85" t="s">
        <v>723</v>
      </c>
      <c r="E222" t="b">
        <f t="shared" si="4"/>
        <v>1</v>
      </c>
    </row>
    <row r="223" spans="1:5">
      <c r="A223" s="85" t="s">
        <v>724</v>
      </c>
      <c r="D223" s="85" t="s">
        <v>724</v>
      </c>
      <c r="E223" t="b">
        <f t="shared" si="4"/>
        <v>1</v>
      </c>
    </row>
    <row r="224" spans="1:5">
      <c r="A224" s="85" t="s">
        <v>725</v>
      </c>
      <c r="D224" s="85" t="s">
        <v>725</v>
      </c>
      <c r="E224" t="b">
        <f t="shared" si="4"/>
        <v>1</v>
      </c>
    </row>
    <row r="225" spans="1:5">
      <c r="A225" s="85" t="s">
        <v>726</v>
      </c>
      <c r="D225" s="85" t="s">
        <v>726</v>
      </c>
      <c r="E225" t="b">
        <f t="shared" si="4"/>
        <v>1</v>
      </c>
    </row>
    <row r="226" spans="1:5">
      <c r="A226" s="85" t="s">
        <v>727</v>
      </c>
      <c r="D226" s="85" t="s">
        <v>727</v>
      </c>
      <c r="E226" t="b">
        <f t="shared" si="4"/>
        <v>1</v>
      </c>
    </row>
    <row r="227" spans="1:5">
      <c r="A227" s="85" t="s">
        <v>728</v>
      </c>
      <c r="D227" s="85" t="s">
        <v>728</v>
      </c>
      <c r="E227" t="b">
        <f t="shared" si="4"/>
        <v>1</v>
      </c>
    </row>
    <row r="228" spans="1:5">
      <c r="A228" s="85" t="s">
        <v>729</v>
      </c>
      <c r="D228" s="85" t="s">
        <v>729</v>
      </c>
      <c r="E228" t="b">
        <f t="shared" si="4"/>
        <v>1</v>
      </c>
    </row>
    <row r="229" spans="1:5">
      <c r="A229" s="85" t="s">
        <v>730</v>
      </c>
      <c r="D229" s="85" t="s">
        <v>730</v>
      </c>
      <c r="E229" t="b">
        <f t="shared" si="4"/>
        <v>1</v>
      </c>
    </row>
    <row r="230" spans="1:5">
      <c r="A230" s="85" t="s">
        <v>731</v>
      </c>
      <c r="D230" s="85" t="s">
        <v>731</v>
      </c>
      <c r="E230" t="b">
        <f t="shared" si="4"/>
        <v>1</v>
      </c>
    </row>
    <row r="231" spans="1:5">
      <c r="A231" s="85" t="s">
        <v>732</v>
      </c>
      <c r="D231" s="85" t="s">
        <v>732</v>
      </c>
      <c r="E231" t="b">
        <f t="shared" si="4"/>
        <v>1</v>
      </c>
    </row>
    <row r="232" spans="1:5">
      <c r="A232" s="85" t="s">
        <v>733</v>
      </c>
      <c r="D232" s="85" t="s">
        <v>733</v>
      </c>
      <c r="E232" t="b">
        <f t="shared" si="4"/>
        <v>1</v>
      </c>
    </row>
    <row r="233" spans="1:5">
      <c r="A233" s="85" t="s">
        <v>734</v>
      </c>
      <c r="D233" s="85" t="s">
        <v>734</v>
      </c>
      <c r="E233" t="b">
        <f t="shared" si="4"/>
        <v>1</v>
      </c>
    </row>
    <row r="234" spans="1:5">
      <c r="A234" s="85" t="s">
        <v>735</v>
      </c>
      <c r="D234" s="85" t="s">
        <v>735</v>
      </c>
      <c r="E234" t="b">
        <f t="shared" si="4"/>
        <v>1</v>
      </c>
    </row>
    <row r="235" spans="1:5">
      <c r="A235" s="85" t="s">
        <v>736</v>
      </c>
      <c r="D235" s="85" t="s">
        <v>736</v>
      </c>
      <c r="E235" t="b">
        <f t="shared" si="4"/>
        <v>1</v>
      </c>
    </row>
    <row r="236" spans="1:5">
      <c r="A236" s="85" t="s">
        <v>737</v>
      </c>
      <c r="D236" s="85" t="s">
        <v>737</v>
      </c>
      <c r="E236" t="b">
        <f t="shared" si="4"/>
        <v>1</v>
      </c>
    </row>
    <row r="237" spans="1:5">
      <c r="A237" s="85" t="s">
        <v>738</v>
      </c>
      <c r="D237" s="85" t="s">
        <v>738</v>
      </c>
      <c r="E237" t="b">
        <f t="shared" si="4"/>
        <v>1</v>
      </c>
    </row>
    <row r="238" spans="1:5">
      <c r="A238" s="85" t="s">
        <v>739</v>
      </c>
      <c r="D238" s="85" t="s">
        <v>739</v>
      </c>
      <c r="E238" t="b">
        <f t="shared" si="4"/>
        <v>1</v>
      </c>
    </row>
    <row r="239" spans="1:5">
      <c r="A239" s="85" t="s">
        <v>740</v>
      </c>
      <c r="D239" s="85" t="s">
        <v>740</v>
      </c>
      <c r="E239" t="b">
        <f t="shared" si="4"/>
        <v>1</v>
      </c>
    </row>
    <row r="240" spans="1:5">
      <c r="A240" s="85" t="s">
        <v>741</v>
      </c>
      <c r="D240" s="85" t="s">
        <v>741</v>
      </c>
      <c r="E240" t="b">
        <f t="shared" si="4"/>
        <v>1</v>
      </c>
    </row>
    <row r="241" spans="1:5">
      <c r="A241" s="85" t="s">
        <v>742</v>
      </c>
      <c r="D241" s="85" t="s">
        <v>742</v>
      </c>
      <c r="E241" t="b">
        <f t="shared" si="4"/>
        <v>1</v>
      </c>
    </row>
    <row r="242" spans="1:5">
      <c r="A242" s="85" t="s">
        <v>743</v>
      </c>
      <c r="D242" s="85" t="s">
        <v>743</v>
      </c>
      <c r="E242" t="b">
        <f t="shared" si="4"/>
        <v>1</v>
      </c>
    </row>
    <row r="243" spans="1:5">
      <c r="A243" s="85" t="s">
        <v>744</v>
      </c>
      <c r="D243" s="85" t="s">
        <v>744</v>
      </c>
      <c r="E243" t="b">
        <f t="shared" si="4"/>
        <v>1</v>
      </c>
    </row>
    <row r="244" spans="1:5">
      <c r="A244" s="85" t="s">
        <v>745</v>
      </c>
      <c r="D244" s="85" t="s">
        <v>745</v>
      </c>
      <c r="E244" t="b">
        <f t="shared" si="4"/>
        <v>1</v>
      </c>
    </row>
    <row r="245" spans="1:5">
      <c r="A245" s="85" t="s">
        <v>746</v>
      </c>
      <c r="D245" s="85" t="s">
        <v>746</v>
      </c>
      <c r="E245" t="b">
        <f t="shared" si="4"/>
        <v>1</v>
      </c>
    </row>
    <row r="246" spans="1:5">
      <c r="A246" s="85" t="s">
        <v>747</v>
      </c>
      <c r="D246" s="85" t="s">
        <v>747</v>
      </c>
      <c r="E246" t="b">
        <f t="shared" si="4"/>
        <v>1</v>
      </c>
    </row>
    <row r="247" spans="1:5">
      <c r="A247" s="85" t="s">
        <v>748</v>
      </c>
      <c r="D247" s="85" t="s">
        <v>748</v>
      </c>
      <c r="E247" t="b">
        <f t="shared" si="4"/>
        <v>1</v>
      </c>
    </row>
    <row r="248" spans="1:5">
      <c r="A248" s="85" t="s">
        <v>749</v>
      </c>
      <c r="D248" s="85" t="s">
        <v>749</v>
      </c>
      <c r="E248" t="b">
        <f t="shared" si="4"/>
        <v>1</v>
      </c>
    </row>
    <row r="249" spans="1:5">
      <c r="A249" s="85" t="s">
        <v>750</v>
      </c>
      <c r="D249" s="85" t="s">
        <v>750</v>
      </c>
      <c r="E249" t="b">
        <f t="shared" si="4"/>
        <v>1</v>
      </c>
    </row>
    <row r="250" spans="1:5">
      <c r="A250" s="85" t="s">
        <v>751</v>
      </c>
      <c r="D250" s="85" t="s">
        <v>751</v>
      </c>
      <c r="E250" t="b">
        <f t="shared" si="4"/>
        <v>1</v>
      </c>
    </row>
    <row r="251" spans="1:5">
      <c r="A251" s="85" t="s">
        <v>752</v>
      </c>
      <c r="D251" s="85" t="s">
        <v>752</v>
      </c>
      <c r="E251" t="b">
        <f t="shared" si="4"/>
        <v>1</v>
      </c>
    </row>
    <row r="252" spans="1:5">
      <c r="A252" s="85" t="s">
        <v>753</v>
      </c>
      <c r="D252" s="85" t="s">
        <v>753</v>
      </c>
      <c r="E252" t="b">
        <f t="shared" si="4"/>
        <v>1</v>
      </c>
    </row>
    <row r="253" spans="1:5">
      <c r="A253" s="85" t="s">
        <v>754</v>
      </c>
      <c r="D253" s="85" t="s">
        <v>754</v>
      </c>
      <c r="E253" t="b">
        <f t="shared" si="4"/>
        <v>1</v>
      </c>
    </row>
    <row r="254" spans="1:5">
      <c r="A254" s="85" t="s">
        <v>755</v>
      </c>
      <c r="D254" s="85" t="s">
        <v>755</v>
      </c>
      <c r="E254" t="b">
        <f t="shared" si="4"/>
        <v>1</v>
      </c>
    </row>
    <row r="255" spans="1:5">
      <c r="A255" s="85" t="s">
        <v>756</v>
      </c>
      <c r="D255" s="85" t="s">
        <v>756</v>
      </c>
      <c r="E255" t="b">
        <f t="shared" si="4"/>
        <v>1</v>
      </c>
    </row>
    <row r="256" spans="1:5">
      <c r="A256" s="85" t="s">
        <v>757</v>
      </c>
      <c r="D256" s="85" t="s">
        <v>757</v>
      </c>
      <c r="E256" t="b">
        <f t="shared" si="4"/>
        <v>1</v>
      </c>
    </row>
    <row r="257" spans="1:5">
      <c r="A257" s="85" t="s">
        <v>758</v>
      </c>
      <c r="D257" s="85" t="s">
        <v>758</v>
      </c>
      <c r="E257" t="b">
        <f t="shared" si="4"/>
        <v>1</v>
      </c>
    </row>
    <row r="258" spans="1:5">
      <c r="A258" s="85" t="s">
        <v>759</v>
      </c>
      <c r="D258" s="85" t="s">
        <v>759</v>
      </c>
      <c r="E258" t="b">
        <f t="shared" si="4"/>
        <v>1</v>
      </c>
    </row>
    <row r="259" spans="1:5">
      <c r="A259" s="85" t="s">
        <v>760</v>
      </c>
      <c r="D259" s="85" t="s">
        <v>760</v>
      </c>
      <c r="E259" t="b">
        <f t="shared" ref="E259:E322" si="5">D259=A259</f>
        <v>1</v>
      </c>
    </row>
    <row r="260" spans="1:5">
      <c r="A260" s="85" t="s">
        <v>761</v>
      </c>
      <c r="D260" s="85" t="s">
        <v>761</v>
      </c>
      <c r="E260" t="b">
        <f t="shared" si="5"/>
        <v>1</v>
      </c>
    </row>
    <row r="261" spans="1:5">
      <c r="A261" s="85" t="s">
        <v>762</v>
      </c>
      <c r="D261" s="85" t="s">
        <v>762</v>
      </c>
      <c r="E261" t="b">
        <f t="shared" si="5"/>
        <v>1</v>
      </c>
    </row>
    <row r="262" spans="1:5">
      <c r="A262" s="85" t="s">
        <v>763</v>
      </c>
      <c r="D262" s="85" t="s">
        <v>763</v>
      </c>
      <c r="E262" t="b">
        <f t="shared" si="5"/>
        <v>1</v>
      </c>
    </row>
    <row r="263" spans="1:5">
      <c r="A263" s="85" t="s">
        <v>764</v>
      </c>
      <c r="D263" s="85" t="s">
        <v>764</v>
      </c>
      <c r="E263" t="b">
        <f t="shared" si="5"/>
        <v>1</v>
      </c>
    </row>
    <row r="264" spans="1:5">
      <c r="A264" s="85" t="s">
        <v>765</v>
      </c>
      <c r="D264" s="85" t="s">
        <v>765</v>
      </c>
      <c r="E264" t="b">
        <f t="shared" si="5"/>
        <v>1</v>
      </c>
    </row>
    <row r="265" spans="1:5">
      <c r="A265" s="85" t="s">
        <v>766</v>
      </c>
      <c r="D265" s="85" t="s">
        <v>766</v>
      </c>
      <c r="E265" t="b">
        <f t="shared" si="5"/>
        <v>1</v>
      </c>
    </row>
    <row r="266" spans="1:5">
      <c r="A266" s="85" t="s">
        <v>767</v>
      </c>
      <c r="D266" s="85" t="s">
        <v>767</v>
      </c>
      <c r="E266" t="b">
        <f t="shared" si="5"/>
        <v>1</v>
      </c>
    </row>
    <row r="267" spans="1:5">
      <c r="A267" s="85" t="s">
        <v>768</v>
      </c>
      <c r="D267" s="85" t="s">
        <v>768</v>
      </c>
      <c r="E267" t="b">
        <f t="shared" si="5"/>
        <v>1</v>
      </c>
    </row>
    <row r="268" spans="1:5">
      <c r="A268" s="85" t="s">
        <v>769</v>
      </c>
      <c r="D268" s="85" t="s">
        <v>769</v>
      </c>
      <c r="E268" t="b">
        <f t="shared" si="5"/>
        <v>1</v>
      </c>
    </row>
    <row r="269" spans="1:5">
      <c r="A269" s="85" t="s">
        <v>770</v>
      </c>
      <c r="D269" s="85" t="s">
        <v>770</v>
      </c>
      <c r="E269" t="b">
        <f t="shared" si="5"/>
        <v>1</v>
      </c>
    </row>
    <row r="270" spans="1:5">
      <c r="A270" s="85" t="s">
        <v>771</v>
      </c>
      <c r="D270" s="85" t="s">
        <v>771</v>
      </c>
      <c r="E270" t="b">
        <f t="shared" si="5"/>
        <v>1</v>
      </c>
    </row>
    <row r="271" spans="1:5">
      <c r="A271" s="85" t="s">
        <v>772</v>
      </c>
      <c r="D271" s="85" t="s">
        <v>772</v>
      </c>
      <c r="E271" t="b">
        <f t="shared" si="5"/>
        <v>1</v>
      </c>
    </row>
    <row r="272" spans="1:5">
      <c r="A272" s="85" t="s">
        <v>773</v>
      </c>
      <c r="D272" s="85" t="s">
        <v>773</v>
      </c>
      <c r="E272" t="b">
        <f t="shared" si="5"/>
        <v>1</v>
      </c>
    </row>
    <row r="273" spans="1:5">
      <c r="A273" s="85" t="s">
        <v>774</v>
      </c>
      <c r="D273" s="85" t="s">
        <v>774</v>
      </c>
      <c r="E273" t="b">
        <f t="shared" si="5"/>
        <v>1</v>
      </c>
    </row>
    <row r="274" spans="1:5">
      <c r="A274" s="85" t="s">
        <v>775</v>
      </c>
      <c r="D274" s="85" t="s">
        <v>775</v>
      </c>
      <c r="E274" t="b">
        <f t="shared" si="5"/>
        <v>1</v>
      </c>
    </row>
    <row r="275" spans="1:5">
      <c r="A275" s="85" t="s">
        <v>776</v>
      </c>
      <c r="D275" s="85" t="s">
        <v>776</v>
      </c>
      <c r="E275" t="b">
        <f t="shared" si="5"/>
        <v>1</v>
      </c>
    </row>
    <row r="276" spans="1:5">
      <c r="A276" s="85" t="s">
        <v>777</v>
      </c>
      <c r="D276" s="85" t="s">
        <v>777</v>
      </c>
      <c r="E276" t="b">
        <f t="shared" si="5"/>
        <v>1</v>
      </c>
    </row>
    <row r="277" spans="1:5">
      <c r="A277" s="85" t="s">
        <v>778</v>
      </c>
      <c r="D277" s="85" t="s">
        <v>778</v>
      </c>
      <c r="E277" t="b">
        <f t="shared" si="5"/>
        <v>1</v>
      </c>
    </row>
    <row r="278" spans="1:5">
      <c r="A278" s="85" t="s">
        <v>779</v>
      </c>
      <c r="D278" s="85" t="s">
        <v>779</v>
      </c>
      <c r="E278" t="b">
        <f t="shared" si="5"/>
        <v>1</v>
      </c>
    </row>
    <row r="279" spans="1:5">
      <c r="A279" s="85" t="s">
        <v>780</v>
      </c>
      <c r="D279" s="85" t="s">
        <v>780</v>
      </c>
      <c r="E279" t="b">
        <f t="shared" si="5"/>
        <v>1</v>
      </c>
    </row>
    <row r="280" spans="1:5">
      <c r="A280" s="85" t="s">
        <v>781</v>
      </c>
      <c r="D280" s="85" t="s">
        <v>781</v>
      </c>
      <c r="E280" t="b">
        <f t="shared" si="5"/>
        <v>1</v>
      </c>
    </row>
    <row r="281" spans="1:5">
      <c r="A281" s="85" t="s">
        <v>782</v>
      </c>
      <c r="D281" s="85" t="s">
        <v>782</v>
      </c>
      <c r="E281" t="b">
        <f t="shared" si="5"/>
        <v>1</v>
      </c>
    </row>
    <row r="282" spans="1:5">
      <c r="A282" s="85" t="s">
        <v>783</v>
      </c>
      <c r="D282" s="85" t="s">
        <v>783</v>
      </c>
      <c r="E282" t="b">
        <f t="shared" si="5"/>
        <v>1</v>
      </c>
    </row>
    <row r="283" spans="1:5">
      <c r="A283" s="85" t="s">
        <v>784</v>
      </c>
      <c r="D283" s="85" t="s">
        <v>784</v>
      </c>
      <c r="E283" t="b">
        <f t="shared" si="5"/>
        <v>1</v>
      </c>
    </row>
    <row r="284" spans="1:5">
      <c r="A284" s="85" t="s">
        <v>785</v>
      </c>
      <c r="D284" s="85" t="s">
        <v>785</v>
      </c>
      <c r="E284" t="b">
        <f t="shared" si="5"/>
        <v>1</v>
      </c>
    </row>
    <row r="285" spans="1:5">
      <c r="A285" s="85" t="s">
        <v>786</v>
      </c>
      <c r="D285" s="85" t="s">
        <v>786</v>
      </c>
      <c r="E285" t="b">
        <f t="shared" si="5"/>
        <v>1</v>
      </c>
    </row>
    <row r="286" spans="1:5">
      <c r="A286" s="85" t="s">
        <v>787</v>
      </c>
      <c r="D286" s="85" t="s">
        <v>787</v>
      </c>
      <c r="E286" t="b">
        <f t="shared" si="5"/>
        <v>1</v>
      </c>
    </row>
    <row r="287" spans="1:5">
      <c r="A287" s="85" t="s">
        <v>788</v>
      </c>
      <c r="D287" s="85" t="s">
        <v>788</v>
      </c>
      <c r="E287" t="b">
        <f t="shared" si="5"/>
        <v>1</v>
      </c>
    </row>
    <row r="288" spans="1:5">
      <c r="A288" s="85" t="s">
        <v>789</v>
      </c>
      <c r="D288" s="85" t="s">
        <v>789</v>
      </c>
      <c r="E288" t="b">
        <f t="shared" si="5"/>
        <v>1</v>
      </c>
    </row>
    <row r="289" spans="1:5">
      <c r="A289" s="85" t="s">
        <v>790</v>
      </c>
      <c r="D289" s="85" t="s">
        <v>790</v>
      </c>
      <c r="E289" t="b">
        <f t="shared" si="5"/>
        <v>1</v>
      </c>
    </row>
    <row r="290" spans="1:5">
      <c r="A290" s="85" t="s">
        <v>791</v>
      </c>
      <c r="D290" s="85" t="s">
        <v>791</v>
      </c>
      <c r="E290" t="b">
        <f t="shared" si="5"/>
        <v>1</v>
      </c>
    </row>
    <row r="291" spans="1:5">
      <c r="A291" s="85" t="s">
        <v>792</v>
      </c>
      <c r="D291" s="85" t="s">
        <v>792</v>
      </c>
      <c r="E291" t="b">
        <f t="shared" si="5"/>
        <v>1</v>
      </c>
    </row>
    <row r="292" spans="1:5">
      <c r="A292" s="85" t="s">
        <v>793</v>
      </c>
      <c r="D292" s="85" t="s">
        <v>793</v>
      </c>
      <c r="E292" t="b">
        <f t="shared" si="5"/>
        <v>1</v>
      </c>
    </row>
    <row r="293" spans="1:5">
      <c r="A293" s="85" t="s">
        <v>794</v>
      </c>
      <c r="D293" s="85" t="s">
        <v>794</v>
      </c>
      <c r="E293" t="b">
        <f t="shared" si="5"/>
        <v>1</v>
      </c>
    </row>
    <row r="294" spans="1:5">
      <c r="A294" s="85" t="s">
        <v>795</v>
      </c>
      <c r="D294" s="85" t="s">
        <v>795</v>
      </c>
      <c r="E294" t="b">
        <f t="shared" si="5"/>
        <v>1</v>
      </c>
    </row>
    <row r="295" spans="1:5">
      <c r="A295" s="85" t="s">
        <v>796</v>
      </c>
      <c r="D295" s="85" t="s">
        <v>796</v>
      </c>
      <c r="E295" t="b">
        <f t="shared" si="5"/>
        <v>1</v>
      </c>
    </row>
    <row r="296" spans="1:5">
      <c r="A296" s="85" t="s">
        <v>797</v>
      </c>
      <c r="D296" s="85" t="s">
        <v>797</v>
      </c>
      <c r="E296" t="b">
        <f t="shared" si="5"/>
        <v>1</v>
      </c>
    </row>
    <row r="297" spans="1:5">
      <c r="A297" s="85" t="s">
        <v>798</v>
      </c>
      <c r="D297" s="85" t="s">
        <v>798</v>
      </c>
      <c r="E297" t="b">
        <f t="shared" si="5"/>
        <v>1</v>
      </c>
    </row>
    <row r="298" spans="1:5">
      <c r="A298" s="85" t="s">
        <v>799</v>
      </c>
      <c r="D298" s="85" t="s">
        <v>799</v>
      </c>
      <c r="E298" t="b">
        <f t="shared" si="5"/>
        <v>1</v>
      </c>
    </row>
    <row r="299" spans="1:5">
      <c r="A299" s="85" t="s">
        <v>800</v>
      </c>
      <c r="D299" s="85" t="s">
        <v>800</v>
      </c>
      <c r="E299" t="b">
        <f t="shared" si="5"/>
        <v>1</v>
      </c>
    </row>
    <row r="300" spans="1:5">
      <c r="A300" s="85" t="s">
        <v>801</v>
      </c>
      <c r="D300" s="85" t="s">
        <v>801</v>
      </c>
      <c r="E300" t="b">
        <f t="shared" si="5"/>
        <v>1</v>
      </c>
    </row>
    <row r="301" spans="1:5">
      <c r="A301" s="85" t="s">
        <v>802</v>
      </c>
      <c r="D301" s="85" t="s">
        <v>802</v>
      </c>
      <c r="E301" t="b">
        <f t="shared" si="5"/>
        <v>1</v>
      </c>
    </row>
    <row r="302" spans="1:5">
      <c r="A302" s="85" t="s">
        <v>803</v>
      </c>
      <c r="D302" s="85" t="s">
        <v>803</v>
      </c>
      <c r="E302" t="b">
        <f t="shared" si="5"/>
        <v>1</v>
      </c>
    </row>
    <row r="303" spans="1:5">
      <c r="A303" s="85" t="s">
        <v>804</v>
      </c>
      <c r="D303" s="85" t="s">
        <v>804</v>
      </c>
      <c r="E303" t="b">
        <f t="shared" si="5"/>
        <v>1</v>
      </c>
    </row>
    <row r="304" spans="1:5">
      <c r="A304" s="85" t="s">
        <v>805</v>
      </c>
      <c r="D304" s="85" t="s">
        <v>805</v>
      </c>
      <c r="E304" t="b">
        <f t="shared" si="5"/>
        <v>1</v>
      </c>
    </row>
    <row r="305" spans="1:5">
      <c r="A305" s="85" t="s">
        <v>806</v>
      </c>
      <c r="D305" s="85" t="s">
        <v>806</v>
      </c>
      <c r="E305" t="b">
        <f t="shared" si="5"/>
        <v>1</v>
      </c>
    </row>
    <row r="306" spans="1:5">
      <c r="A306" s="85" t="s">
        <v>807</v>
      </c>
      <c r="D306" s="85" t="s">
        <v>807</v>
      </c>
      <c r="E306" t="b">
        <f t="shared" si="5"/>
        <v>1</v>
      </c>
    </row>
    <row r="307" spans="1:5">
      <c r="A307" s="85" t="s">
        <v>808</v>
      </c>
      <c r="D307" s="85" t="s">
        <v>808</v>
      </c>
      <c r="E307" t="b">
        <f t="shared" si="5"/>
        <v>1</v>
      </c>
    </row>
    <row r="308" spans="1:5">
      <c r="A308" s="85" t="s">
        <v>809</v>
      </c>
      <c r="D308" s="85" t="s">
        <v>809</v>
      </c>
      <c r="E308" t="b">
        <f t="shared" si="5"/>
        <v>1</v>
      </c>
    </row>
    <row r="309" spans="1:5">
      <c r="A309" s="85" t="s">
        <v>810</v>
      </c>
      <c r="D309" s="85" t="s">
        <v>810</v>
      </c>
      <c r="E309" t="b">
        <f t="shared" si="5"/>
        <v>1</v>
      </c>
    </row>
    <row r="310" spans="1:5">
      <c r="A310" s="85" t="s">
        <v>811</v>
      </c>
      <c r="D310" s="85" t="s">
        <v>811</v>
      </c>
      <c r="E310" t="b">
        <f t="shared" si="5"/>
        <v>1</v>
      </c>
    </row>
    <row r="311" spans="1:5">
      <c r="A311" s="85" t="s">
        <v>812</v>
      </c>
      <c r="D311" s="85" t="s">
        <v>812</v>
      </c>
      <c r="E311" t="b">
        <f t="shared" si="5"/>
        <v>1</v>
      </c>
    </row>
    <row r="312" spans="1:5">
      <c r="A312" s="85" t="s">
        <v>813</v>
      </c>
      <c r="D312" s="85" t="s">
        <v>813</v>
      </c>
      <c r="E312" t="b">
        <f t="shared" si="5"/>
        <v>1</v>
      </c>
    </row>
    <row r="313" spans="1:5">
      <c r="A313" s="85" t="s">
        <v>814</v>
      </c>
      <c r="D313" s="85" t="s">
        <v>814</v>
      </c>
      <c r="E313" t="b">
        <f t="shared" si="5"/>
        <v>1</v>
      </c>
    </row>
    <row r="314" spans="1:5">
      <c r="A314" s="85" t="s">
        <v>815</v>
      </c>
      <c r="D314" s="85" t="s">
        <v>815</v>
      </c>
      <c r="E314" t="b">
        <f t="shared" si="5"/>
        <v>1</v>
      </c>
    </row>
    <row r="315" spans="1:5">
      <c r="A315" s="85" t="s">
        <v>816</v>
      </c>
      <c r="D315" s="85" t="s">
        <v>816</v>
      </c>
      <c r="E315" t="b">
        <f t="shared" si="5"/>
        <v>1</v>
      </c>
    </row>
    <row r="316" spans="1:5">
      <c r="A316" s="85" t="s">
        <v>817</v>
      </c>
      <c r="D316" s="85" t="s">
        <v>817</v>
      </c>
      <c r="E316" t="b">
        <f t="shared" si="5"/>
        <v>1</v>
      </c>
    </row>
    <row r="317" spans="1:5">
      <c r="A317" s="85" t="s">
        <v>818</v>
      </c>
      <c r="D317" s="85" t="s">
        <v>818</v>
      </c>
      <c r="E317" t="b">
        <f t="shared" si="5"/>
        <v>1</v>
      </c>
    </row>
    <row r="318" spans="1:5">
      <c r="A318" s="85" t="s">
        <v>819</v>
      </c>
      <c r="D318" s="85" t="s">
        <v>819</v>
      </c>
      <c r="E318" t="b">
        <f t="shared" si="5"/>
        <v>1</v>
      </c>
    </row>
    <row r="319" spans="1:5">
      <c r="A319" s="85" t="s">
        <v>820</v>
      </c>
      <c r="D319" s="85" t="s">
        <v>820</v>
      </c>
      <c r="E319" t="b">
        <f t="shared" si="5"/>
        <v>1</v>
      </c>
    </row>
    <row r="320" spans="1:5">
      <c r="A320" s="85" t="s">
        <v>821</v>
      </c>
      <c r="D320" s="85" t="s">
        <v>821</v>
      </c>
      <c r="E320" t="b">
        <f t="shared" si="5"/>
        <v>1</v>
      </c>
    </row>
    <row r="321" spans="1:5">
      <c r="A321" s="85" t="s">
        <v>822</v>
      </c>
      <c r="D321" s="85" t="s">
        <v>822</v>
      </c>
      <c r="E321" t="b">
        <f t="shared" si="5"/>
        <v>1</v>
      </c>
    </row>
    <row r="322" spans="1:5">
      <c r="A322" s="85" t="s">
        <v>823</v>
      </c>
      <c r="D322" s="85" t="s">
        <v>823</v>
      </c>
      <c r="E322" t="b">
        <f t="shared" si="5"/>
        <v>1</v>
      </c>
    </row>
    <row r="323" spans="1:5">
      <c r="A323" s="85" t="s">
        <v>824</v>
      </c>
      <c r="D323" s="85" t="s">
        <v>824</v>
      </c>
      <c r="E323" t="b">
        <f t="shared" ref="E323:E342" si="6">D323=A323</f>
        <v>1</v>
      </c>
    </row>
    <row r="324" spans="1:5">
      <c r="A324" s="85" t="s">
        <v>825</v>
      </c>
      <c r="D324" s="85" t="s">
        <v>825</v>
      </c>
      <c r="E324" t="b">
        <f t="shared" si="6"/>
        <v>1</v>
      </c>
    </row>
    <row r="325" spans="1:5">
      <c r="A325" s="85" t="s">
        <v>826</v>
      </c>
      <c r="D325" s="85" t="s">
        <v>826</v>
      </c>
      <c r="E325" t="b">
        <f t="shared" si="6"/>
        <v>1</v>
      </c>
    </row>
    <row r="326" spans="1:5">
      <c r="A326" s="85" t="s">
        <v>827</v>
      </c>
      <c r="D326" s="85" t="s">
        <v>827</v>
      </c>
      <c r="E326" t="b">
        <f t="shared" si="6"/>
        <v>1</v>
      </c>
    </row>
    <row r="327" spans="1:5">
      <c r="A327" s="85" t="s">
        <v>828</v>
      </c>
      <c r="D327" s="85" t="s">
        <v>828</v>
      </c>
      <c r="E327" t="b">
        <f t="shared" si="6"/>
        <v>1</v>
      </c>
    </row>
    <row r="328" spans="1:5">
      <c r="A328" s="85" t="s">
        <v>829</v>
      </c>
      <c r="D328" s="85" t="s">
        <v>829</v>
      </c>
      <c r="E328" t="b">
        <f t="shared" si="6"/>
        <v>1</v>
      </c>
    </row>
    <row r="329" spans="1:5">
      <c r="A329" s="85" t="s">
        <v>830</v>
      </c>
      <c r="D329" s="85" t="s">
        <v>830</v>
      </c>
      <c r="E329" t="b">
        <f t="shared" si="6"/>
        <v>1</v>
      </c>
    </row>
    <row r="330" spans="1:5">
      <c r="A330" s="85" t="s">
        <v>831</v>
      </c>
      <c r="D330" s="85" t="s">
        <v>831</v>
      </c>
      <c r="E330" t="b">
        <f t="shared" si="6"/>
        <v>1</v>
      </c>
    </row>
    <row r="331" spans="1:5">
      <c r="A331" s="85" t="s">
        <v>832</v>
      </c>
      <c r="D331" s="85" t="s">
        <v>832</v>
      </c>
      <c r="E331" t="b">
        <f t="shared" si="6"/>
        <v>1</v>
      </c>
    </row>
    <row r="332" spans="1:5">
      <c r="A332" s="85" t="s">
        <v>833</v>
      </c>
      <c r="D332" s="85" t="s">
        <v>833</v>
      </c>
      <c r="E332" t="b">
        <f t="shared" si="6"/>
        <v>1</v>
      </c>
    </row>
    <row r="333" spans="1:5">
      <c r="A333" s="85" t="s">
        <v>834</v>
      </c>
      <c r="D333" s="85" t="s">
        <v>834</v>
      </c>
      <c r="E333" t="b">
        <f t="shared" si="6"/>
        <v>1</v>
      </c>
    </row>
    <row r="334" spans="1:5">
      <c r="A334" s="85" t="s">
        <v>835</v>
      </c>
      <c r="D334" s="85" t="s">
        <v>835</v>
      </c>
      <c r="E334" t="b">
        <f t="shared" si="6"/>
        <v>1</v>
      </c>
    </row>
    <row r="335" spans="1:5">
      <c r="A335" s="85" t="s">
        <v>836</v>
      </c>
      <c r="D335" s="85" t="s">
        <v>836</v>
      </c>
      <c r="E335" t="b">
        <f t="shared" si="6"/>
        <v>1</v>
      </c>
    </row>
    <row r="336" spans="1:5">
      <c r="A336" s="85" t="s">
        <v>837</v>
      </c>
      <c r="D336" s="85" t="s">
        <v>837</v>
      </c>
      <c r="E336" t="b">
        <f t="shared" si="6"/>
        <v>1</v>
      </c>
    </row>
    <row r="337" spans="1:5">
      <c r="A337" s="85" t="s">
        <v>838</v>
      </c>
      <c r="D337" s="85" t="s">
        <v>838</v>
      </c>
      <c r="E337" t="b">
        <f t="shared" si="6"/>
        <v>1</v>
      </c>
    </row>
    <row r="338" spans="1:5">
      <c r="A338" s="85" t="s">
        <v>839</v>
      </c>
      <c r="D338" s="85" t="s">
        <v>839</v>
      </c>
      <c r="E338" t="b">
        <f t="shared" si="6"/>
        <v>1</v>
      </c>
    </row>
    <row r="339" spans="1:5">
      <c r="A339" s="85" t="s">
        <v>840</v>
      </c>
      <c r="D339" s="85" t="s">
        <v>840</v>
      </c>
      <c r="E339" t="b">
        <f t="shared" si="6"/>
        <v>1</v>
      </c>
    </row>
    <row r="340" spans="1:5">
      <c r="A340" s="85" t="s">
        <v>841</v>
      </c>
      <c r="D340" s="85" t="s">
        <v>841</v>
      </c>
      <c r="E340" t="b">
        <f t="shared" si="6"/>
        <v>1</v>
      </c>
    </row>
    <row r="341" spans="1:5">
      <c r="A341" s="85" t="s">
        <v>842</v>
      </c>
      <c r="D341" s="85" t="s">
        <v>842</v>
      </c>
      <c r="E341" t="b">
        <f t="shared" si="6"/>
        <v>1</v>
      </c>
    </row>
    <row r="342" spans="1:5">
      <c r="A342" s="85" t="s">
        <v>843</v>
      </c>
      <c r="D342" s="85" t="s">
        <v>843</v>
      </c>
      <c r="E342" t="b">
        <f t="shared" si="6"/>
        <v>1</v>
      </c>
    </row>
  </sheetData>
  <autoFilter xmlns:etc="http://www.wps.cn/officeDocument/2017/etCustomData" ref="D1:E342" etc:filterBottomFollowUsedRange="0">
    <sortState ref="D1:E342">
      <sortCondition ref="D1"/>
    </sortState>
    <extLst/>
  </autoFilter>
  <sortState ref="D1:D341">
    <sortCondition ref="D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仕入伝票(purchase_slip)</vt:lpstr>
      <vt:lpstr>判定サマリ</vt:lpstr>
      <vt:lpstr>入出力仕様(Hitluster)</vt:lpstr>
      <vt:lpstr>項目比較</vt:lpstr>
      <vt:lpstr>Sheet2</vt:lpstr>
      <vt:lpstr>サンプルデータ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cp:revision>0</cp:revision>
  <dcterms:created xsi:type="dcterms:W3CDTF">2026-07-09T01:49:00Z</dcterms:created>
  <dcterms:modified xsi:type="dcterms:W3CDTF">2026-08-21T06:49:43Z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7DA68651ADA142E6A35A8D51FF443485_12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