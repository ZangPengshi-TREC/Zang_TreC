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P分析一覧" sheetId="1" r:id="rId4"/>
    <sheet state="hidden" name="GAP分析一覧 (2)" sheetId="2" r:id="rId5"/>
  </sheets>
  <definedNames/>
  <calcPr/>
  <extLst>
    <ext uri="GoogleSheetsCustomDataVersion2">
      <go:sheetsCustomData xmlns:go="http://customooxmlschemas.google.com/" r:id="rId6" roundtripDataChecksum="ujxIV0geIDdajLpDaL3SKoSXlKzu06ZJpcUgLMHWe84="/>
    </ext>
  </extLst>
</workbook>
</file>

<file path=xl/sharedStrings.xml><?xml version="1.0" encoding="utf-8"?>
<sst xmlns="http://schemas.openxmlformats.org/spreadsheetml/2006/main" count="171" uniqueCount="132">
  <si>
    <t>GAP分析書 — WMS (Hitluster)→TRIAL/MD基幹　在庫一覧データIF連携（Phase 1成果物②）</t>
  </si>
  <si>
    <t>GAP分析書 — TRIAL→sinops 商品情報IF連携（Phase 1成果物②）</t>
  </si>
  <si>
    <t>TRIAL標準IFレイアウト v.26 ↔ sinops item_mst.txt(16項目) + store_item_mst.txt(13項目)</t>
  </si>
  <si>
    <t>No.</t>
  </si>
  <si>
    <t>GAPカテゴリ</t>
  </si>
  <si>
    <t>優先度</t>
  </si>
  <si>
    <t>影響ファイル</t>
  </si>
  <si>
    <t>対象sinops項目</t>
  </si>
  <si>
    <t>TRIAL側の状況</t>
  </si>
  <si>
    <t>sinops側要件</t>
  </si>
  <si>
    <t>対応方針</t>
  </si>
  <si>
    <t>工数概算</t>
  </si>
  <si>
    <t>対象WMS (Hitluster)項目</t>
  </si>
  <si>
    <t>ステータス</t>
  </si>
  <si>
    <t>WMS (Hitluster)側の状況</t>
  </si>
  <si>
    <t>TRIAL側の要件</t>
  </si>
  <si>
    <t>削除フラグ</t>
  </si>
  <si>
    <t>★最高</t>
  </si>
  <si>
    <t>store_item_mst.txt</t>
  </si>
  <si>
    <t>削除フラグ (No.10)</t>
  </si>
  <si>
    <t>TRIALの店舗商品マスタにf_delはある</t>
  </si>
  <si>
    <t>030_01プラグインは削除フラグ(0:登録更新/1:削除)対応で差分更新が可能。削除フラグがないと洗い替え更新になり、差分送信が実質的に活かせない。</t>
  </si>
  <si>
    <t>表名変更</t>
  </si>
  <si>
    <t>1〜2人日</t>
  </si>
  <si>
    <t>未着手</t>
  </si>
  <si>
    <t>商品分類コード階層整合性ルール</t>
  </si>
  <si>
    <t>★高</t>
  </si>
  <si>
    <t>item_mst.txt</t>
  </si>
  <si>
    <t>高</t>
  </si>
  <si>
    <t>大/中/小分類コード (No.5〜7)</t>
  </si>
  <si>
    <t>全ドキュメント</t>
  </si>
  <si>
    <t>TRIALの分類コードはbase_upper1(部門/char/8)〜base_upper5の独自体系。固定長形式ではない可能性あり。</t>
  </si>
  <si>
    <t>—</t>
  </si>
  <si>
    <t>sinopsでは階層整合性ルール必須：中分類コードの先頭M桁=大分類コード、小分類コードの先頭N桁=中分類コード。この整合性がないとカテゴリマスタとの紐付けが壊れる。</t>
  </si>
  <si>
    <t>旧資料: current_stock_data
新表: center_stock</t>
  </si>
  <si>
    <t>center_stockテーブル
全字段を再マッピング</t>
  </si>
  <si>
    <t>TRIALのbase_upper1〜4のコード体系と桁数を調査。固定長形式への変換ロジックを設計。階層整合性を維持した変換テーブルを整備する。</t>
  </si>
  <si>
    <t>全6ドキュメントをcenter_stock基準に更新済み（v2）</t>
  </si>
  <si>
    <t>2〜3人日</t>
  </si>
  <si>
    <t>販売許容日数（TRIAL未対応）</t>
  </si>
  <si>
    <t>販売許容日数 (No.10)</t>
  </si>
  <si>
    <t>TRIALには販売許容日数の項目が存在しない（販売開始日はあり）。TRIALの商品共通マスタにも該当項目なし。</t>
  </si>
  <si>
    <t>字段名変更
(jan→product_code)</t>
  </si>
  <si>
    <t>sinopsでは必須(○)項目。入荷後から販売可能な日数。0設定の場合は発注勧告精度に影響（破棄予測ができない）。</t>
  </si>
  <si>
    <t>0設定での運用可否を西友側と確認。将来的にTRIALでの対応が必要か検討。Phase1で業務ルール合意書に記載。</t>
  </si>
  <si>
    <t>center_stock
(product_code列)</t>
  </si>
  <si>
    <t>0.5人日</t>
  </si>
  <si>
    <t>商品コード
(No.4, 017-030)</t>
  </si>
  <si>
    <t>先頭スペース1byte+13桁JAN
TRIM()で13桁</t>
  </si>
  <si>
    <t>VARCHAR(13)型
旧: VARCHAR(20) jan</t>
  </si>
  <si>
    <t>仕入原価スケール差異</t>
  </si>
  <si>
    <t>TRIM()でスペース除去→13桁をそのまま格納。
VARCHAR(13)に収まる（桁オーバーフローなし）</t>
  </si>
  <si>
    <t>標準仕入単価 (No.4)</t>
  </si>
  <si>
    <t>TRIALの仕入原価(tax_excl cost)はint64_t型。TRIALのcostフィールドは「参考原価(1000倍)」となっており銭/ミリ単位の可能性が高い。</t>
  </si>
  <si>
    <t>sinopsは数値(8,2)（円.小数2桁形式）。1080円の場合→1080.00。</t>
  </si>
  <si>
    <t>TRIALのDB仕様書・データサンプルで格納単位（円/銭/1000倍）を確認。スケール変換ロジック（÷1000, ÷100等）を決定。7桁超の場合の対応も検討。</t>
  </si>
  <si>
    <t>字段削除
(amount)</t>
  </si>
  <si>
    <t>商品コード桁数差異</t>
  </si>
  <si>
    <t>中</t>
  </si>
  <si>
    <t>center_stock</t>
  </si>
  <si>
    <t>★中</t>
  </si>
  <si>
    <t>移動平均単価
(No.8)</t>
  </si>
  <si>
    <t>数値(9) 整数7+小数2
例: 0001234.56</t>
  </si>
  <si>
    <t>両ファイル</t>
  </si>
  <si>
    <t>center_stockに単価字段なし</t>
  </si>
  <si>
    <t>Hitluster側は送信するがTRIAL側では受領しない。
金額管理が必要か業務確認（QA-G04）</t>
  </si>
  <si>
    <t>商品コード (No.1/No.2)</t>
  </si>
  <si>
    <t>TRIALの商品コードはchar(16)。右スペースpadがある可能性。</t>
  </si>
  <si>
    <t>sinopsの商品コードは最大100文字（文字型）。実質的には桁数超過は発生しないが、右スペース除去処理が必要。</t>
  </si>
  <si>
    <t>右トリム（rstrip）処理を実装。TRIALの商品コード体系（JANコード/社内コードの使い分け）を確認。16桁以上のコードが存在しないか確認。</t>
  </si>
  <si>
    <t>0.3人日</t>
  </si>
  <si>
    <t>発注開始日・終了日の管理場所</t>
  </si>
  <si>
    <t>新字段追加
(stock_date)</t>
  </si>
  <si>
    <t>center_stock
(stock_date列)</t>
  </si>
  <si>
    <t>発注開始日/終了日 (No.12/13)</t>
  </si>
  <si>
    <t>在庫調整日付
(No.3, 009-016)</t>
  </si>
  <si>
    <t>TRIALでは発注開始日・終了日は店舗商品マスタ(od_st_date/od_ed_date)で管理。商品共通マスタには存在しない。</t>
  </si>
  <si>
    <t>yyyymmdd文字列(8)
例: 20260625</t>
  </si>
  <si>
    <t>sinopsのitem_mst.txtにも発注開始日・終了日の項目あり。ただし店別商品マスタで設定すればitem_mstは空文字列で問題なし。</t>
  </si>
  <si>
    <t>TIMESTAMP型
在庫時点の日付</t>
  </si>
  <si>
    <t xml:space="preserve">item_mst.txtへは空文字列（発注対象扱い）で設定。store_item_mst.txtで実際の発注期間を管理する方針で対応。
</t>
  </si>
  <si>
    <t>yyyymmdd→TIMESTAMP変換して格納。
TO_DATE(日付, 'YYYYMMDD')</t>
  </si>
  <si>
    <t>0.2人日</t>
  </si>
  <si>
    <t>方針確定</t>
  </si>
  <si>
    <t>予備2（納品経路区分）コード変換</t>
  </si>
  <si>
    <t>予備2 (No.12)</t>
  </si>
  <si>
    <t>新字段追加
(operation_time)</t>
  </si>
  <si>
    <t>TRIALの納品経路区分(dlvroute_typeid)はint16_t型の独自コード体系（01:店直、02:センター等）。</t>
  </si>
  <si>
    <t>sinopsの予備2区分値：01:仕入先店別配送（直納）/02:センター在庫・店別出荷/03:一括仕入店別分荷。</t>
  </si>
  <si>
    <t>center_stock
(operation_time列)</t>
  </si>
  <si>
    <t>TRIALのdlvroute_typeid値と予備2の区分値の対照テーブルを作成。型変換（int16_t→文字）も必要。</t>
  </si>
  <si>
    <t>yyyymmdd文字列(8)</t>
  </si>
  <si>
    <t>TIMESTAMPTZ型
操作時刻</t>
  </si>
  <si>
    <t>【要確認】在庫調整日付を流用するか、
受信/処理時刻を設定するか（QA-G05）
デフォルト案: 日付 00:00:00+09</t>
  </si>
  <si>
    <t>発注単位の管理場所差異</t>
  </si>
  <si>
    <t>★低</t>
  </si>
  <si>
    <t>発注単位 (No.16)</t>
  </si>
  <si>
    <t>新字段追加
(transfer_time)</t>
  </si>
  <si>
    <t>TRIALでは発注単位は店舗商品マスタの入数(odunit_qy)で管理。商品共通マスタには直接的な発注単位なし。</t>
  </si>
  <si>
    <t>sinopsのitem_mstにも発注単位あり。ただし店別商品マスタの発注単位が優先される。</t>
  </si>
  <si>
    <t>center_stock
(transfer_time列)</t>
  </si>
  <si>
    <t>item_mst.txtへはデフォルト値1を設定。store_item_mst.txtのodunit_qyで実際の発注単位を管理する方針。</t>
  </si>
  <si>
    <t>Hitluster側に対応項目なし</t>
  </si>
  <si>
    <t>TIMESTAMPTZ型
転送時刻</t>
  </si>
  <si>
    <t>【要確認】受信時刻を自動設定するか、
固定値を設定するか（QA-G05）
デフォルト案: 受信時刻 or 日付 00:00:00+09</t>
  </si>
  <si>
    <t>GAP分析書は一つにするが可能か</t>
  </si>
  <si>
    <t>新字段追加
(registered_at)</t>
  </si>
  <si>
    <t>低</t>
  </si>
  <si>
    <t>center_stock
(registered_at列)</t>
  </si>
  <si>
    <t>TIMESTAMPTZ
DEFAULT CURRENT_TIMESTAMP</t>
  </si>
  <si>
    <t>TRIAL側でINSERT時に自動設定。
Hitluster側変換不要</t>
  </si>
  <si>
    <t>新字段追加
(registered_by)</t>
  </si>
  <si>
    <t>center_stock
(registered_by列)</t>
  </si>
  <si>
    <t>VARCHAR(20)
登録者情報</t>
  </si>
  <si>
    <t>【要確認】固定値（'WMS'等）を設定するか、
NULL許容か確認必要（QA-G07）</t>
  </si>
  <si>
    <t>マッピング不足
(store_code)</t>
  </si>
  <si>
    <t>center_stock
(store_code列)</t>
  </si>
  <si>
    <t>倉庫コード
(No.2, 003-008)</t>
  </si>
  <si>
    <t>西友倉庫コード（文字列6桁）
例:"007452"</t>
  </si>
  <si>
    <t>INT4型の店舗コード</t>
  </si>
  <si>
    <t>【要確認】倉庫コード→店舗コードの
マッピングテーブル定義を業務側に確認
（QA-G01参照）</t>
  </si>
  <si>
    <t>処理方式の差異
(quantity)</t>
  </si>
  <si>
    <t>center_stock
(quantity列)</t>
  </si>
  <si>
    <t>符号区分(No.6) +
在庫調整数(No.7)</t>
  </si>
  <si>
    <t>差分型IF：符号01(+) or 02(−)
+ 調整数(整数7桁)
随時送信</t>
  </si>
  <si>
    <t>NUMERIC型で在庫数量を保持
DEFAULT 0</t>
  </si>
  <si>
    <t>UPSERT方式で対応:
・符号01 → quantity = quantity + 調整数
・符号02 → quantity = quantity − 調整数
・既存なし → 新規INSERT（QA-A02）</t>
  </si>
  <si>
    <t>マッピングなし
(在庫調整コード)</t>
  </si>
  <si>
    <t>在庫調整コード
(No.5, 031-035)</t>
  </si>
  <si>
    <t>ADJ01/ADJ02/DMG05等</t>
  </si>
  <si>
    <t>center_stockに対応字段なし</t>
  </si>
  <si>
    <t>【要確認】調整理由を別テーブルで
記録する要否を確認（QA-A01）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</si>
</sst>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2.0"/>
      <color rgb="FFFFFFFF"/>
      <name val="Meiryo"/>
    </font>
    <font/>
    <font>
      <sz val="11.0"/>
      <color theme="1"/>
      <name val="Meiryo"/>
    </font>
    <font>
      <b/>
      <sz val="12.0"/>
      <color rgb="FFFFFFFF"/>
      <name val="Arial"/>
    </font>
    <font>
      <i/>
      <sz val="9.0"/>
      <color rgb="FF14A8AC"/>
      <name val="Arial"/>
    </font>
    <font>
      <i/>
      <sz val="9.0"/>
      <color rgb="FF14A8AC"/>
      <name val="Meiryo"/>
    </font>
    <font>
      <b/>
      <sz val="9.0"/>
      <color rgb="FFFFFFFF"/>
      <name val="Arial"/>
    </font>
    <font>
      <b/>
      <sz val="9.0"/>
      <color rgb="FFFFFFFF"/>
      <name val="Meiryo"/>
    </font>
    <font>
      <b/>
      <sz val="10.0"/>
      <color rgb="FFFFFFFF"/>
      <name val="Arial"/>
    </font>
    <font>
      <sz val="9.0"/>
      <color rgb="FF1A2E4A"/>
      <name val="Arial"/>
    </font>
    <font>
      <b/>
      <sz val="9.0"/>
      <color rgb="FF1A2E4A"/>
      <name val="Arial"/>
    </font>
    <font>
      <b/>
      <sz val="10.0"/>
      <color rgb="FFFFFFFF"/>
      <name val="Meiryo"/>
    </font>
    <font>
      <sz val="11.0"/>
      <color theme="1"/>
      <name val="Calibri"/>
    </font>
    <font>
      <b/>
      <sz val="9.0"/>
      <color rgb="FF1A2E4A"/>
      <name val="Meiryo"/>
    </font>
    <font>
      <b/>
      <strike/>
      <sz val="9.0"/>
      <color rgb="FF1A2E4A"/>
      <name val="Meiryo"/>
    </font>
    <font>
      <b/>
      <sz val="11.0"/>
      <color rgb="FFFF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A2E4A"/>
        <bgColor rgb="FF1A2E4A"/>
      </patternFill>
    </fill>
    <fill>
      <patternFill patternType="solid">
        <fgColor rgb="FF243A5E"/>
        <bgColor rgb="FF243A5E"/>
      </patternFill>
    </fill>
    <fill>
      <patternFill patternType="solid">
        <fgColor rgb="FF0D7377"/>
        <bgColor rgb="FF0D7377"/>
      </patternFill>
    </fill>
    <fill>
      <patternFill patternType="solid">
        <fgColor rgb="FFFFFFFF"/>
        <bgColor rgb="FFFFFFFF"/>
      </patternFill>
    </fill>
    <fill>
      <patternFill patternType="solid">
        <fgColor rgb="FFFEE2E2"/>
        <bgColor rgb="FFFEE2E2"/>
      </patternFill>
    </fill>
    <fill>
      <patternFill patternType="solid">
        <fgColor rgb="FFFED7AA"/>
        <bgColor rgb="FFFED7AA"/>
      </patternFill>
    </fill>
    <fill>
      <patternFill patternType="solid">
        <fgColor rgb="FFFEF3C7"/>
        <bgColor rgb="FFFEF3C7"/>
      </patternFill>
    </fill>
    <fill>
      <patternFill patternType="solid">
        <fgColor rgb="FFD1FAE5"/>
        <bgColor rgb="FFD1FAE5"/>
      </patternFill>
    </fill>
  </fills>
  <borders count="5">
    <border/>
    <border>
      <lef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0" fillId="0" fontId="3" numFmtId="0" xfId="0" applyFont="1"/>
    <xf borderId="1" fillId="2" fontId="4" numFmtId="0" xfId="0" applyAlignment="1" applyBorder="1" applyFont="1">
      <alignment horizontal="center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1" fillId="3" fontId="6" numFmtId="0" xfId="0" applyAlignment="1" applyBorder="1" applyFont="1">
      <alignment horizontal="left" shrinkToFit="0" vertical="center" wrapText="1"/>
    </xf>
    <xf borderId="3" fillId="4" fontId="7" numFmtId="0" xfId="0" applyAlignment="1" applyBorder="1" applyFill="1" applyFont="1">
      <alignment horizontal="center" shrinkToFit="0" vertical="center" wrapText="1"/>
    </xf>
    <xf borderId="3" fillId="4" fontId="8" numFmtId="0" xfId="0" applyAlignment="1" applyBorder="1" applyFont="1">
      <alignment horizontal="center" shrinkToFit="0" vertical="center" wrapText="1"/>
    </xf>
    <xf borderId="3" fillId="4" fontId="9" numFmtId="0" xfId="0" applyAlignment="1" applyBorder="1" applyFont="1">
      <alignment horizontal="center" shrinkToFit="0" vertical="center" wrapText="1"/>
    </xf>
    <xf borderId="3" fillId="5" fontId="10" numFmtId="0" xfId="0" applyAlignment="1" applyBorder="1" applyFill="1" applyFont="1">
      <alignment horizontal="left" shrinkToFit="0" vertical="center" wrapText="1"/>
    </xf>
    <xf borderId="3" fillId="6" fontId="11" numFmtId="0" xfId="0" applyAlignment="1" applyBorder="1" applyFill="1" applyFont="1">
      <alignment horizontal="center" shrinkToFit="0" vertical="center" wrapText="1"/>
    </xf>
    <xf borderId="3" fillId="4" fontId="12" numFmtId="0" xfId="0" applyAlignment="1" applyBorder="1" applyFont="1">
      <alignment horizontal="center" shrinkToFit="0" vertical="center" wrapText="1"/>
    </xf>
    <xf borderId="4" fillId="0" fontId="13" numFmtId="0" xfId="0" applyAlignment="1" applyBorder="1" applyFont="1">
      <alignment readingOrder="0" shrinkToFit="0" vertical="top" wrapText="1"/>
    </xf>
    <xf borderId="3" fillId="7" fontId="11" numFmtId="0" xfId="0" applyAlignment="1" applyBorder="1" applyFill="1" applyFont="1">
      <alignment horizontal="center" shrinkToFit="0" vertical="center" wrapText="1"/>
    </xf>
    <xf borderId="3" fillId="6" fontId="14" numFmtId="0" xfId="0" applyAlignment="1" applyBorder="1" applyFont="1">
      <alignment horizontal="center" shrinkToFit="0" vertical="center" wrapText="1"/>
    </xf>
    <xf borderId="3" fillId="8" fontId="14" numFmtId="0" xfId="0" applyAlignment="1" applyBorder="1" applyFill="1" applyFont="1">
      <alignment horizontal="center" shrinkToFit="0" vertical="center" wrapText="1"/>
    </xf>
    <xf borderId="3" fillId="8" fontId="11" numFmtId="0" xfId="0" applyAlignment="1" applyBorder="1" applyFont="1">
      <alignment horizontal="center" shrinkToFit="0" vertical="center" wrapText="1"/>
    </xf>
    <xf borderId="3" fillId="6" fontId="15" numFmtId="0" xfId="0" applyAlignment="1" applyBorder="1" applyFont="1">
      <alignment horizontal="center" shrinkToFit="0" vertical="center" wrapText="1"/>
    </xf>
    <xf borderId="3" fillId="9" fontId="11" numFmtId="0" xfId="0" applyAlignment="1" applyBorder="1" applyFill="1" applyFont="1">
      <alignment horizontal="center" shrinkToFit="0" vertical="center" wrapText="1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26.0"/>
    <col customWidth="1" min="3" max="3" width="10.0"/>
    <col customWidth="1" min="4" max="4" width="20.0"/>
    <col customWidth="1" min="5" max="5" width="22.0"/>
    <col customWidth="1" min="6" max="7" width="35.0"/>
    <col customWidth="1" min="8" max="8" width="40.0"/>
    <col customWidth="1" min="9" max="9" width="12.0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6"/>
      <c r="B2" s="2"/>
      <c r="C2" s="2"/>
      <c r="D2" s="2"/>
      <c r="E2" s="2"/>
      <c r="F2" s="2"/>
      <c r="G2" s="2"/>
      <c r="H2" s="2"/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7.75" customHeight="1">
      <c r="A3" s="8" t="s">
        <v>3</v>
      </c>
      <c r="B3" s="8" t="s">
        <v>4</v>
      </c>
      <c r="C3" s="8" t="s">
        <v>5</v>
      </c>
      <c r="D3" s="8" t="s">
        <v>6</v>
      </c>
      <c r="E3" s="8" t="s">
        <v>12</v>
      </c>
      <c r="F3" s="8" t="s">
        <v>14</v>
      </c>
      <c r="G3" s="8" t="s">
        <v>15</v>
      </c>
      <c r="H3" s="8" t="s">
        <v>10</v>
      </c>
      <c r="I3" s="8" t="s">
        <v>13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64.5" customHeight="1">
      <c r="A4" s="12">
        <v>1.0</v>
      </c>
      <c r="B4" s="13" t="s">
        <v>22</v>
      </c>
      <c r="C4" s="13" t="s">
        <v>28</v>
      </c>
      <c r="D4" s="13" t="s">
        <v>30</v>
      </c>
      <c r="E4" s="13" t="s">
        <v>32</v>
      </c>
      <c r="F4" s="13" t="s">
        <v>34</v>
      </c>
      <c r="G4" s="13" t="s">
        <v>35</v>
      </c>
      <c r="H4" s="13" t="s">
        <v>37</v>
      </c>
      <c r="I4" s="15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64.5" customHeight="1">
      <c r="A5" s="12">
        <v>2.0</v>
      </c>
      <c r="B5" s="13" t="s">
        <v>42</v>
      </c>
      <c r="C5" s="13" t="s">
        <v>28</v>
      </c>
      <c r="D5" s="13" t="s">
        <v>45</v>
      </c>
      <c r="E5" s="13" t="s">
        <v>47</v>
      </c>
      <c r="F5" s="13" t="s">
        <v>48</v>
      </c>
      <c r="G5" s="13" t="s">
        <v>49</v>
      </c>
      <c r="H5" s="13" t="s">
        <v>51</v>
      </c>
      <c r="I5" s="16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64.5" customHeight="1">
      <c r="A6" s="12">
        <v>3.0</v>
      </c>
      <c r="B6" s="13" t="s">
        <v>56</v>
      </c>
      <c r="C6" s="13" t="s">
        <v>58</v>
      </c>
      <c r="D6" s="13" t="s">
        <v>59</v>
      </c>
      <c r="E6" s="13" t="s">
        <v>61</v>
      </c>
      <c r="F6" s="13" t="s">
        <v>62</v>
      </c>
      <c r="G6" s="13" t="s">
        <v>64</v>
      </c>
      <c r="H6" s="13" t="s">
        <v>65</v>
      </c>
      <c r="I6" s="18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66.75" customHeight="1">
      <c r="A7" s="12">
        <v>4.0</v>
      </c>
      <c r="B7" s="13" t="s">
        <v>72</v>
      </c>
      <c r="C7" s="13" t="s">
        <v>28</v>
      </c>
      <c r="D7" s="13" t="s">
        <v>73</v>
      </c>
      <c r="E7" s="13" t="s">
        <v>75</v>
      </c>
      <c r="F7" s="13" t="s">
        <v>77</v>
      </c>
      <c r="G7" s="13" t="s">
        <v>79</v>
      </c>
      <c r="H7" s="13" t="s">
        <v>81</v>
      </c>
      <c r="I7" s="15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64.5" customHeight="1">
      <c r="A8" s="12">
        <v>5.0</v>
      </c>
      <c r="B8" s="13" t="s">
        <v>86</v>
      </c>
      <c r="C8" s="13" t="s">
        <v>58</v>
      </c>
      <c r="D8" s="13" t="s">
        <v>89</v>
      </c>
      <c r="E8" s="13" t="s">
        <v>75</v>
      </c>
      <c r="F8" s="13" t="s">
        <v>91</v>
      </c>
      <c r="G8" s="13" t="s">
        <v>92</v>
      </c>
      <c r="H8" s="13" t="s">
        <v>93</v>
      </c>
      <c r="I8" s="15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64.5" customHeight="1">
      <c r="A9" s="12">
        <v>6.0</v>
      </c>
      <c r="B9" s="13" t="s">
        <v>97</v>
      </c>
      <c r="C9" s="13" t="s">
        <v>58</v>
      </c>
      <c r="D9" s="13" t="s">
        <v>100</v>
      </c>
      <c r="E9" s="13" t="s">
        <v>32</v>
      </c>
      <c r="F9" s="13" t="s">
        <v>102</v>
      </c>
      <c r="G9" s="13" t="s">
        <v>103</v>
      </c>
      <c r="H9" s="13" t="s">
        <v>104</v>
      </c>
      <c r="I9" s="1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66.75" customHeight="1">
      <c r="A10" s="12">
        <v>7.0</v>
      </c>
      <c r="B10" s="13" t="s">
        <v>106</v>
      </c>
      <c r="C10" s="13" t="s">
        <v>107</v>
      </c>
      <c r="D10" s="13" t="s">
        <v>108</v>
      </c>
      <c r="E10" s="13" t="s">
        <v>32</v>
      </c>
      <c r="F10" s="13" t="s">
        <v>102</v>
      </c>
      <c r="G10" s="13" t="s">
        <v>109</v>
      </c>
      <c r="H10" s="13" t="s">
        <v>110</v>
      </c>
      <c r="I10" s="1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2">
        <v>8.0</v>
      </c>
      <c r="B11" s="13" t="s">
        <v>111</v>
      </c>
      <c r="C11" s="13" t="s">
        <v>58</v>
      </c>
      <c r="D11" s="13" t="s">
        <v>112</v>
      </c>
      <c r="E11" s="13" t="s">
        <v>32</v>
      </c>
      <c r="F11" s="13" t="s">
        <v>102</v>
      </c>
      <c r="G11" s="13" t="s">
        <v>113</v>
      </c>
      <c r="H11" s="13" t="s">
        <v>114</v>
      </c>
      <c r="I11" s="1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2"/>
      <c r="B12" s="13" t="s">
        <v>115</v>
      </c>
      <c r="C12" s="13" t="s">
        <v>28</v>
      </c>
      <c r="D12" s="13" t="s">
        <v>116</v>
      </c>
      <c r="E12" s="13" t="s">
        <v>117</v>
      </c>
      <c r="F12" s="13" t="s">
        <v>118</v>
      </c>
      <c r="G12" s="13" t="s">
        <v>119</v>
      </c>
      <c r="H12" s="13" t="s">
        <v>120</v>
      </c>
      <c r="I12" s="16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2"/>
      <c r="B13" s="13" t="s">
        <v>121</v>
      </c>
      <c r="C13" s="13" t="s">
        <v>58</v>
      </c>
      <c r="D13" s="13" t="s">
        <v>122</v>
      </c>
      <c r="E13" s="13" t="s">
        <v>123</v>
      </c>
      <c r="F13" s="13" t="s">
        <v>124</v>
      </c>
      <c r="G13" s="13" t="s">
        <v>125</v>
      </c>
      <c r="H13" s="13" t="s">
        <v>126</v>
      </c>
      <c r="I13" s="16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2"/>
      <c r="B14" s="13" t="s">
        <v>127</v>
      </c>
      <c r="C14" s="13" t="s">
        <v>58</v>
      </c>
      <c r="D14" s="13" t="s">
        <v>59</v>
      </c>
      <c r="E14" s="13" t="s">
        <v>128</v>
      </c>
      <c r="F14" s="13" t="s">
        <v>129</v>
      </c>
      <c r="G14" s="13" t="s">
        <v>130</v>
      </c>
      <c r="H14" s="13" t="s">
        <v>131</v>
      </c>
      <c r="I14" s="16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1:I1"/>
    <mergeCell ref="A2:I2"/>
  </mergeCells>
  <dataValidations>
    <dataValidation type="list" allowBlank="1" showErrorMessage="1" sqref="C4:C14">
      <formula1>"低,高,中"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26.0"/>
    <col customWidth="1" min="3" max="3" width="10.0"/>
    <col customWidth="1" min="4" max="4" width="20.0"/>
    <col customWidth="1" min="5" max="5" width="22.0"/>
    <col customWidth="1" min="6" max="7" width="35.0"/>
    <col customWidth="1" min="8" max="8" width="40.0"/>
    <col customWidth="1" min="9" max="9" width="10.0"/>
    <col customWidth="1" min="10" max="10" width="12.0"/>
  </cols>
  <sheetData>
    <row r="1" ht="25.5" customHeight="1">
      <c r="A1" s="4" t="s">
        <v>1</v>
      </c>
      <c r="B1" s="2"/>
      <c r="C1" s="2"/>
      <c r="D1" s="2"/>
      <c r="E1" s="2"/>
      <c r="F1" s="2"/>
      <c r="G1" s="2"/>
      <c r="H1" s="2"/>
      <c r="I1" s="2"/>
      <c r="J1" s="2"/>
    </row>
    <row r="2" ht="15.75" customHeight="1">
      <c r="A2" s="5" t="s">
        <v>2</v>
      </c>
      <c r="B2" s="2"/>
      <c r="C2" s="2"/>
      <c r="D2" s="2"/>
      <c r="E2" s="2"/>
      <c r="F2" s="2"/>
      <c r="G2" s="2"/>
      <c r="H2" s="2"/>
      <c r="I2" s="2"/>
      <c r="J2" s="2"/>
    </row>
    <row r="3" ht="27.75" customHeight="1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  <c r="F3" s="7" t="s">
        <v>8</v>
      </c>
      <c r="G3" s="7" t="s">
        <v>9</v>
      </c>
      <c r="H3" s="7" t="s">
        <v>10</v>
      </c>
      <c r="I3" s="7" t="s">
        <v>11</v>
      </c>
      <c r="J3" s="7" t="s">
        <v>13</v>
      </c>
    </row>
    <row r="4" ht="64.5" customHeight="1">
      <c r="A4" s="9">
        <v>1.0</v>
      </c>
      <c r="B4" s="10" t="s">
        <v>16</v>
      </c>
      <c r="C4" s="11" t="s">
        <v>17</v>
      </c>
      <c r="D4" s="10" t="s">
        <v>18</v>
      </c>
      <c r="E4" s="10" t="s">
        <v>19</v>
      </c>
      <c r="F4" s="10" t="s">
        <v>20</v>
      </c>
      <c r="G4" s="10" t="s">
        <v>21</v>
      </c>
      <c r="H4" s="10"/>
      <c r="I4" s="10" t="s">
        <v>23</v>
      </c>
      <c r="J4" s="11" t="s">
        <v>24</v>
      </c>
    </row>
    <row r="5" ht="64.5" customHeight="1">
      <c r="A5" s="9">
        <v>2.0</v>
      </c>
      <c r="B5" s="10" t="s">
        <v>25</v>
      </c>
      <c r="C5" s="14" t="s">
        <v>26</v>
      </c>
      <c r="D5" s="10" t="s">
        <v>27</v>
      </c>
      <c r="E5" s="10" t="s">
        <v>29</v>
      </c>
      <c r="F5" s="10" t="s">
        <v>31</v>
      </c>
      <c r="G5" s="10" t="s">
        <v>33</v>
      </c>
      <c r="H5" s="10" t="s">
        <v>36</v>
      </c>
      <c r="I5" s="10" t="s">
        <v>38</v>
      </c>
      <c r="J5" s="11" t="s">
        <v>24</v>
      </c>
    </row>
    <row r="6" ht="64.5" customHeight="1">
      <c r="A6" s="9">
        <v>3.0</v>
      </c>
      <c r="B6" s="10" t="s">
        <v>39</v>
      </c>
      <c r="C6" s="14" t="s">
        <v>26</v>
      </c>
      <c r="D6" s="10" t="s">
        <v>27</v>
      </c>
      <c r="E6" s="10" t="s">
        <v>40</v>
      </c>
      <c r="F6" s="10" t="s">
        <v>41</v>
      </c>
      <c r="G6" s="10" t="s">
        <v>43</v>
      </c>
      <c r="H6" s="10" t="s">
        <v>44</v>
      </c>
      <c r="I6" s="10" t="s">
        <v>46</v>
      </c>
      <c r="J6" s="11" t="s">
        <v>24</v>
      </c>
    </row>
    <row r="7" ht="64.5" customHeight="1">
      <c r="A7" s="9">
        <v>4.0</v>
      </c>
      <c r="B7" s="10" t="s">
        <v>50</v>
      </c>
      <c r="C7" s="14" t="s">
        <v>26</v>
      </c>
      <c r="D7" s="10" t="s">
        <v>18</v>
      </c>
      <c r="E7" s="10" t="s">
        <v>52</v>
      </c>
      <c r="F7" s="10" t="s">
        <v>53</v>
      </c>
      <c r="G7" s="10" t="s">
        <v>54</v>
      </c>
      <c r="H7" s="10" t="s">
        <v>55</v>
      </c>
      <c r="I7" s="10" t="s">
        <v>46</v>
      </c>
      <c r="J7" s="11" t="s">
        <v>24</v>
      </c>
    </row>
    <row r="8" ht="64.5" customHeight="1">
      <c r="A8" s="9">
        <v>5.0</v>
      </c>
      <c r="B8" s="10" t="s">
        <v>57</v>
      </c>
      <c r="C8" s="17" t="s">
        <v>60</v>
      </c>
      <c r="D8" s="10" t="s">
        <v>63</v>
      </c>
      <c r="E8" s="10" t="s">
        <v>66</v>
      </c>
      <c r="F8" s="10" t="s">
        <v>67</v>
      </c>
      <c r="G8" s="10" t="s">
        <v>68</v>
      </c>
      <c r="H8" s="10" t="s">
        <v>69</v>
      </c>
      <c r="I8" s="10" t="s">
        <v>70</v>
      </c>
      <c r="J8" s="11" t="s">
        <v>24</v>
      </c>
    </row>
    <row r="9" ht="64.5" customHeight="1">
      <c r="A9" s="9">
        <v>6.0</v>
      </c>
      <c r="B9" s="10" t="s">
        <v>71</v>
      </c>
      <c r="C9" s="17" t="s">
        <v>60</v>
      </c>
      <c r="D9" s="10" t="s">
        <v>27</v>
      </c>
      <c r="E9" s="10" t="s">
        <v>74</v>
      </c>
      <c r="F9" s="10" t="s">
        <v>76</v>
      </c>
      <c r="G9" s="10" t="s">
        <v>78</v>
      </c>
      <c r="H9" s="10" t="s">
        <v>80</v>
      </c>
      <c r="I9" s="10" t="s">
        <v>82</v>
      </c>
      <c r="J9" s="17" t="s">
        <v>83</v>
      </c>
    </row>
    <row r="10" ht="64.5" customHeight="1">
      <c r="A10" s="9">
        <v>7.0</v>
      </c>
      <c r="B10" s="10" t="s">
        <v>84</v>
      </c>
      <c r="C10" s="17" t="s">
        <v>60</v>
      </c>
      <c r="D10" s="10" t="s">
        <v>18</v>
      </c>
      <c r="E10" s="10" t="s">
        <v>85</v>
      </c>
      <c r="F10" s="10" t="s">
        <v>87</v>
      </c>
      <c r="G10" s="10" t="s">
        <v>88</v>
      </c>
      <c r="H10" s="10" t="s">
        <v>90</v>
      </c>
      <c r="I10" s="10" t="s">
        <v>46</v>
      </c>
      <c r="J10" s="11" t="s">
        <v>24</v>
      </c>
    </row>
    <row r="11" ht="64.5" customHeight="1">
      <c r="A11" s="9">
        <v>8.0</v>
      </c>
      <c r="B11" s="10" t="s">
        <v>94</v>
      </c>
      <c r="C11" s="19" t="s">
        <v>95</v>
      </c>
      <c r="D11" s="10" t="s">
        <v>27</v>
      </c>
      <c r="E11" s="10" t="s">
        <v>96</v>
      </c>
      <c r="F11" s="10" t="s">
        <v>98</v>
      </c>
      <c r="G11" s="10" t="s">
        <v>99</v>
      </c>
      <c r="H11" s="10" t="s">
        <v>101</v>
      </c>
      <c r="I11" s="10" t="s">
        <v>82</v>
      </c>
      <c r="J11" s="17" t="s">
        <v>83</v>
      </c>
    </row>
    <row r="15">
      <c r="D15" s="20" t="s">
        <v>105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66E2D3972BCD4E66B8F8CF348956F87F_12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