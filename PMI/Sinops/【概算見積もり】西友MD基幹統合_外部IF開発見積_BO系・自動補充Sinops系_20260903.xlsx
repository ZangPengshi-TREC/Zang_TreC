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サマリー" sheetId="1" r:id="rId5"/>
    <sheet state="visible" name="BO系明細" sheetId="2" r:id="rId6"/>
    <sheet state="visible" name="Sinops系明細" sheetId="3" r:id="rId7"/>
    <sheet state="visible" name="共通・PJ管理" sheetId="4" r:id="rId8"/>
    <sheet state="hidden" name="前提条件・注記BK" sheetId="5" r:id="rId9"/>
    <sheet state="visible" name="前提条件・注記" sheetId="6" r:id="rId10"/>
  </sheets>
  <definedNames/>
  <calcPr/>
</workbook>
</file>

<file path=xl/sharedStrings.xml><?xml version="1.0" encoding="utf-8"?>
<sst xmlns="http://schemas.openxmlformats.org/spreadsheetml/2006/main" count="498" uniqueCount="292">
  <si>
    <r>
      <rPr>
        <rFont val="Noto Sans CJK SC"/>
        <b/>
        <color theme="1"/>
        <sz val="14.0"/>
      </rPr>
      <t>【共通基盤・</t>
    </r>
    <r>
      <rPr>
        <rFont val="Arial"/>
        <b/>
        <color theme="1"/>
        <sz val="14.0"/>
      </rPr>
      <t>PJ</t>
    </r>
    <r>
      <rPr>
        <rFont val="Noto Sans CJK SC"/>
        <b/>
        <color theme="1"/>
        <sz val="14.0"/>
      </rPr>
      <t>管理】工数明細</t>
    </r>
  </si>
  <si>
    <r>
      <rPr>
        <rFont val="Noto Sans CJK SC"/>
        <b/>
        <color theme="1"/>
        <sz val="14.0"/>
      </rPr>
      <t>【自動補充</t>
    </r>
    <r>
      <rPr>
        <rFont val="Arial"/>
        <b/>
        <color theme="1"/>
        <sz val="14.0"/>
      </rPr>
      <t>Sinops</t>
    </r>
    <r>
      <rPr>
        <rFont val="Noto Sans CJK SC"/>
        <b/>
        <color theme="1"/>
        <sz val="14.0"/>
      </rPr>
      <t>系】外部</t>
    </r>
    <r>
      <rPr>
        <rFont val="Arial"/>
        <b/>
        <color theme="1"/>
        <sz val="14.0"/>
      </rPr>
      <t xml:space="preserve">IF </t>
    </r>
    <r>
      <rPr>
        <rFont val="Noto Sans CJK SC"/>
        <b/>
        <color theme="1"/>
        <sz val="14.0"/>
      </rPr>
      <t>工数明細（詳細設計・開発・単体テスト）</t>
    </r>
  </si>
  <si>
    <r>
      <rPr>
        <rFont val="Noto Sans CJK SC"/>
        <b/>
        <color theme="1"/>
        <sz val="14.0"/>
      </rPr>
      <t>西友</t>
    </r>
    <r>
      <rPr>
        <rFont val="Arial"/>
        <b/>
        <color theme="1"/>
        <sz val="14.0"/>
      </rPr>
      <t>MD</t>
    </r>
    <r>
      <rPr>
        <rFont val="Noto Sans CJK SC"/>
        <b/>
        <color theme="1"/>
        <sz val="14.0"/>
      </rPr>
      <t>基幹統合（</t>
    </r>
    <r>
      <rPr>
        <rFont val="Arial"/>
        <b/>
        <color theme="1"/>
        <sz val="14.0"/>
      </rPr>
      <t>Project West</t>
    </r>
    <r>
      <rPr>
        <rFont val="Noto Sans CJK SC"/>
        <b/>
        <color theme="1"/>
        <sz val="14.0"/>
      </rPr>
      <t>）外部</t>
    </r>
    <r>
      <rPr>
        <rFont val="Arial"/>
        <b/>
        <color theme="1"/>
        <sz val="14.0"/>
      </rPr>
      <t>IF</t>
    </r>
    <r>
      <rPr>
        <rFont val="Noto Sans CJK SC"/>
        <b/>
        <color theme="1"/>
        <sz val="14.0"/>
      </rPr>
      <t>開発 見積書</t>
    </r>
  </si>
  <si>
    <r>
      <rPr>
        <rFont val="Noto Sans CJK SC"/>
        <b/>
        <color theme="1"/>
        <sz val="14.0"/>
      </rPr>
      <t>【</t>
    </r>
    <r>
      <rPr>
        <rFont val="Arial"/>
        <b/>
        <color theme="1"/>
        <sz val="14.0"/>
      </rPr>
      <t>BO</t>
    </r>
    <r>
      <rPr>
        <rFont val="Noto Sans CJK SC"/>
        <b/>
        <color theme="1"/>
        <sz val="14.0"/>
      </rPr>
      <t>系】外部</t>
    </r>
    <r>
      <rPr>
        <rFont val="Arial"/>
        <b/>
        <color theme="1"/>
        <sz val="14.0"/>
      </rPr>
      <t xml:space="preserve">IF </t>
    </r>
    <r>
      <rPr>
        <rFont val="Noto Sans CJK SC"/>
        <b/>
        <color theme="1"/>
        <sz val="14.0"/>
      </rPr>
      <t>工数明細（詳細設計・開発・単体テスト）</t>
    </r>
  </si>
  <si>
    <r>
      <rPr>
        <rFont val="Noto Sans CJK SC"/>
        <color rgb="FF595959"/>
        <sz val="9.0"/>
      </rPr>
      <t>単位：人日　／　出典：西友</t>
    </r>
    <r>
      <rPr>
        <rFont val="Arial"/>
        <color rgb="FF595959"/>
        <sz val="9.0"/>
      </rPr>
      <t>MD</t>
    </r>
    <r>
      <rPr>
        <rFont val="Noto Sans CJK SC"/>
        <color rgb="FF595959"/>
        <sz val="9.0"/>
      </rPr>
      <t>基幹統合 外部</t>
    </r>
    <r>
      <rPr>
        <rFont val="Arial"/>
        <color rgb="FF595959"/>
        <sz val="9.0"/>
      </rPr>
      <t>IF</t>
    </r>
    <r>
      <rPr>
        <rFont val="Noto Sans CJK SC"/>
        <color rgb="FF595959"/>
        <sz val="9.0"/>
      </rPr>
      <t>工数見積（</t>
    </r>
    <r>
      <rPr>
        <rFont val="Arial"/>
        <color rgb="FF595959"/>
        <sz val="9.0"/>
      </rPr>
      <t>Google</t>
    </r>
    <r>
      <rPr>
        <rFont val="Noto Sans CJK SC"/>
        <color rgb="FF595959"/>
        <sz val="9.0"/>
      </rPr>
      <t>スプレッドシート）</t>
    </r>
  </si>
  <si>
    <r>
      <rPr>
        <rFont val="Noto Sans CJK SC"/>
        <color rgb="FF595959"/>
        <sz val="9.0"/>
      </rPr>
      <t>単位：人日　／　出典：西友</t>
    </r>
    <r>
      <rPr>
        <rFont val="Arial"/>
        <color rgb="FF595959"/>
        <sz val="9.0"/>
      </rPr>
      <t>MD</t>
    </r>
    <r>
      <rPr>
        <rFont val="Noto Sans CJK SC"/>
        <color rgb="FF595959"/>
        <sz val="9.0"/>
      </rPr>
      <t>基幹統合 外部</t>
    </r>
    <r>
      <rPr>
        <rFont val="Arial"/>
        <color rgb="FF595959"/>
        <sz val="9.0"/>
      </rPr>
      <t>IF</t>
    </r>
    <r>
      <rPr>
        <rFont val="Noto Sans CJK SC"/>
        <color rgb="FF595959"/>
        <sz val="9.0"/>
      </rPr>
      <t>工数見積（</t>
    </r>
    <r>
      <rPr>
        <rFont val="Arial"/>
        <color rgb="FF595959"/>
        <sz val="9.0"/>
      </rPr>
      <t>Google</t>
    </r>
    <r>
      <rPr>
        <rFont val="Noto Sans CJK SC"/>
        <color rgb="FF595959"/>
        <sz val="9.0"/>
      </rPr>
      <t>スプレッドシート）</t>
    </r>
  </si>
  <si>
    <t>■ 共通基盤（両課題で共用）</t>
  </si>
  <si>
    <r>
      <rPr>
        <rFont val="Noto Sans CJK SC"/>
        <b/>
        <color theme="1"/>
        <sz val="10.0"/>
      </rPr>
      <t>対象工程：詳細設計・開発・単体テスト　／　対象課題：</t>
    </r>
    <r>
      <rPr>
        <rFont val="Arial"/>
        <b/>
        <color theme="1"/>
        <sz val="10.0"/>
      </rPr>
      <t>BO</t>
    </r>
    <r>
      <rPr>
        <rFont val="Noto Sans CJK SC"/>
        <b/>
        <color theme="1"/>
        <sz val="10.0"/>
      </rPr>
      <t>系・自動補充</t>
    </r>
    <r>
      <rPr>
        <rFont val="Arial"/>
        <b/>
        <color theme="1"/>
        <sz val="10.0"/>
      </rPr>
      <t>Sinops</t>
    </r>
    <r>
      <rPr>
        <rFont val="Noto Sans CJK SC"/>
        <b/>
        <color theme="1"/>
        <sz val="10.0"/>
      </rPr>
      <t>系</t>
    </r>
  </si>
  <si>
    <r>
      <rPr>
        <rFont val="Arial"/>
        <b/>
        <color theme="1"/>
        <sz val="10.0"/>
      </rPr>
      <t>■ Layer① TRIAL↔GCS</t>
    </r>
    <r>
      <rPr>
        <rFont val="Noto Sans CJK SC"/>
        <b/>
        <color theme="1"/>
        <sz val="10.0"/>
      </rPr>
      <t>（外部</t>
    </r>
    <r>
      <rPr>
        <rFont val="Arial"/>
        <b/>
        <color theme="1"/>
        <sz val="10.0"/>
      </rPr>
      <t>IF</t>
    </r>
    <r>
      <rPr>
        <rFont val="Noto Sans CJK SC"/>
        <b/>
        <color theme="1"/>
        <sz val="10.0"/>
      </rPr>
      <t>プログラム開発）</t>
    </r>
  </si>
  <si>
    <r>
      <rPr>
        <rFont val="Noto Sans CJK SC"/>
        <color rgb="FF595959"/>
        <sz val="9.0"/>
      </rPr>
      <t>単位：人日　／　出典：西友</t>
    </r>
    <r>
      <rPr>
        <rFont val="Arial"/>
        <color rgb="FF595959"/>
        <sz val="9.0"/>
      </rPr>
      <t>MD</t>
    </r>
    <r>
      <rPr>
        <rFont val="Noto Sans CJK SC"/>
        <color rgb="FF595959"/>
        <sz val="9.0"/>
      </rPr>
      <t>基幹統合 外部</t>
    </r>
    <r>
      <rPr>
        <rFont val="Arial"/>
        <color rgb="FF595959"/>
        <sz val="9.0"/>
      </rPr>
      <t>IF</t>
    </r>
    <r>
      <rPr>
        <rFont val="Noto Sans CJK SC"/>
        <color rgb="FF595959"/>
        <sz val="9.0"/>
      </rPr>
      <t>工数見積（</t>
    </r>
    <r>
      <rPr>
        <rFont val="Arial"/>
        <color rgb="FF595959"/>
        <sz val="9.0"/>
      </rPr>
      <t>Google</t>
    </r>
    <r>
      <rPr>
        <rFont val="Noto Sans CJK SC"/>
        <color rgb="FF595959"/>
        <sz val="9.0"/>
      </rPr>
      <t>スプレッドシート）</t>
    </r>
  </si>
  <si>
    <r>
      <rPr>
        <rFont val="Arial"/>
        <b/>
        <color theme="1"/>
        <sz val="10.0"/>
      </rPr>
      <t>■ Layer① TRIAL↔GCS</t>
    </r>
    <r>
      <rPr>
        <rFont val="Noto Sans CJK SC"/>
        <b/>
        <color theme="1"/>
        <sz val="10.0"/>
      </rPr>
      <t>（外部</t>
    </r>
    <r>
      <rPr>
        <rFont val="Arial"/>
        <b/>
        <color theme="1"/>
        <sz val="10.0"/>
      </rPr>
      <t>IF</t>
    </r>
    <r>
      <rPr>
        <rFont val="Noto Sans CJK SC"/>
        <b/>
        <color theme="1"/>
        <sz val="10.0"/>
      </rPr>
      <t>プログラム開発）</t>
    </r>
  </si>
  <si>
    <r>
      <rPr>
        <rFont val="Arial"/>
        <color rgb="FF595959"/>
        <sz val="9.0"/>
      </rPr>
      <t>IF</t>
    </r>
    <r>
      <rPr>
        <rFont val="Noto Sans CJK SC"/>
        <color rgb="FF595959"/>
        <sz val="9.0"/>
      </rPr>
      <t>用サーバー構築、</t>
    </r>
    <r>
      <rPr>
        <rFont val="Arial"/>
        <color rgb="FF595959"/>
        <sz val="9.0"/>
      </rPr>
      <t>MD/SCM</t>
    </r>
    <r>
      <rPr>
        <rFont val="Noto Sans CJK SC"/>
        <color rgb="FF595959"/>
        <sz val="9.0"/>
      </rPr>
      <t>・</t>
    </r>
    <r>
      <rPr>
        <rFont val="Arial"/>
        <color rgb="FF595959"/>
        <sz val="9.0"/>
      </rPr>
      <t>BO</t>
    </r>
    <r>
      <rPr>
        <rFont val="Noto Sans CJK SC"/>
        <color rgb="FF595959"/>
        <sz val="9.0"/>
      </rPr>
      <t>の共通化、型変換</t>
    </r>
  </si>
  <si>
    <t>作成日：2026/08/31　／　単位：工数=人日、金額=円</t>
  </si>
  <si>
    <t>■ 単価前提（入力欄）</t>
  </si>
  <si>
    <t>工程</t>
  </si>
  <si>
    <r>
      <rPr>
        <rFont val="Arial"/>
        <color rgb="FF595959"/>
        <sz val="9.0"/>
      </rPr>
      <t>IF</t>
    </r>
    <r>
      <rPr>
        <rFont val="Noto Sans CJK SC"/>
        <color rgb="FF595959"/>
        <sz val="9.0"/>
      </rPr>
      <t>用サーバー／</t>
    </r>
    <r>
      <rPr>
        <rFont val="Arial"/>
        <color rgb="FF595959"/>
        <sz val="9.0"/>
      </rPr>
      <t xml:space="preserve">DataSpider </t>
    </r>
    <r>
      <rPr>
        <rFont val="Noto Sans CJK SC"/>
        <color rgb="FF595959"/>
        <sz val="9.0"/>
      </rPr>
      <t>の立ち上げ・設定・教育</t>
    </r>
  </si>
  <si>
    <r>
      <rPr>
        <rFont val="Noto Sans CJK SC"/>
        <b/>
        <color rgb="FFFFFFFF"/>
        <sz val="11.0"/>
      </rPr>
      <t>単価（円</t>
    </r>
    <r>
      <rPr>
        <rFont val="Arial"/>
        <b/>
        <color rgb="FFFFFFFF"/>
        <sz val="11.0"/>
      </rPr>
      <t>/</t>
    </r>
    <r>
      <rPr>
        <rFont val="Noto Sans CJK SC"/>
        <b/>
        <color rgb="FFFFFFFF"/>
        <sz val="11.0"/>
      </rPr>
      <t>人日）</t>
    </r>
  </si>
  <si>
    <t>備考</t>
  </si>
  <si>
    <r>
      <rPr>
        <rFont val="Arial"/>
        <color rgb="FF595959"/>
        <sz val="9.0"/>
      </rPr>
      <t>IF</t>
    </r>
    <r>
      <rPr>
        <rFont val="Noto Sans CJK SC"/>
        <color rgb="FF595959"/>
        <sz val="9.0"/>
      </rPr>
      <t>用サーバー構築、</t>
    </r>
    <r>
      <rPr>
        <rFont val="Arial"/>
        <color rgb="FF595959"/>
        <sz val="9.0"/>
      </rPr>
      <t>MD/SCM</t>
    </r>
    <r>
      <rPr>
        <rFont val="Noto Sans CJK SC"/>
        <color rgb="FF595959"/>
        <sz val="9.0"/>
      </rPr>
      <t>・</t>
    </r>
    <r>
      <rPr>
        <rFont val="Arial"/>
        <color rgb="FF595959"/>
        <sz val="9.0"/>
      </rPr>
      <t>BO</t>
    </r>
    <r>
      <rPr>
        <rFont val="Noto Sans CJK SC"/>
        <color rgb="FF595959"/>
        <sz val="9.0"/>
      </rPr>
      <t>の共通化、型変換</t>
    </r>
  </si>
  <si>
    <r>
      <rPr>
        <rFont val="Arial"/>
        <b/>
        <color rgb="FFFFFFFF"/>
        <sz val="11.0"/>
      </rPr>
      <t>IF</t>
    </r>
    <r>
      <rPr>
        <rFont val="Noto Sans CJK SC"/>
        <b/>
        <color rgb="FFFFFFFF"/>
        <sz val="11.0"/>
      </rPr>
      <t>名称／マスタ種別</t>
    </r>
  </si>
  <si>
    <r>
      <rPr>
        <rFont val="Arial"/>
        <b/>
        <color rgb="FFFFFFFF"/>
        <sz val="11.0"/>
      </rPr>
      <t>IF</t>
    </r>
    <r>
      <rPr>
        <rFont val="Noto Sans CJK SC"/>
        <b/>
        <color rgb="FFFFFFFF"/>
        <sz val="11.0"/>
      </rPr>
      <t>名称／マスタ種別</t>
    </r>
  </si>
  <si>
    <r>
      <rPr>
        <rFont val="Arial"/>
        <b/>
        <color rgb="FFFFFFFF"/>
        <sz val="11.0"/>
      </rPr>
      <t>IF</t>
    </r>
    <r>
      <rPr>
        <rFont val="Noto Sans CJK SC"/>
        <b/>
        <color rgb="FFFFFFFF"/>
        <sz val="11.0"/>
      </rPr>
      <t>名称／マスタ種別</t>
    </r>
  </si>
  <si>
    <r>
      <rPr>
        <rFont val="Noto Sans CJK SC"/>
        <b/>
        <color rgb="FFFFFFFF"/>
        <sz val="11.0"/>
      </rPr>
      <t>対応</t>
    </r>
    <r>
      <rPr>
        <rFont val="Arial"/>
        <b/>
        <color rgb="FFFFFFFF"/>
        <sz val="11.0"/>
      </rPr>
      <t>IF No.</t>
    </r>
  </si>
  <si>
    <t>PJ管理</t>
  </si>
  <si>
    <r>
      <rPr>
        <rFont val="Noto Sans CJK SC"/>
        <b/>
        <color rgb="FFFFFFFF"/>
        <sz val="11.0"/>
      </rPr>
      <t>対応</t>
    </r>
    <r>
      <rPr>
        <rFont val="Arial"/>
        <b/>
        <color rgb="FFFFFFFF"/>
        <sz val="11.0"/>
      </rPr>
      <t>IF No.</t>
    </r>
  </si>
  <si>
    <r>
      <rPr>
        <rFont val="Noto Sans CJK SC"/>
        <b/>
        <color rgb="FFFFFFFF"/>
        <sz val="11.0"/>
      </rPr>
      <t>対応</t>
    </r>
    <r>
      <rPr>
        <rFont val="Arial"/>
        <b/>
        <color rgb="FFFFFFFF"/>
        <sz val="11.0"/>
      </rPr>
      <t>IF No.</t>
    </r>
  </si>
  <si>
    <t>項目数</t>
  </si>
  <si>
    <t>詳細設計</t>
  </si>
  <si>
    <t>開発</t>
  </si>
  <si>
    <t>単体テスト</t>
  </si>
  <si>
    <t>小計</t>
  </si>
  <si>
    <r>
      <rPr>
        <rFont val="Noto Sans CJK SC"/>
        <color theme="1"/>
        <sz val="10.0"/>
      </rPr>
      <t>商品マスタ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基本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</si>
  <si>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Layer① </t>
    </r>
    <r>
      <rPr>
        <rFont val="Noto Sans CJK SC"/>
        <color theme="1"/>
        <sz val="10.0"/>
      </rPr>
      <t>共通</t>
    </r>
  </si>
  <si>
    <t>PM、横断課題解決単価</t>
  </si>
  <si>
    <t>商品マスタ</t>
  </si>
  <si>
    <t>BO-15/32/33</t>
  </si>
  <si>
    <t>IF用サーバー(DEV、STG、PROD)設計、立ち上げ、設定</t>
  </si>
  <si>
    <t>Sinops-01</t>
  </si>
  <si>
    <t>詳細設計工程単価</t>
  </si>
  <si>
    <t>製造工程単価</t>
  </si>
  <si>
    <t>■ 課題別サマリー（直接工数ベース）</t>
  </si>
  <si>
    <t>課題</t>
  </si>
  <si>
    <r>
      <rPr>
        <rFont val="Noto Sans CJK SC"/>
        <b/>
        <color rgb="FFFFFFFF"/>
        <sz val="11.0"/>
      </rPr>
      <t xml:space="preserve">詳細設計
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人日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</si>
  <si>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 xml:space="preserve">開発
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人日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</si>
  <si>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 xml:space="preserve">単体テスト
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人日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</si>
  <si>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 xml:space="preserve">工数計
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人日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</si>
  <si>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 xml:space="preserve">詳細設計
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Arial"/>
        <b/>
        <color rgb="FFFFFFFF"/>
        <sz val="11.0"/>
      </rPr>
      <t>)</t>
    </r>
  </si>
  <si>
    <t>－</t>
  </si>
  <si>
    <r>
      <rPr>
        <rFont val="Noto Sans CJK SC"/>
        <b/>
        <color rgb="FFFFFFFF"/>
        <sz val="11.0"/>
      </rPr>
      <t xml:space="preserve">開発
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</si>
  <si>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 xml:space="preserve">単体テスト
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Arial"/>
        <b/>
        <color rgb="FFFFFFFF"/>
        <sz val="11.0"/>
      </rPr>
      <t>)</t>
    </r>
  </si>
  <si>
    <t>金額計（円）</t>
  </si>
  <si>
    <r>
      <rPr>
        <rFont val="Arial"/>
        <color theme="1"/>
        <sz val="10.0"/>
      </rPr>
      <t>BO</t>
    </r>
    <r>
      <rPr>
        <rFont val="Noto Sans CJK SC"/>
        <color theme="1"/>
        <sz val="10.0"/>
      </rPr>
      <t>系</t>
    </r>
  </si>
  <si>
    <t>今から着手可能な割合50%、残りはマスタ統合PJでの確定後</t>
  </si>
  <si>
    <t>各種マスター課題の解決は前提、進捗次第詳細設計着手する</t>
  </si>
  <si>
    <t>店舗商品マスタ</t>
  </si>
  <si>
    <t>Sinops-02</t>
  </si>
  <si>
    <t>カテゴリマスタ</t>
  </si>
  <si>
    <t>Sinops-03</t>
  </si>
  <si>
    <t>仕入先マスタ</t>
  </si>
  <si>
    <t>Sinops-04</t>
  </si>
  <si>
    <t>〇</t>
  </si>
  <si>
    <t>ケースバラ変換マスタ</t>
  </si>
  <si>
    <t>Sinops-05</t>
  </si>
  <si>
    <r>
      <rPr>
        <rFont val="Arial"/>
        <color rgb="FF595959"/>
        <sz val="9.0"/>
      </rPr>
      <t>BO</t>
    </r>
    <r>
      <rPr>
        <rFont val="Noto Sans CJK SC"/>
        <color rgb="FF595959"/>
        <sz val="9.0"/>
      </rPr>
      <t>系／</t>
    </r>
    <r>
      <rPr>
        <rFont val="Arial"/>
        <color rgb="FF595959"/>
        <sz val="9.0"/>
      </rPr>
      <t>Sinops</t>
    </r>
    <r>
      <rPr>
        <rFont val="Noto Sans CJK SC"/>
        <color rgb="FF595959"/>
        <sz val="9.0"/>
      </rPr>
      <t>系の双方で使用</t>
    </r>
  </si>
  <si>
    <t>販売実績</t>
  </si>
  <si>
    <t>Sinops-06</t>
  </si>
  <si>
    <r>
      <rPr>
        <rFont val="Noto Sans CJK SC"/>
        <color theme="1"/>
        <sz val="10.0"/>
      </rPr>
      <t>商品マスタ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店別</t>
    </r>
    <r>
      <rPr>
        <rFont val="Arial"/>
        <color theme="1"/>
        <sz val="10.0"/>
      </rPr>
      <t>)</t>
    </r>
  </si>
  <si>
    <t>BO-34</t>
  </si>
  <si>
    <r>
      <rPr>
        <rFont val="Arial"/>
        <color theme="1"/>
        <sz val="10.0"/>
      </rPr>
      <t xml:space="preserve">Layer① </t>
    </r>
    <r>
      <rPr>
        <rFont val="Noto Sans CJK SC"/>
        <color theme="1"/>
        <sz val="10.0"/>
      </rPr>
      <t>共通</t>
    </r>
  </si>
  <si>
    <t>Hinemosジョブ設定</t>
  </si>
  <si>
    <t>詳細設計・開発・単体テストは前提依存なし、Phase3の結合テストは売上データ統合が必要</t>
  </si>
  <si>
    <r>
      <rPr>
        <rFont val="Arial"/>
        <color rgb="FF595959"/>
        <sz val="9.0"/>
      </rPr>
      <t>BO</t>
    </r>
    <r>
      <rPr>
        <rFont val="Noto Sans CJK SC"/>
        <color rgb="FF595959"/>
        <sz val="9.0"/>
      </rPr>
      <t>系／</t>
    </r>
    <r>
      <rPr>
        <rFont val="Arial"/>
        <color rgb="FF595959"/>
        <sz val="9.0"/>
      </rPr>
      <t>Sinops</t>
    </r>
    <r>
      <rPr>
        <rFont val="Noto Sans CJK SC"/>
        <color rgb="FF595959"/>
        <sz val="9.0"/>
      </rPr>
      <t>系の双方で使用</t>
    </r>
  </si>
  <si>
    <r>
      <rPr>
        <rFont val="Arial"/>
        <color theme="1"/>
        <sz val="10.0"/>
      </rPr>
      <t xml:space="preserve">Layer② </t>
    </r>
    <r>
      <rPr>
        <rFont val="Noto Sans CJK SC"/>
        <color theme="1"/>
        <sz val="10.0"/>
      </rPr>
      <t>共通</t>
    </r>
  </si>
  <si>
    <t>今から着手可能な割合60%、残りはマスタ統合PJでの確定後</t>
  </si>
  <si>
    <t>時間帯別販売数量</t>
  </si>
  <si>
    <r>
      <rPr>
        <rFont val="Arial"/>
        <color theme="1"/>
        <sz val="10.0"/>
      </rPr>
      <t>DataSpider</t>
    </r>
    <r>
      <rPr>
        <rFont val="Noto Sans CJK SC"/>
        <color theme="1"/>
        <sz val="10.0"/>
      </rPr>
      <t>関連設定、教育</t>
    </r>
  </si>
  <si>
    <t>Sinops-07</t>
  </si>
  <si>
    <r>
      <rPr>
        <rFont val="Arial"/>
        <color rgb="FF595959"/>
        <sz val="9.0"/>
      </rPr>
      <t>BO</t>
    </r>
    <r>
      <rPr>
        <rFont val="Noto Sans CJK SC"/>
        <color rgb="FF595959"/>
        <sz val="9.0"/>
      </rPr>
      <t>系／</t>
    </r>
    <r>
      <rPr>
        <rFont val="Arial"/>
        <color rgb="FF595959"/>
        <sz val="9.0"/>
      </rPr>
      <t>Sinops</t>
    </r>
    <r>
      <rPr>
        <rFont val="Noto Sans CJK SC"/>
        <color rgb="FF595959"/>
        <sz val="9.0"/>
      </rPr>
      <t>系の双方で使用</t>
    </r>
  </si>
  <si>
    <t>来客数実績</t>
  </si>
  <si>
    <t>Sinops-08</t>
  </si>
  <si>
    <t>廃棄情報</t>
  </si>
  <si>
    <t>Sinops-09</t>
  </si>
  <si>
    <t>詳細設計・開発・単体テストは前提依存なし、Phase3の結合テストは廃棄データ統合が必要</t>
  </si>
  <si>
    <t>在庫修正（店舗）</t>
  </si>
  <si>
    <t>Sinops-10</t>
  </si>
  <si>
    <t>詳細設計・開発・単体テストは前提依存なし、Phase3の結合テストは在庫データ統合が必要</t>
  </si>
  <si>
    <t>在庫修正（センター）</t>
  </si>
  <si>
    <t>詳細設計・開発・単体テストは前提依存なし、Phase3の結合テストはWMSセンター在庫データ統合が必要</t>
  </si>
  <si>
    <t>入荷実績</t>
  </si>
  <si>
    <t>Sinops-11</t>
  </si>
  <si>
    <r>
      <rPr>
        <rFont val="Arial"/>
        <color rgb="FF595959"/>
        <sz val="10.0"/>
      </rPr>
      <t>詳細設計・開発・単体テストは前提依存なし、Phase3の結合テストは入荷実績データ統合が必要</t>
    </r>
    <r>
      <rPr>
        <rFont val="Arial"/>
        <color rgb="FFFF0000"/>
        <sz val="10.0"/>
      </rPr>
      <t>(便SHINISE連携)</t>
    </r>
  </si>
  <si>
    <r>
      <rPr>
        <rFont val="Arial"/>
        <b/>
        <color theme="1"/>
        <sz val="10.0"/>
      </rPr>
      <t>■ Layer② GCS→DWH</t>
    </r>
    <r>
      <rPr>
        <rFont val="Noto Sans CJK SC"/>
        <b/>
        <color theme="1"/>
        <sz val="10.0"/>
      </rPr>
      <t>（</t>
    </r>
    <r>
      <rPr>
        <rFont val="Arial"/>
        <b/>
        <color theme="1"/>
        <sz val="10.0"/>
      </rPr>
      <t xml:space="preserve">DataSpider </t>
    </r>
    <r>
      <rPr>
        <rFont val="Noto Sans CJK SC"/>
        <b/>
        <color theme="1"/>
        <sz val="10.0"/>
      </rPr>
      <t>取込ジョブ開発）</t>
    </r>
  </si>
  <si>
    <t>入荷予定</t>
  </si>
  <si>
    <t>Sinops-12</t>
  </si>
  <si>
    <r>
      <rPr>
        <rFont val="Arial"/>
        <b/>
        <color theme="1"/>
        <sz val="10.0"/>
      </rPr>
      <t>■ PJ</t>
    </r>
    <r>
      <rPr>
        <rFont val="Noto Sans CJK SC"/>
        <b/>
        <color theme="1"/>
        <sz val="10.0"/>
      </rPr>
      <t>管理</t>
    </r>
  </si>
  <si>
    <r>
      <rPr>
        <rFont val="Noto Sans CJK SC"/>
        <color rgb="FF595959"/>
        <sz val="9.0"/>
      </rPr>
      <t>基本は</t>
    </r>
    <r>
      <rPr>
        <rFont val="Arial"/>
        <color rgb="FF595959"/>
        <sz val="9.0"/>
      </rPr>
      <t>GCS</t>
    </r>
    <r>
      <rPr>
        <rFont val="Noto Sans CJK SC"/>
        <color rgb="FF595959"/>
        <sz val="9.0"/>
      </rPr>
      <t>上のファイルをそのまま</t>
    </r>
    <r>
      <rPr>
        <rFont val="Arial"/>
        <color rgb="FF595959"/>
        <sz val="9.0"/>
      </rPr>
      <t>Intake</t>
    </r>
    <r>
      <rPr>
        <rFont val="Noto Sans CJK SC"/>
        <color rgb="FF595959"/>
        <sz val="9.0"/>
      </rPr>
      <t>テーブルに格納</t>
    </r>
  </si>
  <si>
    <r>
      <rPr>
        <rFont val="Arial"/>
        <color rgb="FF595959"/>
        <sz val="10.0"/>
      </rPr>
      <t>詳細設計・開発・単体テストは前提依存なし</t>
    </r>
    <r>
      <rPr>
        <rFont val="Arial"/>
        <color rgb="FFFF0000"/>
        <sz val="10.0"/>
      </rPr>
      <t>(便SHINISE連携)</t>
    </r>
  </si>
  <si>
    <r>
      <rPr>
        <rFont val="Noto Sans CJK SC"/>
        <color rgb="FF595959"/>
        <sz val="9.0"/>
      </rPr>
      <t>進捗・品質管理、横断課題対応、</t>
    </r>
    <r>
      <rPr>
        <rFont val="Arial"/>
        <color rgb="FF595959"/>
        <sz val="9.0"/>
      </rPr>
      <t>MT</t>
    </r>
    <r>
      <rPr>
        <rFont val="Noto Sans CJK SC"/>
        <color rgb="FF595959"/>
        <sz val="9.0"/>
      </rPr>
      <t>対応など</t>
    </r>
  </si>
  <si>
    <t>発注スケジュール</t>
  </si>
  <si>
    <r>
      <rPr>
        <rFont val="Arial"/>
        <b/>
        <color rgb="FFFFFFFF"/>
        <sz val="11.0"/>
      </rPr>
      <t>IF</t>
    </r>
    <r>
      <rPr>
        <rFont val="Noto Sans CJK SC"/>
        <b/>
        <color rgb="FFFFFFFF"/>
        <sz val="11.0"/>
      </rPr>
      <t>名称／マスタ種別</t>
    </r>
  </si>
  <si>
    <t>Sinops-13</t>
  </si>
  <si>
    <r>
      <rPr>
        <rFont val="Noto Sans CJK SC"/>
        <b/>
        <color rgb="FFFFFFFF"/>
        <sz val="11.0"/>
      </rPr>
      <t>対応</t>
    </r>
    <r>
      <rPr>
        <rFont val="Arial"/>
        <b/>
        <color rgb="FFFFFFFF"/>
        <sz val="11.0"/>
      </rPr>
      <t>IF No.</t>
    </r>
  </si>
  <si>
    <r>
      <rPr>
        <rFont val="Arial"/>
        <b/>
        <color rgb="FFFFFFFF"/>
        <sz val="11.0"/>
      </rPr>
      <t>IF</t>
    </r>
    <r>
      <rPr>
        <rFont val="Noto Sans CJK SC"/>
        <b/>
        <color rgb="FFFFFFFF"/>
        <sz val="11.0"/>
      </rPr>
      <t>名称／マスタ種別</t>
    </r>
  </si>
  <si>
    <r>
      <rPr>
        <rFont val="Noto Sans CJK SC"/>
        <b/>
        <color rgb="FFFFFFFF"/>
        <sz val="11.0"/>
      </rPr>
      <t>対応</t>
    </r>
    <r>
      <rPr>
        <rFont val="Arial"/>
        <b/>
        <color rgb="FFFFFFFF"/>
        <sz val="11.0"/>
      </rPr>
      <t>IF No.</t>
    </r>
  </si>
  <si>
    <r>
      <rPr>
        <rFont val="Arial"/>
        <color rgb="FFFF0000"/>
        <sz val="10.0"/>
      </rPr>
      <t>各種マスター課題の解決は前提、進捗次第詳細設計着手する</t>
    </r>
    <r>
      <rPr>
        <rFont val="Arial"/>
        <color rgb="FF595959"/>
        <sz val="10.0"/>
      </rPr>
      <t xml:space="preserve">
1.発注締め時間マスタはCoresaverから出力必要 2.自動発注対象マスタはShiniseから連携前提</t>
    </r>
  </si>
  <si>
    <t>棚割明細</t>
  </si>
  <si>
    <t>Sinops-14</t>
  </si>
  <si>
    <r>
      <rPr>
        <rFont val="Noto Sans CJK SC"/>
        <color theme="1"/>
        <sz val="10.0"/>
      </rPr>
      <t>商品マスタ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基本</t>
    </r>
    <r>
      <rPr>
        <rFont val="Arial"/>
        <color theme="1"/>
        <sz val="10.0"/>
      </rPr>
      <t>)</t>
    </r>
  </si>
  <si>
    <t>1.棚割データ連携は前提 2.受信DWH→GCSと送信GCS→DWHの両方</t>
  </si>
  <si>
    <r>
      <rPr>
        <rFont val="Arial"/>
        <color theme="1"/>
        <sz val="10.0"/>
      </rPr>
      <t>PJ</t>
    </r>
    <r>
      <rPr>
        <rFont val="Noto Sans CJK SC"/>
        <color theme="1"/>
        <sz val="10.0"/>
      </rPr>
      <t>管理</t>
    </r>
  </si>
  <si>
    <t>新商品用在庫データ連携</t>
  </si>
  <si>
    <t>Sinops-15</t>
  </si>
  <si>
    <r>
      <rPr>
        <rFont val="Arial"/>
        <color rgb="FF595959"/>
        <sz val="10.0"/>
      </rPr>
      <t>西友</t>
    </r>
    <r>
      <rPr>
        <rFont val="Arial"/>
        <color rgb="FF595959"/>
        <sz val="10.0"/>
      </rPr>
      <t>DWH</t>
    </r>
    <r>
      <rPr>
        <rFont val="Arial"/>
        <color rgb="FF595959"/>
        <sz val="10.0"/>
      </rPr>
      <t>上の棚割データと</t>
    </r>
    <r>
      <rPr>
        <rFont val="Arial"/>
        <color rgb="FF595959"/>
        <sz val="10.0"/>
      </rPr>
      <t>TRIAL MD</t>
    </r>
    <r>
      <rPr>
        <rFont val="Arial"/>
        <color rgb="FF595959"/>
        <sz val="10.0"/>
      </rPr>
      <t>基幹のマスタ情報を参照して新商品の在庫データ連携</t>
    </r>
    <r>
      <rPr>
        <rFont val="Arial"/>
        <color rgb="FF595959"/>
        <sz val="10.0"/>
      </rPr>
      <t>I/F</t>
    </r>
    <r>
      <rPr>
        <rFont val="Arial"/>
        <color rgb="FF595959"/>
        <sz val="10.0"/>
      </rPr>
      <t>を構築</t>
    </r>
  </si>
  <si>
    <r>
      <rPr>
        <rFont val="Noto Sans CJK SC"/>
        <color theme="1"/>
        <sz val="10.0"/>
      </rPr>
      <t>商品マスタ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店別</t>
    </r>
    <r>
      <rPr>
        <rFont val="Arial"/>
        <color theme="1"/>
        <sz val="10.0"/>
      </rPr>
      <t>)</t>
    </r>
  </si>
  <si>
    <t>全課題横断。詳細設計単価で計上</t>
  </si>
  <si>
    <t>商品マスタ【倉庫】</t>
  </si>
  <si>
    <t>Sinops-16</t>
  </si>
  <si>
    <t>各種マスター課題の解決は前提、WMSセンター在庫数連携は前提、進捗次第詳細設計着手する</t>
  </si>
  <si>
    <t>仕入先マスタ【倉庫】</t>
  </si>
  <si>
    <t>Sinops-17</t>
  </si>
  <si>
    <t>仕入先休日設定【倉庫】</t>
  </si>
  <si>
    <t>Sinops-18</t>
  </si>
  <si>
    <t>TRIAL自動発注連携は前提、進捗次第着手する</t>
  </si>
  <si>
    <t>合計（当課題）</t>
  </si>
  <si>
    <t>仕入先発注曜日設定【倉庫】</t>
  </si>
  <si>
    <t>Sinops-19</t>
  </si>
  <si>
    <r>
      <rPr>
        <rFont val="Noto Sans CJK SC"/>
        <color theme="1"/>
        <sz val="10.0"/>
      </rPr>
      <t>自動補充</t>
    </r>
    <r>
      <rPr>
        <rFont val="Arial"/>
        <color theme="1"/>
        <sz val="10.0"/>
      </rPr>
      <t>Sinops</t>
    </r>
    <r>
      <rPr>
        <rFont val="Noto Sans CJK SC"/>
        <color theme="1"/>
        <sz val="10.0"/>
      </rPr>
      <t>系</t>
    </r>
  </si>
  <si>
    <r>
      <rPr>
        <rFont val="Arial"/>
        <color rgb="FFFF0000"/>
        <sz val="10.0"/>
      </rPr>
      <t>各種マスター課題の解決は前提、進捗次第詳細設計着手する</t>
    </r>
    <r>
      <rPr>
        <rFont val="Arial"/>
        <color rgb="FF595959"/>
        <sz val="10.0"/>
      </rPr>
      <t xml:space="preserve">
1.発注締め時間マスタはCoresaverから出力必要 2.自動発注対象マスタはShiniseから連携前提</t>
    </r>
  </si>
  <si>
    <t>発注実績【倉庫】</t>
  </si>
  <si>
    <t>Sinops-20</t>
  </si>
  <si>
    <r>
      <rPr>
        <rFont val="Arial"/>
        <color rgb="FF595959"/>
        <sz val="10.0"/>
      </rPr>
      <t xml:space="preserve">詳細設計・開発・単体テストは前提依存なし　</t>
    </r>
    <r>
      <rPr>
        <rFont val="Arial"/>
        <color rgb="FFFF0000"/>
        <sz val="10.0"/>
      </rPr>
      <t>HITLUSTERと連携</t>
    </r>
  </si>
  <si>
    <t>受払明細【倉庫】</t>
  </si>
  <si>
    <t>Sinops-21</t>
  </si>
  <si>
    <r>
      <rPr>
        <rFont val="Arial"/>
        <color rgb="FF595959"/>
        <sz val="10.0"/>
      </rPr>
      <t xml:space="preserve">詳細設計・開発・単体テストは前提依存なし　</t>
    </r>
    <r>
      <rPr>
        <rFont val="Arial"/>
        <color rgb="FFFF0000"/>
        <sz val="10.0"/>
      </rPr>
      <t>HITLUSTERと連携</t>
    </r>
  </si>
  <si>
    <r>
      <rPr>
        <rFont val="Arial"/>
        <color theme="1"/>
        <sz val="10.0"/>
      </rPr>
      <t>発注勧告</t>
    </r>
    <r>
      <rPr>
        <rFont val="Arial"/>
        <color theme="1"/>
        <sz val="10.0"/>
      </rPr>
      <t>(</t>
    </r>
    <r>
      <rPr>
        <rFont val="Arial"/>
        <color theme="1"/>
        <sz val="10.0"/>
      </rPr>
      <t>当日分</t>
    </r>
    <r>
      <rPr>
        <rFont val="Arial"/>
        <color theme="1"/>
        <sz val="10.0"/>
      </rPr>
      <t>)</t>
    </r>
    <r>
      <rPr>
        <rFont val="Arial"/>
        <color theme="1"/>
        <sz val="10.0"/>
      </rPr>
      <t>【倉庫】</t>
    </r>
  </si>
  <si>
    <t>Sinops-22</t>
  </si>
  <si>
    <r>
      <rPr>
        <rFont val="Arial"/>
        <color rgb="FF595959"/>
        <sz val="10.0"/>
      </rPr>
      <t xml:space="preserve">詳細設計・開発・単体テストは前提依存なし　 </t>
    </r>
    <r>
      <rPr>
        <rFont val="Arial"/>
        <color rgb="FFFF0000"/>
        <sz val="10.0"/>
      </rPr>
      <t>CORESAVER連携→SHINISE連携？？？</t>
    </r>
  </si>
  <si>
    <r>
      <rPr>
        <rFont val="Arial"/>
        <color theme="1"/>
        <sz val="10.0"/>
      </rPr>
      <t>発注勧告</t>
    </r>
    <r>
      <rPr>
        <rFont val="Arial"/>
        <color theme="1"/>
        <sz val="10.0"/>
      </rPr>
      <t>(</t>
    </r>
    <r>
      <rPr>
        <rFont val="Arial"/>
        <color theme="1"/>
        <sz val="10.0"/>
      </rPr>
      <t>翌日以降分</t>
    </r>
    <r>
      <rPr>
        <rFont val="Arial"/>
        <color theme="1"/>
        <sz val="10.0"/>
      </rPr>
      <t>)</t>
    </r>
    <r>
      <rPr>
        <rFont val="Arial"/>
        <color theme="1"/>
        <sz val="10.0"/>
      </rPr>
      <t>【倉庫】</t>
    </r>
  </si>
  <si>
    <r>
      <rPr>
        <rFont val="Arial"/>
        <b/>
        <color theme="1"/>
        <sz val="10.0"/>
      </rPr>
      <t>■ Layer③ DWH</t>
    </r>
    <r>
      <rPr>
        <rFont val="Noto Sans CJK SC"/>
        <b/>
        <color theme="1"/>
        <sz val="10.0"/>
      </rPr>
      <t>・</t>
    </r>
    <r>
      <rPr>
        <rFont val="Arial"/>
        <b/>
        <color theme="1"/>
        <sz val="10.0"/>
      </rPr>
      <t>GCS→BO</t>
    </r>
    <r>
      <rPr>
        <rFont val="Noto Sans CJK SC"/>
        <b/>
        <color theme="1"/>
        <sz val="10.0"/>
      </rPr>
      <t>（</t>
    </r>
    <r>
      <rPr>
        <rFont val="Arial"/>
        <b/>
        <color theme="1"/>
        <sz val="10.0"/>
      </rPr>
      <t xml:space="preserve">DataSpider </t>
    </r>
    <r>
      <rPr>
        <rFont val="Noto Sans CJK SC"/>
        <b/>
        <color theme="1"/>
        <sz val="10.0"/>
      </rPr>
      <t>連携ジョブ開発）</t>
    </r>
  </si>
  <si>
    <t>Sinops-23</t>
  </si>
  <si>
    <t>業務システムの個別対応</t>
  </si>
  <si>
    <r>
      <rPr>
        <rFont val="Arial"/>
        <b/>
        <color rgb="FFFFFFFF"/>
        <sz val="11.0"/>
      </rPr>
      <t>IF</t>
    </r>
    <r>
      <rPr>
        <rFont val="Noto Sans CJK SC"/>
        <b/>
        <color rgb="FFFFFFFF"/>
        <sz val="11.0"/>
      </rPr>
      <t>名称／マスタ種別</t>
    </r>
  </si>
  <si>
    <r>
      <rPr>
        <rFont val="Arial"/>
        <color rgb="FF595959"/>
        <sz val="10.0"/>
      </rPr>
      <t xml:space="preserve">詳細設計・開発・単体テストは前提依存なし　 </t>
    </r>
    <r>
      <rPr>
        <rFont val="Arial"/>
        <color rgb="FFFF0000"/>
        <sz val="10.0"/>
      </rPr>
      <t>CORESAVER連携→SHINISE連携？？？</t>
    </r>
  </si>
  <si>
    <r>
      <rPr>
        <rFont val="Noto Sans CJK SC"/>
        <b/>
        <color rgb="FFFFFFFF"/>
        <sz val="11.0"/>
      </rPr>
      <t>対応</t>
    </r>
    <r>
      <rPr>
        <rFont val="Arial"/>
        <b/>
        <color rgb="FFFFFFFF"/>
        <sz val="11.0"/>
      </rPr>
      <t>IF No.</t>
    </r>
  </si>
  <si>
    <r>
      <rPr>
        <rFont val="Noto Sans CJK SC"/>
        <color theme="1"/>
        <sz val="10.0"/>
      </rPr>
      <t>国内流通向け商品マスタ連携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基本</t>
    </r>
    <r>
      <rPr>
        <rFont val="Arial"/>
        <color theme="1"/>
        <sz val="10.0"/>
      </rPr>
      <t>)</t>
    </r>
  </si>
  <si>
    <t>BO-33</t>
  </si>
  <si>
    <r>
      <rPr>
        <rFont val="Arial"/>
        <color theme="1"/>
        <sz val="10.0"/>
      </rPr>
      <t>発注勧告</t>
    </r>
    <r>
      <rPr>
        <rFont val="Arial"/>
        <color theme="1"/>
        <sz val="10.0"/>
      </rPr>
      <t>(</t>
    </r>
    <r>
      <rPr>
        <rFont val="Arial"/>
        <color theme="1"/>
        <sz val="10.0"/>
      </rPr>
      <t>当日分</t>
    </r>
    <r>
      <rPr>
        <rFont val="Arial"/>
        <color theme="1"/>
        <sz val="10.0"/>
      </rPr>
      <t>)</t>
    </r>
  </si>
  <si>
    <t>Sinops-24</t>
  </si>
  <si>
    <r>
      <rPr>
        <rFont val="Arial"/>
        <color rgb="FF595959"/>
        <sz val="10.0"/>
      </rPr>
      <t xml:space="preserve">詳細設計・開発・単体テストは前提依存なし　 </t>
    </r>
    <r>
      <rPr>
        <rFont val="Arial"/>
        <color rgb="FFFF0000"/>
        <sz val="10.0"/>
      </rPr>
      <t>CORESAVER連携→SHINISE連携？？？</t>
    </r>
  </si>
  <si>
    <r>
      <rPr>
        <rFont val="Noto Sans CJK SC"/>
        <color theme="1"/>
        <sz val="10.0"/>
      </rPr>
      <t>国内流通向け商品マスタ連携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店別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</si>
  <si>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発注勧告</t>
    </r>
    <r>
      <rPr>
        <rFont val="Arial"/>
        <color theme="1"/>
        <sz val="10.0"/>
      </rPr>
      <t>(</t>
    </r>
    <r>
      <rPr>
        <rFont val="Arial"/>
        <color theme="1"/>
        <sz val="10.0"/>
      </rPr>
      <t>翌日以降分</t>
    </r>
    <r>
      <rPr>
        <rFont val="Arial"/>
        <color theme="1"/>
        <sz val="10.0"/>
      </rPr>
      <t>)</t>
    </r>
  </si>
  <si>
    <t>Sinops-25</t>
  </si>
  <si>
    <r>
      <rPr>
        <rFont val="Arial"/>
        <color rgb="FF595959"/>
        <sz val="10.0"/>
      </rPr>
      <t xml:space="preserve">詳細設計・開発・単体テストは前提依存なし　 </t>
    </r>
    <r>
      <rPr>
        <rFont val="Arial"/>
        <color rgb="FFFF0000"/>
        <sz val="10.0"/>
      </rPr>
      <t>CORESAVER連携→SHINISE連携？？？</t>
    </r>
  </si>
  <si>
    <t>※ 青字セルが工数入力値です。変更するとサマリーの金額まで自動再計算されます。</t>
  </si>
  <si>
    <r>
      <rPr>
        <rFont val="Arial"/>
        <b/>
        <color theme="1"/>
        <sz val="10.0"/>
      </rPr>
      <t>■ Layer② GCS→DWH</t>
    </r>
    <r>
      <rPr>
        <rFont val="Noto Sans CJK SC"/>
        <b/>
        <color theme="1"/>
        <sz val="10.0"/>
      </rPr>
      <t>（</t>
    </r>
    <r>
      <rPr>
        <rFont val="Arial"/>
        <b/>
        <color theme="1"/>
        <sz val="10.0"/>
      </rPr>
      <t xml:space="preserve">DataSpider </t>
    </r>
    <r>
      <rPr>
        <rFont val="Noto Sans CJK SC"/>
        <b/>
        <color theme="1"/>
        <sz val="10.0"/>
      </rPr>
      <t>取込ジョブ開発）</t>
    </r>
  </si>
  <si>
    <r>
      <rPr>
        <rFont val="Noto Sans CJK SC"/>
        <color rgb="FF595959"/>
        <sz val="9.0"/>
      </rPr>
      <t>基本は</t>
    </r>
    <r>
      <rPr>
        <rFont val="Arial"/>
        <color rgb="FF595959"/>
        <sz val="9.0"/>
      </rPr>
      <t>GCS</t>
    </r>
    <r>
      <rPr>
        <rFont val="Noto Sans CJK SC"/>
        <color rgb="FF595959"/>
        <sz val="9.0"/>
      </rPr>
      <t>上のファイルをそのまま</t>
    </r>
    <r>
      <rPr>
        <rFont val="Arial"/>
        <color rgb="FF595959"/>
        <sz val="9.0"/>
      </rPr>
      <t>Intake</t>
    </r>
    <r>
      <rPr>
        <rFont val="Noto Sans CJK SC"/>
        <color rgb="FF595959"/>
        <sz val="9.0"/>
      </rPr>
      <t>テーブルに格納</t>
    </r>
  </si>
  <si>
    <r>
      <rPr>
        <rFont val="Arial"/>
        <b/>
        <color rgb="FFFFFFFF"/>
        <sz val="11.0"/>
      </rPr>
      <t>IF</t>
    </r>
    <r>
      <rPr>
        <rFont val="Noto Sans CJK SC"/>
        <b/>
        <color rgb="FFFFFFFF"/>
        <sz val="11.0"/>
      </rPr>
      <t>名称／マスタ種別</t>
    </r>
  </si>
  <si>
    <r>
      <rPr>
        <rFont val="Noto Sans CJK SC"/>
        <b/>
        <color rgb="FFFFFFFF"/>
        <sz val="11.0"/>
      </rPr>
      <t>対応</t>
    </r>
    <r>
      <rPr>
        <rFont val="Arial"/>
        <b/>
        <color rgb="FFFFFFFF"/>
        <sz val="11.0"/>
      </rPr>
      <t>IF No.</t>
    </r>
  </si>
  <si>
    <t>共通基盤（両課題共用）</t>
  </si>
  <si>
    <t>小計（開発スコープ）</t>
  </si>
  <si>
    <r>
      <rPr>
        <rFont val="Arial"/>
        <color theme="1"/>
        <sz val="10.0"/>
      </rPr>
      <t>PJ</t>
    </r>
    <r>
      <rPr>
        <rFont val="Noto Sans CJK SC"/>
        <color theme="1"/>
        <sz val="10.0"/>
      </rPr>
      <t>管理</t>
    </r>
  </si>
  <si>
    <t>合計</t>
  </si>
  <si>
    <r>
      <rPr>
        <rFont val="Arial"/>
        <b/>
        <color theme="1"/>
        <sz val="10.0"/>
      </rPr>
      <t>■ Layer③ DWH</t>
    </r>
    <r>
      <rPr>
        <rFont val="Noto Sans CJK SC"/>
        <b/>
        <color theme="1"/>
        <sz val="10.0"/>
      </rPr>
      <t>・</t>
    </r>
    <r>
      <rPr>
        <rFont val="Arial"/>
        <b/>
        <color theme="1"/>
        <sz val="10.0"/>
      </rPr>
      <t>GCS↔Sinops</t>
    </r>
    <r>
      <rPr>
        <rFont val="Noto Sans CJK SC"/>
        <b/>
        <color theme="1"/>
        <sz val="10.0"/>
      </rPr>
      <t>（</t>
    </r>
    <r>
      <rPr>
        <rFont val="Arial"/>
        <b/>
        <color theme="1"/>
        <sz val="10.0"/>
      </rPr>
      <t xml:space="preserve">DataSpider </t>
    </r>
    <r>
      <rPr>
        <rFont val="Noto Sans CJK SC"/>
        <b/>
        <color theme="1"/>
        <sz val="10.0"/>
      </rPr>
      <t>連携ジョブ開発）</t>
    </r>
  </si>
  <si>
    <r>
      <rPr>
        <rFont val="Arial"/>
        <b/>
        <color rgb="FFFFFFFF"/>
        <sz val="11.0"/>
      </rPr>
      <t>IF</t>
    </r>
    <r>
      <rPr>
        <rFont val="Noto Sans CJK SC"/>
        <b/>
        <color rgb="FFFFFFFF"/>
        <sz val="11.0"/>
      </rPr>
      <t>名称／マスタ種別</t>
    </r>
  </si>
  <si>
    <r>
      <rPr>
        <rFont val="Noto Sans CJK SC"/>
        <b/>
        <color rgb="FFFFFFFF"/>
        <sz val="11.0"/>
      </rPr>
      <t>対応</t>
    </r>
    <r>
      <rPr>
        <rFont val="Arial"/>
        <b/>
        <color rgb="FFFFFFFF"/>
        <sz val="11.0"/>
      </rPr>
      <t>IF No.</t>
    </r>
  </si>
  <si>
    <t>■ レイヤー別内訳（人日）</t>
  </si>
  <si>
    <t>レイヤー</t>
  </si>
  <si>
    <t>マスタ</t>
  </si>
  <si>
    <t>範囲</t>
  </si>
  <si>
    <r>
      <rPr>
        <rFont val="Arial"/>
        <b/>
        <color rgb="FFFFFFFF"/>
        <sz val="11.0"/>
      </rPr>
      <t>BO</t>
    </r>
    <r>
      <rPr>
        <rFont val="Noto Sans CJK SC"/>
        <b/>
        <color rgb="FFFFFFFF"/>
        <sz val="11.0"/>
      </rPr>
      <t>系</t>
    </r>
  </si>
  <si>
    <r>
      <rPr>
        <rFont val="Noto Sans CJK SC"/>
        <b/>
        <color rgb="FFFFFFFF"/>
        <sz val="11.0"/>
      </rPr>
      <t>自動補充</t>
    </r>
    <r>
      <rPr>
        <rFont val="Arial"/>
        <b/>
        <color rgb="FFFFFFFF"/>
        <sz val="11.0"/>
      </rPr>
      <t>Sinops</t>
    </r>
    <r>
      <rPr>
        <rFont val="Noto Sans CJK SC"/>
        <b/>
        <color rgb="FFFFFFFF"/>
        <sz val="11.0"/>
      </rPr>
      <t>系</t>
    </r>
  </si>
  <si>
    <t>前提条件</t>
  </si>
  <si>
    <t>Layer①</t>
  </si>
  <si>
    <t>TRIAL↔GCS</t>
  </si>
  <si>
    <t>実績・在庫</t>
  </si>
  <si>
    <t>在庫修正</t>
  </si>
  <si>
    <r>
      <rPr>
        <rFont val="Arial"/>
        <color rgb="FF595959"/>
        <sz val="9.0"/>
      </rPr>
      <t>IF</t>
    </r>
    <r>
      <rPr>
        <rFont val="Noto Sans CJK SC"/>
        <color rgb="FF595959"/>
        <sz val="9.0"/>
      </rPr>
      <t>用サーバー構築、</t>
    </r>
    <r>
      <rPr>
        <rFont val="Arial"/>
        <color rgb="FF595959"/>
        <sz val="9.0"/>
      </rPr>
      <t>MD/SCM</t>
    </r>
    <r>
      <rPr>
        <rFont val="Noto Sans CJK SC"/>
        <color rgb="FF595959"/>
        <sz val="9.0"/>
      </rPr>
      <t>・</t>
    </r>
    <r>
      <rPr>
        <rFont val="Arial"/>
        <color rgb="FF595959"/>
        <sz val="9.0"/>
      </rPr>
      <t>BO</t>
    </r>
    <r>
      <rPr>
        <rFont val="Noto Sans CJK SC"/>
        <color rgb="FF595959"/>
        <sz val="9.0"/>
      </rPr>
      <t>の共通化、型変換</t>
    </r>
  </si>
  <si>
    <t>Layer②</t>
  </si>
  <si>
    <t>GCS→DWH</t>
  </si>
  <si>
    <r>
      <rPr>
        <rFont val="Noto Sans CJK SC"/>
        <color rgb="FF595959"/>
        <sz val="9.0"/>
      </rPr>
      <t>受信</t>
    </r>
    <r>
      <rPr>
        <rFont val="Arial"/>
        <color rgb="FF595959"/>
        <sz val="9.0"/>
      </rPr>
      <t>GCS→Sinops</t>
    </r>
    <r>
      <rPr>
        <rFont val="Noto Sans CJK SC"/>
        <color rgb="FF595959"/>
        <sz val="9.0"/>
      </rPr>
      <t>と送信</t>
    </r>
    <r>
      <rPr>
        <rFont val="Arial"/>
        <color rgb="FF595959"/>
        <sz val="9.0"/>
      </rPr>
      <t>DWH→GCS</t>
    </r>
    <r>
      <rPr>
        <rFont val="Noto Sans CJK SC"/>
        <color rgb="FF595959"/>
        <sz val="9.0"/>
      </rPr>
      <t>の両方／マスタ</t>
    </r>
  </si>
  <si>
    <r>
      <rPr>
        <rFont val="Noto Sans CJK SC"/>
        <color rgb="FF595959"/>
        <sz val="9.0"/>
      </rPr>
      <t>基本は</t>
    </r>
    <r>
      <rPr>
        <rFont val="Arial"/>
        <color rgb="FF595959"/>
        <sz val="9.0"/>
      </rPr>
      <t>GCS</t>
    </r>
    <r>
      <rPr>
        <rFont val="Noto Sans CJK SC"/>
        <color rgb="FF595959"/>
        <sz val="9.0"/>
      </rPr>
      <t>上のファイルをそのまま</t>
    </r>
    <r>
      <rPr>
        <rFont val="Arial"/>
        <color rgb="FF595959"/>
        <sz val="9.0"/>
      </rPr>
      <t>Intake</t>
    </r>
    <r>
      <rPr>
        <rFont val="Noto Sans CJK SC"/>
        <color rgb="FF595959"/>
        <sz val="9.0"/>
      </rPr>
      <t>テーブルに格納</t>
    </r>
  </si>
  <si>
    <t>Layer③</t>
  </si>
  <si>
    <r>
      <rPr>
        <rFont val="Arial"/>
        <color theme="1"/>
        <sz val="10.0"/>
      </rPr>
      <t>DWH</t>
    </r>
    <r>
      <rPr>
        <rFont val="Noto Sans CJK SC"/>
        <color theme="1"/>
        <sz val="10.0"/>
      </rPr>
      <t>・</t>
    </r>
    <r>
      <rPr>
        <rFont val="Arial"/>
        <color theme="1"/>
        <sz val="10.0"/>
      </rPr>
      <t>GCS↔</t>
    </r>
    <r>
      <rPr>
        <rFont val="Noto Sans CJK SC"/>
        <color theme="1"/>
        <sz val="10.0"/>
      </rPr>
      <t>業務システム</t>
    </r>
  </si>
  <si>
    <t>共通基盤</t>
  </si>
  <si>
    <r>
      <rPr>
        <rFont val="Arial"/>
        <color theme="1"/>
        <sz val="10.0"/>
      </rPr>
      <t>Layer①/②</t>
    </r>
    <r>
      <rPr>
        <rFont val="Noto Sans CJK SC"/>
        <color theme="1"/>
        <sz val="10.0"/>
      </rPr>
      <t>共通</t>
    </r>
  </si>
  <si>
    <r>
      <rPr>
        <rFont val="Noto Sans CJK SC"/>
        <color theme="1"/>
        <sz val="10.0"/>
      </rPr>
      <t>発注勧告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当日分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【倉庫】</t>
    </r>
  </si>
  <si>
    <t>発注勧告</t>
  </si>
  <si>
    <r>
      <rPr>
        <rFont val="Arial"/>
        <color rgb="FF595959"/>
        <sz val="9.0"/>
      </rPr>
      <t>IF</t>
    </r>
    <r>
      <rPr>
        <rFont val="Noto Sans CJK SC"/>
        <color rgb="FF595959"/>
        <sz val="9.0"/>
      </rPr>
      <t>用サーバー立ち上げ、</t>
    </r>
    <r>
      <rPr>
        <rFont val="Arial"/>
        <color rgb="FF595959"/>
        <sz val="9.0"/>
      </rPr>
      <t>DataSpider</t>
    </r>
    <r>
      <rPr>
        <rFont val="Noto Sans CJK SC"/>
        <color rgb="FF595959"/>
        <sz val="9.0"/>
      </rPr>
      <t>設定・教育</t>
    </r>
  </si>
  <si>
    <r>
      <rPr>
        <rFont val="Noto Sans CJK SC"/>
        <color theme="1"/>
        <sz val="10.0"/>
      </rPr>
      <t>発注勧告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翌日以降分</t>
    </r>
    <r>
      <rPr>
        <rFont val="Arial"/>
        <color theme="1"/>
        <sz val="10.0"/>
      </rPr>
      <t>)</t>
    </r>
    <r>
      <rPr>
        <rFont val="Noto Sans CJK SC"/>
        <color theme="1"/>
        <sz val="10.0"/>
      </rPr>
      <t>【倉庫】</t>
    </r>
  </si>
  <si>
    <r>
      <rPr>
        <rFont val="Arial"/>
        <color theme="1"/>
        <sz val="10.0"/>
      </rPr>
      <t>PJ</t>
    </r>
    <r>
      <rPr>
        <rFont val="Noto Sans CJK SC"/>
        <color theme="1"/>
        <sz val="10.0"/>
      </rPr>
      <t>管理</t>
    </r>
  </si>
  <si>
    <t>横断</t>
  </si>
  <si>
    <r>
      <rPr>
        <rFont val="Noto Sans CJK SC"/>
        <color theme="1"/>
        <sz val="10.0"/>
      </rPr>
      <t>発注勧告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当日分</t>
    </r>
    <r>
      <rPr>
        <rFont val="Arial"/>
        <color theme="1"/>
        <sz val="10.0"/>
      </rPr>
      <t>)</t>
    </r>
  </si>
  <si>
    <t>進捗・品質管理、横断課題対応、MT対応など</t>
  </si>
  <si>
    <r>
      <rPr>
        <rFont val="Noto Sans CJK SC"/>
        <color theme="1"/>
        <sz val="10.0"/>
      </rPr>
      <t>発注勧告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翌日以降分</t>
    </r>
    <r>
      <rPr>
        <rFont val="Arial"/>
        <color theme="1"/>
        <sz val="10.0"/>
      </rPr>
      <t>)</t>
    </r>
  </si>
  <si>
    <t>前提条件・注記</t>
  </si>
  <si>
    <t>■ 見積範囲</t>
  </si>
  <si>
    <r>
      <rPr>
        <rFont val="Noto Sans CJK SC"/>
        <color theme="1"/>
        <sz val="10.0"/>
      </rPr>
      <t>・本見積は「詳細設計」「開発」「単体テスト」の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>工程のみを対象とします。要件定義・基本設計、結合テスト、総合テスト、移行、運用保守は含みません。</t>
    </r>
  </si>
  <si>
    <r>
      <rPr>
        <rFont val="Noto Sans CJK SC"/>
        <color theme="1"/>
        <sz val="10.0"/>
      </rPr>
      <t xml:space="preserve">・対象課題は </t>
    </r>
    <r>
      <rPr>
        <rFont val="Arial"/>
        <color theme="1"/>
        <sz val="10.0"/>
      </rPr>
      <t>BO</t>
    </r>
    <r>
      <rPr>
        <rFont val="Noto Sans CJK SC"/>
        <color theme="1"/>
        <sz val="10.0"/>
      </rPr>
      <t>系（バックオフィス連携）と 自動補充</t>
    </r>
    <r>
      <rPr>
        <rFont val="Arial"/>
        <color theme="1"/>
        <sz val="10.0"/>
      </rPr>
      <t>Sinops</t>
    </r>
    <r>
      <rPr>
        <rFont val="Noto Sans CJK SC"/>
        <color theme="1"/>
        <sz val="10.0"/>
      </rPr>
      <t>系 の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課題です。棚割・</t>
    </r>
    <r>
      <rPr>
        <rFont val="Arial"/>
        <color theme="1"/>
        <sz val="10.0"/>
      </rPr>
      <t>WMS</t>
    </r>
    <r>
      <rPr>
        <rFont val="Noto Sans CJK SC"/>
        <color theme="1"/>
        <sz val="10.0"/>
      </rPr>
      <t>・インテージ等の他領域は本見積の対象外です。</t>
    </r>
  </si>
  <si>
    <r>
      <rPr>
        <rFont val="Noto Sans CJK SC"/>
        <color theme="1"/>
        <sz val="10.0"/>
      </rPr>
      <t>・レイヤー構成：</t>
    </r>
    <r>
      <rPr>
        <rFont val="Arial"/>
        <color theme="1"/>
        <sz val="10.0"/>
      </rPr>
      <t>Layer①=TRIAL↔GCS</t>
    </r>
    <r>
      <rPr>
        <rFont val="Noto Sans CJK SC"/>
        <color theme="1"/>
        <sz val="10.0"/>
      </rPr>
      <t>（外部</t>
    </r>
    <r>
      <rPr>
        <rFont val="Arial"/>
        <color theme="1"/>
        <sz val="10.0"/>
      </rPr>
      <t>IF</t>
    </r>
    <r>
      <rPr>
        <rFont val="Noto Sans CJK SC"/>
        <color theme="1"/>
        <sz val="10.0"/>
      </rPr>
      <t>プログラム開発）、</t>
    </r>
    <r>
      <rPr>
        <rFont val="Arial"/>
        <color theme="1"/>
        <sz val="10.0"/>
      </rPr>
      <t>Layer②=GCS→DWH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DataSpider</t>
    </r>
    <r>
      <rPr>
        <rFont val="Noto Sans CJK SC"/>
        <color theme="1"/>
        <sz val="10.0"/>
      </rPr>
      <t>取込ジョブ）、</t>
    </r>
    <r>
      <rPr>
        <rFont val="Arial"/>
        <color theme="1"/>
        <sz val="10.0"/>
      </rPr>
      <t>Layer③=DWH</t>
    </r>
    <r>
      <rPr>
        <rFont val="Noto Sans CJK SC"/>
        <color theme="1"/>
        <sz val="10.0"/>
      </rPr>
      <t>・</t>
    </r>
    <r>
      <rPr>
        <rFont val="Arial"/>
        <color theme="1"/>
        <sz val="10.0"/>
      </rPr>
      <t>GCS↔</t>
    </r>
    <r>
      <rPr>
        <rFont val="Noto Sans CJK SC"/>
        <color theme="1"/>
        <sz val="10.0"/>
      </rPr>
      <t>業務システム（</t>
    </r>
    <r>
      <rPr>
        <rFont val="Arial"/>
        <color theme="1"/>
        <sz val="10.0"/>
      </rPr>
      <t>DataSpider</t>
    </r>
    <r>
      <rPr>
        <rFont val="Noto Sans CJK SC"/>
        <color theme="1"/>
        <sz val="10.0"/>
      </rPr>
      <t>連携ジョブ）。</t>
    </r>
  </si>
  <si>
    <t>■ 単価・工数</t>
  </si>
  <si>
    <r>
      <rPr>
        <rFont val="Arial"/>
        <color theme="1"/>
        <sz val="10.0"/>
      </rPr>
      <t>・単価は PM 40,000円/人日、詳細設計・開発・単体テスト 27,500円/人日（いずれも税抜）。PM以外の出張対応の場合、35,000</t>
    </r>
    <r>
      <rPr>
        <rFont val="Noto Sans"/>
        <color theme="1"/>
        <sz val="10.0"/>
      </rPr>
      <t>円/人日になります。</t>
    </r>
  </si>
  <si>
    <t>・PJ管理は進捗・品質管理、横断課題対応、会議体対応を含み、詳細設計単価で計上しています。</t>
  </si>
  <si>
    <t>1</t>
  </si>
  <si>
    <t>・共通基盤はIF用サーバーの立ち上げ・設定、DataSpider関連設定・教育、Hinemos関連で、両課題で共用のため独立計上しています。配賦後サマリーでは直接工数比で按分しています。</t>
  </si>
  <si>
    <t>■ 技術前提</t>
  </si>
  <si>
    <t>・本見積は「詳細設計」「開発」「単体テスト」の3工程のみを対象とします。要件定義・基本設計、結合テスト、総合テスト、移行、運用保守は含みません。</t>
  </si>
  <si>
    <r>
      <rPr>
        <rFont val="Noto Sans CJK SC"/>
        <color theme="1"/>
        <sz val="10.0"/>
      </rPr>
      <t>・</t>
    </r>
    <r>
      <rPr>
        <rFont val="Arial"/>
        <color theme="1"/>
        <sz val="10.0"/>
      </rPr>
      <t>Layer②</t>
    </r>
    <r>
      <rPr>
        <rFont val="Noto Sans CJK SC"/>
        <color theme="1"/>
        <sz val="10.0"/>
      </rPr>
      <t>は原則として</t>
    </r>
    <r>
      <rPr>
        <rFont val="Arial"/>
        <color theme="1"/>
        <sz val="10.0"/>
      </rPr>
      <t>GCS</t>
    </r>
    <r>
      <rPr>
        <rFont val="Noto Sans CJK SC"/>
        <color theme="1"/>
        <sz val="10.0"/>
      </rPr>
      <t>上のファイルをそのまま</t>
    </r>
    <r>
      <rPr>
        <rFont val="Arial"/>
        <color theme="1"/>
        <sz val="10.0"/>
      </rPr>
      <t>Intake</t>
    </r>
    <r>
      <rPr>
        <rFont val="Noto Sans CJK SC"/>
        <color theme="1"/>
        <sz val="10.0"/>
      </rPr>
      <t>テーブルへ格納する方式を前提としています。変換要件が発生する場合は追加工数となります。</t>
    </r>
  </si>
  <si>
    <r>
      <rPr>
        <rFont val="Noto Sans CJK SC"/>
        <color theme="1"/>
        <sz val="10.0"/>
      </rPr>
      <t>・</t>
    </r>
    <r>
      <rPr>
        <rFont val="Arial"/>
        <color theme="1"/>
        <sz val="10.0"/>
      </rPr>
      <t>BO-01/02/03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GLOVIA</t>
    </r>
    <r>
      <rPr>
        <rFont val="Noto Sans CJK SC"/>
        <color theme="1"/>
        <sz val="10.0"/>
      </rPr>
      <t>向け仕入先マスタ）は</t>
    </r>
    <r>
      <rPr>
        <rFont val="Arial"/>
        <color theme="1"/>
        <sz val="10.0"/>
      </rPr>
      <t>DWH</t>
    </r>
    <r>
      <rPr>
        <rFont val="Noto Sans CJK SC"/>
        <color theme="1"/>
        <sz val="10.0"/>
      </rPr>
      <t>連携不要のため、</t>
    </r>
    <r>
      <rPr>
        <rFont val="Arial"/>
        <color theme="1"/>
        <sz val="10.0"/>
      </rPr>
      <t>Layer②</t>
    </r>
    <r>
      <rPr>
        <rFont val="Noto Sans CJK SC"/>
        <color theme="1"/>
        <sz val="10.0"/>
      </rPr>
      <t>の工数は</t>
    </r>
    <r>
      <rPr>
        <rFont val="Arial"/>
        <color theme="1"/>
        <sz val="10.0"/>
      </rPr>
      <t>0</t>
    </r>
    <r>
      <rPr>
        <rFont val="Noto Sans CJK SC"/>
        <color theme="1"/>
        <sz val="10.0"/>
      </rPr>
      <t>としています。</t>
    </r>
  </si>
  <si>
    <r>
      <rPr>
        <rFont val="Noto Sans CJK SC"/>
        <color theme="1"/>
        <sz val="10.0"/>
      </rPr>
      <t>・</t>
    </r>
    <r>
      <rPr>
        <rFont val="Arial"/>
        <color theme="1"/>
        <sz val="10.0"/>
      </rPr>
      <t>Sinops-11</t>
    </r>
    <r>
      <rPr>
        <rFont val="Noto Sans CJK SC"/>
        <color theme="1"/>
        <sz val="10.0"/>
      </rPr>
      <t>（入荷実績）は</t>
    </r>
    <r>
      <rPr>
        <rFont val="Arial"/>
        <color theme="1"/>
        <sz val="10.0"/>
      </rPr>
      <t>WMS</t>
    </r>
    <r>
      <rPr>
        <rFont val="Noto Sans CJK SC"/>
        <color theme="1"/>
        <sz val="10.0"/>
      </rPr>
      <t>データ連携が完了していることを前提とします。</t>
    </r>
  </si>
  <si>
    <t>2</t>
  </si>
  <si>
    <r>
      <rPr>
        <rFont val="Noto Sans CJK SC"/>
        <color theme="1"/>
        <sz val="10.0"/>
      </rPr>
      <t>・</t>
    </r>
    <r>
      <rPr>
        <rFont val="Arial"/>
        <color theme="1"/>
        <sz val="10.0"/>
      </rPr>
      <t>Sinops-13</t>
    </r>
    <r>
      <rPr>
        <rFont val="Noto Sans CJK SC"/>
        <color theme="1"/>
        <sz val="10.0"/>
      </rPr>
      <t>（発注スケジュール）は、発注締め時間マスタが</t>
    </r>
    <r>
      <rPr>
        <rFont val="Arial"/>
        <color theme="1"/>
        <sz val="10.0"/>
      </rPr>
      <t>Coresaver</t>
    </r>
    <r>
      <rPr>
        <rFont val="Noto Sans CJK SC"/>
        <color theme="1"/>
        <sz val="10.0"/>
      </rPr>
      <t>から出力されること、自動発注対象マスタが</t>
    </r>
    <r>
      <rPr>
        <rFont val="Arial"/>
        <color theme="1"/>
        <sz val="10.0"/>
      </rPr>
      <t>Shinise</t>
    </r>
    <r>
      <rPr>
        <rFont val="Noto Sans CJK SC"/>
        <color theme="1"/>
        <sz val="10.0"/>
      </rPr>
      <t>から連携されることを前提とします。</t>
    </r>
  </si>
  <si>
    <t>・対象課題は BO系（バックオフィス連携）と 自動補充Sinops系 の2課題です。棚割・WMS・インテージ等の他領域は本見積の対象外です。</t>
  </si>
  <si>
    <r>
      <rPr>
        <rFont val="Noto Sans CJK SC"/>
        <color theme="1"/>
        <sz val="10.0"/>
      </rPr>
      <t>・</t>
    </r>
    <r>
      <rPr>
        <rFont val="Arial"/>
        <color theme="1"/>
        <sz val="10.0"/>
      </rPr>
      <t>Sinops-14</t>
    </r>
    <r>
      <rPr>
        <rFont val="Noto Sans CJK SC"/>
        <color theme="1"/>
        <sz val="10.0"/>
      </rPr>
      <t>（棚割明細）は棚割データ連携が完了していることを前提とし、受信・送信の双方向を工数に含みます。</t>
    </r>
  </si>
  <si>
    <r>
      <rPr>
        <rFont val="Noto Sans CJK SC"/>
        <color theme="1"/>
        <sz val="10.0"/>
      </rPr>
      <t>・</t>
    </r>
    <r>
      <rPr>
        <rFont val="Arial"/>
        <color theme="1"/>
        <sz val="10.0"/>
      </rPr>
      <t>Sinops-18</t>
    </r>
    <r>
      <rPr>
        <rFont val="Noto Sans CJK SC"/>
        <color theme="1"/>
        <sz val="10.0"/>
      </rPr>
      <t>（仕入先休日設定【倉庫】）は</t>
    </r>
    <r>
      <rPr>
        <rFont val="Arial"/>
        <color theme="1"/>
        <sz val="10.0"/>
      </rPr>
      <t>TRIAL</t>
    </r>
    <r>
      <rPr>
        <rFont val="Noto Sans CJK SC"/>
        <color theme="1"/>
        <sz val="10.0"/>
      </rPr>
      <t>自動発注データ連携を前提とします。</t>
    </r>
  </si>
  <si>
    <t>3</t>
  </si>
  <si>
    <r>
      <rPr>
        <rFont val="Noto Sans CJK SC"/>
        <color theme="1"/>
        <sz val="10.0"/>
      </rPr>
      <t>・</t>
    </r>
    <r>
      <rPr>
        <rFont val="Arial"/>
        <color theme="1"/>
        <sz val="10.0"/>
      </rPr>
      <t>Sinops-10</t>
    </r>
    <r>
      <rPr>
        <rFont val="Noto Sans CJK SC"/>
        <color theme="1"/>
        <sz val="10.0"/>
      </rPr>
      <t xml:space="preserve">（在庫修正・センター）は </t>
    </r>
    <r>
      <rPr>
        <rFont val="Arial"/>
        <color theme="1"/>
        <sz val="10.0"/>
      </rPr>
      <t xml:space="preserve">Hitluster→Sinops </t>
    </r>
    <r>
      <rPr>
        <rFont val="Noto Sans CJK SC"/>
        <color theme="1"/>
        <sz val="10.0"/>
      </rPr>
      <t>のルートか要確認であり、確定次第の工数見直しが必要です。</t>
    </r>
  </si>
  <si>
    <t>・レイヤー構成：Layer①=TRIAL↔GCS（外部IFプログラム開発）、Layer②=GCS→DWH（DataSpider取込ジョブ）、Layer③=DWH・GCS↔業務システム（BO系・自動補充Sinops）（DataSpider連携ジョブ）。</t>
  </si>
  <si>
    <t>■ 除外・リスク</t>
  </si>
  <si>
    <t>・未確定項目の変更対応分は一定量を織り込んでいますが、想定フローと異なる方式が確定した場合の追加開発分は含んでいません。</t>
  </si>
  <si>
    <t>・未確定項目→マスタ統合PJ、本PJと切り分ける</t>
  </si>
  <si>
    <r>
      <rPr>
        <rFont val="Noto Sans CJK SC"/>
        <color theme="1"/>
        <sz val="10.0"/>
      </rPr>
      <t>・</t>
    </r>
    <r>
      <rPr>
        <rFont val="Arial"/>
        <color theme="1"/>
        <sz val="10.0"/>
      </rPr>
      <t>IF</t>
    </r>
    <r>
      <rPr>
        <rFont val="Noto Sans CJK SC"/>
        <color theme="1"/>
        <sz val="10.0"/>
      </rPr>
      <t>本数・項目数の増減、および仕様確定の遅延が発生した場合は、工数・スケジュールを再見積します。</t>
    </r>
  </si>
  <si>
    <t>・単価は PM 40,000円/人日、詳細設計・開発・単体テスト 27,500円/人日。出張対応の場合、35,000円/人日になります。</t>
  </si>
  <si>
    <t>・PJ管理は進捗・品質管理、横断課題対応、会議体対応を含みます</t>
  </si>
  <si>
    <t>・共通基盤はIF用サーバーの立ち上げ・設定、DataSpider関連設定・教育、Hinemos関連で、両課題で共用のため独立計上しています。</t>
  </si>
  <si>
    <t>■ 確定した前提（自動補充システム進捗報告 反映）</t>
  </si>
  <si>
    <t>No.</t>
  </si>
  <si>
    <t>前提項目</t>
  </si>
  <si>
    <t>確定内容</t>
  </si>
  <si>
    <t>見積・計画への影響</t>
  </si>
  <si>
    <t>発注区分の統合ルール</t>
  </si>
  <si>
    <t>Sinopsでは発注勧告の生成時にこの情報を使用していないため、そのまま連携する</t>
  </si>
  <si>
    <t>変換ロジック不要。Sinops-22〜25（発注勧告）の詳細設計を確定扱いとし、追加工数は見込まない</t>
  </si>
  <si>
    <t>棚割データの連携方式</t>
  </si>
  <si>
    <t>Store Managerの棚割データを西友のDWHへ格納し、Sinopsへの連携データ生成時に使用する</t>
  </si>
  <si>
    <t>Sinops-14/15 の連携ルートが確定。詳細設計に着手可能。ただしダミー棚割データ作成・売場コード定義は棚割側の対応待ち</t>
  </si>
  <si>
    <t>仕入先マスタの統合方針</t>
  </si>
  <si>
    <t>現行のまま使用。移行時に統合するが、現行の9桁を移行して使用する予定</t>
  </si>
  <si>
    <t>BO系・Sinops系ともに仕入先マスタはコード変換なしを前提。マスタ統合課題側での正式確認が取れ次第、確定扱いとする</t>
  </si>
  <si>
    <t>4</t>
  </si>
  <si>
    <t>マスタデータの統合</t>
  </si>
  <si>
    <t>統合対象・方式の詳細は、マスタ統合課題の中で対応する</t>
  </si>
  <si>
    <t>BO系・Sinops系の店舗マスタ・商品マスタはPhase1仕様で見積。マスタ統合方式の確定後に差分見積とする</t>
  </si>
  <si>
    <t>■ 残課題 と工数・スケジュールへの影響</t>
  </si>
  <si>
    <t>残課題</t>
  </si>
  <si>
    <t>対応方法</t>
  </si>
  <si>
    <t>対応内容</t>
  </si>
  <si>
    <t>工数・スケジュールへの影響</t>
  </si>
  <si>
    <t>便区分の欠落</t>
  </si>
  <si>
    <t>Shiniseで対応</t>
  </si>
  <si>
    <t>Shiniseで便区分を開発する事で対応</t>
  </si>
  <si>
    <t>Sinops-13/22〜25 の前提。Shinise側の開発完了が単体テストの前提条件となる（本見積にはShinise側の開発工数を含まない）</t>
  </si>
  <si>
    <t>営業在庫の24時スナップショット</t>
  </si>
  <si>
    <t>Shiniseからのデータ抽出可能</t>
  </si>
  <si>
    <t>Sinops-06〜10（実績・在庫）の工数はそのまま有効</t>
  </si>
  <si>
    <t>新商品の在庫連携</t>
  </si>
  <si>
    <t>IF作成</t>
  </si>
  <si>
    <t>西友DWH上の棚割のデータとトライアルMD基幹のマスタ情報を参照して、新商品の在庫データ連携I/Fを構築する</t>
  </si>
  <si>
    <t>Sinops-15 の構築方式が確定。Layer① 20人日・Layer③ 3人日は本方式を前提とした見積</t>
  </si>
  <si>
    <t>自動発注対象マスタ</t>
  </si>
  <si>
    <t>マスタ統合課題で対応</t>
  </si>
  <si>
    <t>自動発注対象マスタ作成</t>
  </si>
  <si>
    <t>Sinops-13 の前提がマスタ統合課題で作成。マスタ作成完了が開発着手の前提となる</t>
  </si>
  <si>
    <t>5</t>
  </si>
  <si>
    <t>棚割明細のダミー棚割データ作成、売場コード定義</t>
  </si>
  <si>
    <t>棚割で対応</t>
  </si>
  <si>
    <t>データ作成と定義明確</t>
  </si>
  <si>
    <t>Sinops-14 の単体テスト実施に必要。棚割側の対応が遅延した場合、単体テスト完了が同幅でスライド</t>
  </si>
  <si>
    <t>6</t>
  </si>
  <si>
    <t>方針決定</t>
  </si>
  <si>
    <t>波多野さんより西友内部でメンテナンスできるか集中討議</t>
  </si>
  <si>
    <t>Sinops-05（四つパターン、計19人日）の唯一の未決定事項。運用主体・メンテ方式により工数が変動する可能性があり、方針確定まで詳細設計に着手できない</t>
  </si>
  <si>
    <t>7</t>
  </si>
  <si>
    <t>発注スケジュール作成ロジック</t>
  </si>
  <si>
    <t>詳細設計で確定</t>
  </si>
  <si>
    <t>発注スケジュール作成のプロセス詳細処理仕様の解析と対応</t>
  </si>
  <si>
    <t>詳細設計内で確定する方針のため事前の方針決定は不要。ただし解析結果が想定と大きく異なる場合はSinops-13 の再見積が必要</t>
  </si>
  <si>
    <t>■ 技術前提（IF別）</t>
  </si>
  <si>
    <t>・Layer②は原則としてGCS上のファイルをそのままIntakeテーブルへ格納する方式を前提としています。変換要件が発生する場合は追加工数となります。</t>
  </si>
  <si>
    <t>・BO-01/02/03（GLOVIA向け仕入先マスタ）はDWH連携不要のため、Layer②の工数は0としています。</t>
  </si>
  <si>
    <t>・Sinops-11（入荷実績）はWMSデータ連携が完了していることを前提とします。</t>
  </si>
  <si>
    <t>・Sinops-14（棚割明細）：Store Managerの棚割データを西友DWHへ格納し、Sinopsへの連携データ生成時に使用する方式で確定。受信・送信の双方向を工数に含みます。</t>
  </si>
  <si>
    <t>・Sinops-15（新商品用在庫データ連携）：西友DWH上の棚割データとTRIAL MD基幹のマスタ情報を参照してI/Fを構築する方式で確定。</t>
  </si>
  <si>
    <t>・Sinops-18（仕入先休日設定【倉庫】）はTRIAL自動発注データ連携を前提とします。</t>
  </si>
  <si>
    <t>・Sinops-22〜25（発注勧告）：発注区分はSinopsが発注勧告生成時に使用しないため、変換せずそのまま連携します。便区分はShinise側の開発完了が前提です。</t>
  </si>
  <si>
    <t>・マスタ連携の未確定項目は、マスタ統合課題と本PJで切り分けて管理します。</t>
  </si>
  <si>
    <t>・他チーム対応事項（Shiniseの便区分開発／棚割のダミーデータ作成・売場コード定義／マスタ統合課題での自動発注対象マスタ作成）は本見積の工数外です。対応が遅延した場合、該当IFの開発・単体テストが同幅でスライドします。</t>
  </si>
  <si>
    <t>・Shinise側で開発される便区分の仕様が確定していないため、確定内容によってはSinops-13/22〜25 の変換処理に追加工数が発生する可能性があります。</t>
  </si>
  <si>
    <t>・IF本数・項目数の増減、および仕様確定の遅延が発生した場合は、工数・スケジュールを再見積します。</t>
  </si>
  <si>
    <t>■ 今後アクション</t>
  </si>
  <si>
    <t>・残課題の追跡（最優先はケースバラ変換マスタの運用・メンテナンス方針の決定）。</t>
  </si>
  <si>
    <t>・詳細設計・開発テストの見積概算の精緻化（確定した前提を織り込み、本見積を更新）。</t>
  </si>
  <si>
    <t>・他チーム対応事項の担当・期限の確認：Shinise（便区分開発）、棚割（ダミーデータ・売場コード定義）、マスタ統合課題（自動発注対象マスタ作成、仕入先マスタ・店舗・商品マスタの統合方式）。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</si>
</sst>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\-#,##0;\-"/>
    <numFmt numFmtId="165" formatCode="#,##0.0;\-#,##0.0;\-"/>
  </numFmts>
  <fonts count="22">
    <font>
      <sz val="11.0"/>
      <color theme="1"/>
      <name val="Calibri"/>
      <scheme val="minor"/>
    </font>
    <font>
      <b/>
      <sz val="14.0"/>
      <color theme="1"/>
      <name val="Noto Sans"/>
    </font>
    <font>
      <sz val="9.0"/>
      <color rgb="FF595959"/>
      <name val="Noto Sans"/>
    </font>
    <font>
      <b/>
      <sz val="10.0"/>
      <color theme="1"/>
      <name val="Noto Sans"/>
    </font>
    <font>
      <b/>
      <sz val="10.0"/>
      <color theme="1"/>
      <name val="Arial"/>
    </font>
    <font>
      <sz val="11.0"/>
      <color theme="1"/>
      <name val="Calibri"/>
    </font>
    <font>
      <sz val="9.0"/>
      <color rgb="FF595959"/>
      <name val="Arial"/>
    </font>
    <font>
      <b/>
      <sz val="11.0"/>
      <color rgb="FFFFFFFF"/>
      <name val="Noto Sans"/>
    </font>
    <font/>
    <font>
      <b/>
      <sz val="11.0"/>
      <color rgb="FFFFFFFF"/>
      <name val="Arial"/>
    </font>
    <font>
      <sz val="10.0"/>
      <color theme="1"/>
      <name val="Noto Sans"/>
    </font>
    <font>
      <sz val="10.0"/>
      <color rgb="FF0000FF"/>
      <name val="Arial"/>
    </font>
    <font>
      <sz val="10.0"/>
      <color theme="1"/>
      <name val="Arial"/>
    </font>
    <font>
      <sz val="10.0"/>
      <color rgb="FFFF0000"/>
      <name val="Arial"/>
    </font>
    <font>
      <color theme="1"/>
      <name val="Calibri"/>
      <scheme val="minor"/>
    </font>
    <font>
      <sz val="10.0"/>
      <color rgb="FF595959"/>
      <name val="Arial"/>
    </font>
    <font>
      <sz val="11.0"/>
      <color theme="1"/>
      <name val="Noto Sans"/>
    </font>
    <font>
      <b/>
      <sz val="14.0"/>
      <color theme="1"/>
      <name val="Arial"/>
    </font>
    <font>
      <b/>
      <sz val="11.0"/>
      <color rgb="FF1F4E79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1F4E79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11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right style="thin">
        <color rgb="FFB7B7B7"/>
      </right>
      <top style="thin">
        <color rgb="FFBFBFBF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1" fillId="3" fontId="7" numFmtId="0" xfId="0" applyAlignment="1" applyBorder="1" applyFill="1" applyFont="1">
      <alignment horizontal="center" shrinkToFit="0" vertical="bottom" wrapText="0"/>
    </xf>
    <xf borderId="2" fillId="3" fontId="7" numFmtId="0" xfId="0" applyAlignment="1" applyBorder="1" applyFill="1" applyFont="1">
      <alignment horizontal="center" shrinkToFit="0" vertical="bottom" wrapText="0"/>
    </xf>
    <xf borderId="3" fillId="0" fontId="8" numFmtId="0" xfId="0" applyBorder="1" applyFont="1"/>
    <xf borderId="1" fillId="2" fontId="6" numFmtId="0" xfId="0" applyAlignment="1" applyBorder="1" applyFill="1" applyFont="1">
      <alignment horizontal="left" shrinkToFit="0" vertical="center" wrapText="0"/>
    </xf>
    <xf borderId="1" fillId="3" fontId="9" numFmtId="0" xfId="0" applyAlignment="1" applyBorder="1" applyFill="1" applyFont="1">
      <alignment horizontal="center" shrinkToFit="0" vertical="center" wrapText="1"/>
    </xf>
    <xf borderId="4" fillId="0" fontId="8" numFmtId="0" xfId="0" applyBorder="1" applyFont="1"/>
    <xf borderId="1" fillId="0" fontId="10" numFmtId="0" xfId="0" applyAlignment="1" applyBorder="1" applyFont="1">
      <alignment readingOrder="0" shrinkToFit="0" vertical="bottom" wrapText="0"/>
    </xf>
    <xf borderId="1" fillId="3" fontId="7" numFmtId="0" xfId="0" applyAlignment="1" applyBorder="1" applyFill="1" applyFont="1">
      <alignment horizontal="center" shrinkToFit="0" vertical="center" wrapText="1"/>
    </xf>
    <xf borderId="1" fillId="4" fontId="11" numFmtId="164" xfId="0" applyAlignment="1" applyBorder="1" applyFill="1" applyFont="1" applyNumberForma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horizontal="center" shrinkToFit="0" vertical="bottom" wrapText="0"/>
    </xf>
    <xf borderId="1" fillId="0" fontId="1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shrinkToFit="0" vertical="bottom" wrapText="0"/>
    </xf>
    <xf borderId="1" fillId="0" fontId="11" numFmtId="165" xfId="0" applyAlignment="1" applyBorder="1" applyFont="1" applyNumberFormat="1">
      <alignment shrinkToFit="0" vertical="bottom" wrapText="0"/>
    </xf>
    <xf borderId="1" fillId="0" fontId="12" numFmtId="0" xfId="0" applyAlignment="1" applyBorder="1" applyFont="1">
      <alignment horizontal="center" readingOrder="0" shrinkToFit="0" vertical="bottom" wrapText="0"/>
    </xf>
    <xf borderId="1" fillId="5" fontId="7" numFmtId="0" xfId="0" applyAlignment="1" applyBorder="1" applyFill="1" applyFont="1">
      <alignment horizontal="center" shrinkToFit="0" vertical="center" wrapText="1"/>
    </xf>
    <xf borderId="1" fillId="0" fontId="13" numFmtId="165" xfId="0" applyAlignment="1" applyBorder="1" applyFont="1" applyNumberFormat="1">
      <alignment shrinkToFit="0" vertical="bottom" wrapText="0"/>
    </xf>
    <xf borderId="1" fillId="6" fontId="12" numFmtId="0" xfId="0" applyAlignment="1" applyBorder="1" applyFill="1" applyFont="1">
      <alignment shrinkToFit="0" vertical="bottom" wrapText="0"/>
    </xf>
    <xf borderId="1" fillId="0" fontId="10" numFmtId="0" xfId="0" applyAlignment="1" applyBorder="1" applyFont="1">
      <alignment horizontal="center" shrinkToFit="0" vertical="bottom" wrapText="0"/>
    </xf>
    <xf borderId="1" fillId="0" fontId="12" numFmtId="165" xfId="0" applyAlignment="1" applyBorder="1" applyFont="1" applyNumberFormat="1">
      <alignment shrinkToFit="0" vertical="bottom" wrapText="0"/>
    </xf>
    <xf borderId="1" fillId="0" fontId="11" numFmtId="165" xfId="0" applyAlignment="1" applyBorder="1" applyFont="1" applyNumberFormat="1">
      <alignment readingOrder="0" shrinkToFit="0" vertical="bottom" wrapText="0"/>
    </xf>
    <xf borderId="1" fillId="0" fontId="13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readingOrder="0"/>
    </xf>
    <xf borderId="1" fillId="0" fontId="6" numFmtId="0" xfId="0" applyAlignment="1" applyBorder="1" applyFont="1">
      <alignment horizontal="left" shrinkToFit="0" vertical="center" wrapText="1"/>
    </xf>
    <xf borderId="1" fillId="6" fontId="12" numFmtId="165" xfId="0" applyAlignment="1" applyBorder="1" applyFill="1" applyFont="1" applyNumberFormat="1">
      <alignment shrinkToFit="0" vertical="bottom" wrapText="0"/>
    </xf>
    <xf borderId="1" fillId="0" fontId="15" numFmtId="0" xfId="0" applyAlignment="1" applyBorder="1" applyFont="1">
      <alignment horizontal="left" readingOrder="0" shrinkToFit="0" vertical="center" wrapText="1"/>
    </xf>
    <xf borderId="1" fillId="7" fontId="3" numFmtId="0" xfId="0" applyAlignment="1" applyBorder="1" applyFill="1" applyFont="1">
      <alignment shrinkToFit="0" vertical="bottom" wrapText="0"/>
    </xf>
    <xf borderId="1" fillId="7" fontId="5" numFmtId="0" xfId="0" applyAlignment="1" applyBorder="1" applyFill="1" applyFont="1">
      <alignment shrinkToFit="0" vertical="bottom" wrapText="0"/>
    </xf>
    <xf borderId="1" fillId="7" fontId="4" numFmtId="165" xfId="0" applyAlignment="1" applyBorder="1" applyFill="1" applyFont="1" applyNumberFormat="1">
      <alignment shrinkToFit="0" vertical="bottom" wrapText="0"/>
    </xf>
    <xf borderId="1" fillId="2" fontId="2" numFmtId="0" xfId="0" applyAlignment="1" applyBorder="1" applyFill="1" applyFont="1">
      <alignment horizontal="left" shrinkToFit="0" vertical="center" wrapText="0"/>
    </xf>
    <xf borderId="1" fillId="6" fontId="12" numFmtId="164" xfId="0" applyAlignment="1" applyBorder="1" applyFill="1" applyFont="1" applyNumberFormat="1">
      <alignment shrinkToFit="0" vertical="bottom" wrapText="0"/>
    </xf>
    <xf borderId="1" fillId="0" fontId="15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8" fontId="3" numFmtId="0" xfId="0" applyAlignment="1" applyBorder="1" applyFill="1" applyFont="1">
      <alignment shrinkToFit="0" vertical="bottom" wrapText="0"/>
    </xf>
    <xf borderId="1" fillId="8" fontId="5" numFmtId="0" xfId="0" applyAlignment="1" applyBorder="1" applyFill="1" applyFont="1">
      <alignment shrinkToFit="0" vertical="bottom" wrapText="0"/>
    </xf>
    <xf borderId="1" fillId="9" fontId="10" numFmtId="0" xfId="0" applyAlignment="1" applyBorder="1" applyFill="1" applyFont="1">
      <alignment shrinkToFit="0" vertical="bottom" wrapText="0"/>
    </xf>
    <xf borderId="1" fillId="8" fontId="4" numFmtId="165" xfId="0" applyAlignment="1" applyBorder="1" applyFill="1" applyFont="1" applyNumberFormat="1">
      <alignment shrinkToFit="0" vertical="bottom" wrapText="0"/>
    </xf>
    <xf borderId="1" fillId="9" fontId="12" numFmtId="165" xfId="0" applyAlignment="1" applyBorder="1" applyFill="1" applyFont="1" applyNumberFormat="1">
      <alignment shrinkToFit="0" vertical="bottom" wrapText="0"/>
    </xf>
    <xf borderId="1" fillId="7" fontId="4" numFmtId="0" xfId="0" applyAlignment="1" applyBorder="1" applyFill="1" applyFont="1">
      <alignment shrinkToFit="0" vertical="bottom" wrapText="0"/>
    </xf>
    <xf borderId="1" fillId="7" fontId="12" numFmtId="0" xfId="0" applyAlignment="1" applyBorder="1" applyFill="1" applyFont="1">
      <alignment shrinkToFit="0" vertical="bottom" wrapText="0"/>
    </xf>
    <xf borderId="1" fillId="9" fontId="12" numFmtId="164" xfId="0" applyAlignment="1" applyBorder="1" applyFill="1" applyFont="1" applyNumberFormat="1">
      <alignment shrinkToFit="0" vertical="bottom" wrapText="0"/>
    </xf>
    <xf borderId="1" fillId="0" fontId="12" numFmtId="164" xfId="0" applyAlignment="1" applyBorder="1" applyFont="1" applyNumberFormat="1">
      <alignment shrinkToFit="0" vertical="bottom" wrapText="0"/>
    </xf>
    <xf borderId="1" fillId="7" fontId="4" numFmtId="164" xfId="0" applyAlignment="1" applyBorder="1" applyFill="1" applyFont="1" applyNumberFormat="1">
      <alignment shrinkToFit="0" vertical="bottom" wrapText="0"/>
    </xf>
    <xf borderId="1" fillId="8" fontId="4" numFmtId="164" xfId="0" applyAlignment="1" applyBorder="1" applyFill="1" applyFont="1" applyNumberFormat="1">
      <alignment shrinkToFit="0" vertical="bottom" wrapText="0"/>
    </xf>
    <xf borderId="1" fillId="3" fontId="7" numFmtId="0" xfId="0" applyAlignment="1" applyBorder="1" applyFill="1" applyFont="1">
      <alignment horizontal="center" shrinkToFit="0" vertical="center" wrapText="0"/>
    </xf>
    <xf borderId="1" fillId="3" fontId="9" numFmtId="0" xfId="0" applyAlignment="1" applyBorder="1" applyFill="1" applyFont="1">
      <alignment horizontal="center" shrinkToFit="0" vertical="center" wrapText="0"/>
    </xf>
    <xf borderId="5" fillId="3" fontId="7" numFmtId="0" xfId="0" applyAlignment="1" applyBorder="1" applyFill="1" applyFont="1">
      <alignment horizontal="center" shrinkToFit="0" vertical="center" wrapText="0"/>
    </xf>
    <xf borderId="6" fillId="0" fontId="8" numFmtId="0" xfId="0" applyBorder="1" applyFont="1"/>
    <xf borderId="2" fillId="0" fontId="12" numFmtId="165" xfId="0" applyAlignment="1" applyBorder="1" applyFont="1" applyNumberFormat="1">
      <alignment shrinkToFit="0" vertical="bottom" wrapText="0"/>
    </xf>
    <xf borderId="7" fillId="0" fontId="6" numFmtId="0" xfId="0" applyAlignment="1" applyBorder="1" applyFont="1">
      <alignment shrinkToFit="0" vertical="bottom" wrapText="0"/>
    </xf>
    <xf borderId="7" fillId="0" fontId="14" numFmtId="0" xfId="0" applyBorder="1" applyFont="1"/>
    <xf borderId="7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9" fillId="0" fontId="14" numFmtId="0" xfId="0" applyBorder="1" applyFont="1"/>
    <xf borderId="1" fillId="0" fontId="16" numFmtId="0" xfId="0" applyAlignment="1" applyBorder="1" applyFont="1">
      <alignment horizontal="center" shrinkToFit="0" vertical="bottom" wrapText="0"/>
    </xf>
    <xf borderId="2" fillId="0" fontId="5" numFmtId="165" xfId="0" applyAlignment="1" applyBorder="1" applyFont="1" applyNumberFormat="1">
      <alignment shrinkToFit="0" vertical="bottom" wrapText="0"/>
    </xf>
    <xf borderId="10" fillId="0" fontId="6" numFmtId="0" xfId="0" applyAlignment="1" applyBorder="1" applyFont="1">
      <alignment readingOrder="0" shrinkToFit="0" vertical="bottom" wrapText="0"/>
    </xf>
    <xf borderId="10" fillId="0" fontId="14" numFmtId="0" xfId="0" applyBorder="1" applyFont="1"/>
    <xf borderId="2" fillId="8" fontId="4" numFmtId="165" xfId="0" applyAlignment="1" applyBorder="1" applyFill="1" applyFont="1" applyNumberFormat="1">
      <alignment shrinkToFit="0" vertical="bottom" wrapText="0"/>
    </xf>
    <xf borderId="8" fillId="8" fontId="3" numFmtId="0" xfId="0" applyAlignment="1" applyBorder="1" applyFill="1" applyFont="1">
      <alignment shrinkToFit="0" vertical="bottom" wrapText="0"/>
    </xf>
    <xf borderId="9" fillId="8" fontId="3" numFmtId="0" xfId="0" applyAlignment="1" applyBorder="1" applyFill="1" applyFont="1">
      <alignment shrinkToFit="0" vertical="bottom" wrapText="0"/>
    </xf>
    <xf borderId="0" fillId="0" fontId="10" numFmtId="0" xfId="0" applyAlignment="1" applyFont="1">
      <alignment shrinkToFit="0" vertical="top" wrapText="1"/>
    </xf>
    <xf borderId="0" fillId="0" fontId="17" numFmtId="0" xfId="0" applyFont="1"/>
    <xf borderId="0" fillId="0" fontId="10" numFmtId="0" xfId="0" applyAlignment="1" applyFont="1">
      <alignment readingOrder="0" shrinkToFit="0" vertical="top" wrapText="1"/>
    </xf>
    <xf borderId="1" fillId="2" fontId="18" numFmtId="0" xfId="0" applyBorder="1" applyFill="1" applyFont="1"/>
    <xf borderId="1" fillId="2" fontId="5" numFmtId="0" xfId="0" applyBorder="1" applyFill="1" applyFont="1"/>
    <xf borderId="0" fillId="0" fontId="12" numFmtId="0" xfId="0" applyAlignment="1" applyFont="1">
      <alignment readingOrder="0" shrinkToFit="0" vertical="top" wrapText="1"/>
    </xf>
    <xf borderId="1" fillId="0" fontId="19" numFmtId="0" xfId="0" applyAlignment="1" applyBorder="1" applyFont="1">
      <alignment horizontal="center" vertical="center"/>
    </xf>
    <xf borderId="2" fillId="0" fontId="20" numFmtId="0" xfId="0" applyAlignment="1" applyBorder="1" applyFont="1">
      <alignment shrinkToFit="0" vertical="center" wrapText="1"/>
    </xf>
    <xf borderId="2" fillId="0" fontId="20" numFmtId="0" xfId="0" applyAlignment="1" applyBorder="1" applyFont="1">
      <alignment readingOrder="0" shrinkToFit="0" vertical="center" wrapText="1"/>
    </xf>
    <xf borderId="1" fillId="3" fontId="21" numFmtId="0" xfId="0" applyAlignment="1" applyBorder="1" applyFill="1" applyFont="1">
      <alignment horizontal="center" shrinkToFit="0" vertical="center" wrapText="1"/>
    </xf>
    <xf borderId="2" fillId="3" fontId="21" numFmtId="0" xfId="0" applyAlignment="1" applyBorder="1" applyFill="1" applyFont="1">
      <alignment horizontal="center" shrinkToFit="0" vertical="center" wrapText="1"/>
    </xf>
    <xf borderId="1" fillId="0" fontId="19" numFmtId="0" xfId="0" applyAlignment="1" applyBorder="1" applyFont="1">
      <alignment shrinkToFit="0" vertical="center" wrapText="1"/>
    </xf>
    <xf borderId="1" fillId="0" fontId="20" numFmtId="0" xfId="0" applyAlignment="1" applyBorder="1" applyFont="1">
      <alignment shrinkToFit="0" vertical="center" wrapText="1"/>
    </xf>
    <xf borderId="1" fillId="2" fontId="18" numFmtId="0" xfId="0" applyAlignment="1" applyBorder="1" applyFill="1" applyFont="1">
      <alignment readingOrder="0"/>
    </xf>
    <xf borderId="1" fillId="0" fontId="20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4.29"/>
    <col customWidth="1" min="3" max="11" width="23.0"/>
    <col customWidth="1" min="12" max="26" width="8.71"/>
  </cols>
  <sheetData>
    <row r="1">
      <c r="B1" s="1" t="s">
        <v>2</v>
      </c>
    </row>
    <row r="2">
      <c r="B2" s="6" t="s">
        <v>7</v>
      </c>
    </row>
    <row r="3">
      <c r="B3" s="7" t="s">
        <v>12</v>
      </c>
    </row>
    <row r="5">
      <c r="B5" s="6" t="s">
        <v>13</v>
      </c>
    </row>
    <row r="6">
      <c r="B6" s="8" t="s">
        <v>14</v>
      </c>
      <c r="C6" s="8" t="s">
        <v>16</v>
      </c>
      <c r="D6" s="9" t="s">
        <v>17</v>
      </c>
      <c r="E6" s="10"/>
      <c r="F6" s="13"/>
    </row>
    <row r="7">
      <c r="B7" s="14" t="s">
        <v>23</v>
      </c>
      <c r="C7" s="16">
        <v>40000.0</v>
      </c>
      <c r="D7" s="17" t="s">
        <v>33</v>
      </c>
      <c r="E7" s="10"/>
      <c r="F7" s="13"/>
    </row>
    <row r="8">
      <c r="B8" s="18" t="s">
        <v>27</v>
      </c>
      <c r="C8" s="16">
        <v>27500.0</v>
      </c>
      <c r="D8" s="17" t="s">
        <v>38</v>
      </c>
      <c r="E8" s="10"/>
      <c r="F8" s="13"/>
    </row>
    <row r="9">
      <c r="B9" s="18" t="s">
        <v>28</v>
      </c>
      <c r="C9" s="16">
        <v>27500.0</v>
      </c>
      <c r="D9" s="23" t="s">
        <v>39</v>
      </c>
      <c r="E9" s="10"/>
      <c r="F9" s="13"/>
    </row>
    <row r="10">
      <c r="B10" s="18" t="s">
        <v>29</v>
      </c>
      <c r="C10" s="16">
        <v>27500.0</v>
      </c>
      <c r="D10" s="23" t="s">
        <v>39</v>
      </c>
      <c r="E10" s="10"/>
      <c r="F10" s="13"/>
    </row>
    <row r="12">
      <c r="B12" s="6" t="s">
        <v>40</v>
      </c>
    </row>
    <row r="13" ht="31.5" customHeight="1">
      <c r="B13" s="15" t="s">
        <v>41</v>
      </c>
      <c r="C13" s="15" t="s">
        <v>42</v>
      </c>
      <c r="D13" s="15" t="s">
        <v>43</v>
      </c>
      <c r="E13" s="15" t="s">
        <v>44</v>
      </c>
      <c r="F13" s="15" t="s">
        <v>45</v>
      </c>
      <c r="G13" s="26" t="s">
        <v>46</v>
      </c>
      <c r="H13" s="26" t="s">
        <v>48</v>
      </c>
      <c r="I13" s="26" t="s">
        <v>49</v>
      </c>
      <c r="J13" s="26" t="s">
        <v>50</v>
      </c>
    </row>
    <row r="14">
      <c r="B14" s="28" t="s">
        <v>51</v>
      </c>
      <c r="C14" s="36">
        <f>'BO系明細'!E22</f>
        <v>17</v>
      </c>
      <c r="D14" s="36">
        <f>'BO系明細'!F22</f>
        <v>23.5</v>
      </c>
      <c r="E14" s="36">
        <f>'BO系明細'!G22</f>
        <v>13</v>
      </c>
      <c r="F14" s="36">
        <f t="shared" ref="F14:F19" si="1">SUM(C14:E14)</f>
        <v>53.5</v>
      </c>
      <c r="G14" s="42">
        <f t="shared" ref="G14:G17" si="2">C14*$C$8</f>
        <v>467500</v>
      </c>
      <c r="H14" s="42">
        <f t="shared" ref="H14:H18" si="3">D14*$C$9</f>
        <v>646250</v>
      </c>
      <c r="I14" s="42">
        <f t="shared" ref="I14:I18" si="4">E14*$C$10</f>
        <v>357500</v>
      </c>
      <c r="J14" s="42">
        <f t="shared" ref="J14:J19" si="5">SUM(G14:I14)</f>
        <v>1471250</v>
      </c>
    </row>
    <row r="15">
      <c r="B15" s="47" t="s">
        <v>126</v>
      </c>
      <c r="C15" s="49">
        <f>'Sinops系明細'!E78</f>
        <v>136</v>
      </c>
      <c r="D15" s="49">
        <f>'Sinops系明細'!F78</f>
        <v>144</v>
      </c>
      <c r="E15" s="49">
        <f>'Sinops系明細'!G78</f>
        <v>123</v>
      </c>
      <c r="F15" s="49">
        <f t="shared" si="1"/>
        <v>403</v>
      </c>
      <c r="G15" s="52">
        <f t="shared" si="2"/>
        <v>3740000</v>
      </c>
      <c r="H15" s="52">
        <f t="shared" si="3"/>
        <v>3960000</v>
      </c>
      <c r="I15" s="52">
        <f t="shared" si="4"/>
        <v>3382500</v>
      </c>
      <c r="J15" s="52">
        <f t="shared" si="5"/>
        <v>11082500</v>
      </c>
    </row>
    <row r="16">
      <c r="B16" s="18" t="s">
        <v>158</v>
      </c>
      <c r="C16" s="30">
        <f>'共通・PJ管理'!E9</f>
        <v>10</v>
      </c>
      <c r="D16" s="30">
        <f>'共通・PJ管理'!F9</f>
        <v>30</v>
      </c>
      <c r="E16" s="30">
        <f>'共通・PJ管理'!G9</f>
        <v>3</v>
      </c>
      <c r="F16" s="30">
        <f t="shared" si="1"/>
        <v>43</v>
      </c>
      <c r="G16" s="53">
        <f t="shared" si="2"/>
        <v>275000</v>
      </c>
      <c r="H16" s="53">
        <f t="shared" si="3"/>
        <v>825000</v>
      </c>
      <c r="I16" s="53">
        <f t="shared" si="4"/>
        <v>82500</v>
      </c>
      <c r="J16" s="53">
        <f t="shared" si="5"/>
        <v>1182500</v>
      </c>
    </row>
    <row r="17">
      <c r="B17" s="38" t="s">
        <v>159</v>
      </c>
      <c r="C17" s="40">
        <f t="shared" ref="C17:E17" si="6">SUM(C14:C16)</f>
        <v>163</v>
      </c>
      <c r="D17" s="40">
        <f t="shared" si="6"/>
        <v>197.5</v>
      </c>
      <c r="E17" s="40">
        <f t="shared" si="6"/>
        <v>139</v>
      </c>
      <c r="F17" s="40">
        <f t="shared" si="1"/>
        <v>499.5</v>
      </c>
      <c r="G17" s="54">
        <f t="shared" si="2"/>
        <v>4482500</v>
      </c>
      <c r="H17" s="54">
        <f t="shared" si="3"/>
        <v>5431250</v>
      </c>
      <c r="I17" s="54">
        <f t="shared" si="4"/>
        <v>3822500</v>
      </c>
      <c r="J17" s="54">
        <f t="shared" si="5"/>
        <v>13736250</v>
      </c>
    </row>
    <row r="18">
      <c r="B18" s="19" t="s">
        <v>160</v>
      </c>
      <c r="C18" s="30">
        <f>'共通・PJ管理'!E14</f>
        <v>50</v>
      </c>
      <c r="D18" s="30">
        <f>'共通・PJ管理'!F14</f>
        <v>0</v>
      </c>
      <c r="E18" s="30">
        <f>'共通・PJ管理'!G14</f>
        <v>0</v>
      </c>
      <c r="F18" s="30">
        <f t="shared" si="1"/>
        <v>50</v>
      </c>
      <c r="G18" s="53">
        <f>C18*$C$7</f>
        <v>2000000</v>
      </c>
      <c r="H18" s="53">
        <f t="shared" si="3"/>
        <v>0</v>
      </c>
      <c r="I18" s="53">
        <f t="shared" si="4"/>
        <v>0</v>
      </c>
      <c r="J18" s="53">
        <f t="shared" si="5"/>
        <v>2000000</v>
      </c>
    </row>
    <row r="19">
      <c r="B19" s="45" t="s">
        <v>161</v>
      </c>
      <c r="C19" s="48">
        <f t="shared" ref="C19:E19" si="7">C17+C18</f>
        <v>213</v>
      </c>
      <c r="D19" s="48">
        <f t="shared" si="7"/>
        <v>197.5</v>
      </c>
      <c r="E19" s="48">
        <f t="shared" si="7"/>
        <v>139</v>
      </c>
      <c r="F19" s="48">
        <f t="shared" si="1"/>
        <v>549.5</v>
      </c>
      <c r="G19" s="55">
        <f t="shared" ref="G19:I19" si="8">G17+G18</f>
        <v>6482500</v>
      </c>
      <c r="H19" s="55">
        <f t="shared" si="8"/>
        <v>5431250</v>
      </c>
      <c r="I19" s="55">
        <f t="shared" si="8"/>
        <v>3822500</v>
      </c>
      <c r="J19" s="55">
        <f t="shared" si="5"/>
        <v>15736250</v>
      </c>
    </row>
    <row r="20" ht="15.75" customHeight="1"/>
    <row r="21" ht="15.75" customHeight="1">
      <c r="B21" s="6" t="s">
        <v>165</v>
      </c>
    </row>
    <row r="22" ht="15.75" customHeight="1">
      <c r="B22" s="56" t="s">
        <v>166</v>
      </c>
      <c r="C22" s="56" t="s">
        <v>168</v>
      </c>
      <c r="D22" s="57" t="s">
        <v>169</v>
      </c>
      <c r="E22" s="56" t="s">
        <v>170</v>
      </c>
      <c r="F22" s="56" t="s">
        <v>161</v>
      </c>
      <c r="G22" s="58" t="s">
        <v>171</v>
      </c>
      <c r="H22" s="59"/>
    </row>
    <row r="23" ht="15.75" customHeight="1">
      <c r="B23" s="19" t="s">
        <v>172</v>
      </c>
      <c r="C23" s="19" t="s">
        <v>173</v>
      </c>
      <c r="D23" s="30">
        <f>'BO系明細'!H8</f>
        <v>34</v>
      </c>
      <c r="E23" s="30">
        <f>'Sinops系明細'!H32</f>
        <v>297</v>
      </c>
      <c r="F23" s="60">
        <f t="shared" ref="F23:F25" si="9">SUM(D23:E23)</f>
        <v>331</v>
      </c>
      <c r="G23" s="61" t="s">
        <v>176</v>
      </c>
      <c r="H23" s="62"/>
    </row>
    <row r="24" ht="15.75" customHeight="1">
      <c r="B24" s="19" t="s">
        <v>177</v>
      </c>
      <c r="C24" s="19" t="s">
        <v>178</v>
      </c>
      <c r="D24" s="30">
        <f>'BO系明細'!H14</f>
        <v>9</v>
      </c>
      <c r="E24" s="30">
        <f>'Sinops系明細'!H47</f>
        <v>31</v>
      </c>
      <c r="F24" s="60">
        <f t="shared" si="9"/>
        <v>40</v>
      </c>
      <c r="G24" s="63" t="s">
        <v>180</v>
      </c>
      <c r="H24" s="62"/>
    </row>
    <row r="25" ht="15.75" customHeight="1">
      <c r="B25" s="19" t="s">
        <v>181</v>
      </c>
      <c r="C25" s="19" t="s">
        <v>182</v>
      </c>
      <c r="D25" s="30">
        <f>'BO系明細'!H20</f>
        <v>10.5</v>
      </c>
      <c r="E25" s="30">
        <f>'Sinops系明細'!H76</f>
        <v>75</v>
      </c>
      <c r="F25" s="60">
        <f t="shared" si="9"/>
        <v>85.5</v>
      </c>
      <c r="G25" s="64" t="s">
        <v>140</v>
      </c>
      <c r="H25" s="65"/>
    </row>
    <row r="26" ht="15.75" customHeight="1">
      <c r="B26" s="18" t="s">
        <v>183</v>
      </c>
      <c r="C26" s="19" t="s">
        <v>184</v>
      </c>
      <c r="D26" s="66" t="s">
        <v>47</v>
      </c>
      <c r="E26" s="66" t="s">
        <v>47</v>
      </c>
      <c r="F26" s="67">
        <f>'共通・PJ管理'!H9</f>
        <v>43</v>
      </c>
      <c r="G26" s="61" t="s">
        <v>187</v>
      </c>
      <c r="H26" s="62"/>
    </row>
    <row r="27" ht="15.75" customHeight="1">
      <c r="B27" s="19" t="s">
        <v>189</v>
      </c>
      <c r="C27" s="18" t="s">
        <v>190</v>
      </c>
      <c r="D27" s="66" t="s">
        <v>47</v>
      </c>
      <c r="E27" s="66" t="s">
        <v>47</v>
      </c>
      <c r="F27" s="67">
        <f>'共通・PJ管理'!H14</f>
        <v>50</v>
      </c>
      <c r="G27" s="68" t="s">
        <v>192</v>
      </c>
      <c r="H27" s="69"/>
    </row>
    <row r="28" ht="15.75" customHeight="1">
      <c r="B28" s="45" t="s">
        <v>161</v>
      </c>
      <c r="C28" s="45"/>
      <c r="D28" s="48">
        <f t="shared" ref="D28:F28" si="10">SUM(D23:D27)</f>
        <v>53.5</v>
      </c>
      <c r="E28" s="48">
        <f t="shared" si="10"/>
        <v>403</v>
      </c>
      <c r="F28" s="70">
        <f t="shared" si="10"/>
        <v>549.5</v>
      </c>
      <c r="G28" s="71"/>
      <c r="H28" s="72"/>
    </row>
    <row r="29" ht="15.75" customHeight="1"/>
    <row r="30" ht="15.75" customHeight="1">
      <c r="B30" s="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6">
    <mergeCell ref="D6:F6"/>
    <mergeCell ref="D7:F7"/>
    <mergeCell ref="D8:F8"/>
    <mergeCell ref="D9:F9"/>
    <mergeCell ref="D10:F10"/>
    <mergeCell ref="G22:H2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30.0"/>
    <col customWidth="1" min="4" max="4" width="9.0"/>
    <col customWidth="1" min="5" max="6" width="11.0"/>
    <col customWidth="1" min="7" max="7" width="12.29"/>
    <col customWidth="1" min="8" max="8" width="11.0"/>
    <col customWidth="1" min="9" max="9" width="54.14"/>
    <col customWidth="1" min="10" max="26" width="8.71"/>
  </cols>
  <sheetData>
    <row r="1">
      <c r="B1" s="1" t="s">
        <v>3</v>
      </c>
    </row>
    <row r="2">
      <c r="B2" s="2" t="s">
        <v>5</v>
      </c>
    </row>
    <row r="4">
      <c r="B4" s="4" t="s">
        <v>8</v>
      </c>
      <c r="C4" s="5"/>
      <c r="D4" s="5"/>
      <c r="E4" s="5"/>
      <c r="F4" s="5"/>
      <c r="G4" s="5"/>
      <c r="H4" s="5"/>
      <c r="I4" s="11" t="s">
        <v>11</v>
      </c>
    </row>
    <row r="5">
      <c r="B5" s="12" t="s">
        <v>19</v>
      </c>
      <c r="C5" s="15" t="s">
        <v>22</v>
      </c>
      <c r="D5" s="15" t="s">
        <v>26</v>
      </c>
      <c r="E5" s="15" t="s">
        <v>27</v>
      </c>
      <c r="F5" s="15" t="s">
        <v>28</v>
      </c>
      <c r="G5" s="15" t="s">
        <v>29</v>
      </c>
      <c r="H5" s="15" t="s">
        <v>30</v>
      </c>
      <c r="I5" s="15" t="s">
        <v>17</v>
      </c>
    </row>
    <row r="6">
      <c r="B6" s="18" t="s">
        <v>31</v>
      </c>
      <c r="C6" s="22" t="s">
        <v>35</v>
      </c>
      <c r="D6" s="22">
        <v>126.0</v>
      </c>
      <c r="E6" s="24">
        <v>6.0</v>
      </c>
      <c r="F6" s="24">
        <v>8.0</v>
      </c>
      <c r="G6" s="24">
        <v>4.0</v>
      </c>
      <c r="H6" s="30">
        <f t="shared" ref="H6:H7" si="1">SUM(E6:G6)</f>
        <v>18</v>
      </c>
      <c r="I6" s="33" t="s">
        <v>52</v>
      </c>
      <c r="J6" s="34" t="s">
        <v>60</v>
      </c>
    </row>
    <row r="7">
      <c r="B7" s="18" t="s">
        <v>66</v>
      </c>
      <c r="C7" s="22" t="s">
        <v>67</v>
      </c>
      <c r="D7" s="22">
        <v>83.0</v>
      </c>
      <c r="E7" s="24">
        <v>5.0</v>
      </c>
      <c r="F7" s="24">
        <v>7.0</v>
      </c>
      <c r="G7" s="24">
        <v>4.0</v>
      </c>
      <c r="H7" s="30">
        <f t="shared" si="1"/>
        <v>16</v>
      </c>
      <c r="I7" s="33" t="s">
        <v>73</v>
      </c>
      <c r="J7" s="34" t="s">
        <v>60</v>
      </c>
    </row>
    <row r="8">
      <c r="B8" s="38" t="s">
        <v>30</v>
      </c>
      <c r="C8" s="39"/>
      <c r="D8" s="39"/>
      <c r="E8" s="40">
        <f t="shared" ref="E8:H8" si="2">SUM(E6:E7)</f>
        <v>11</v>
      </c>
      <c r="F8" s="40">
        <f t="shared" si="2"/>
        <v>15</v>
      </c>
      <c r="G8" s="40">
        <f t="shared" si="2"/>
        <v>8</v>
      </c>
      <c r="H8" s="40">
        <f t="shared" si="2"/>
        <v>34</v>
      </c>
      <c r="I8" s="39"/>
    </row>
    <row r="10">
      <c r="B10" s="4" t="s">
        <v>91</v>
      </c>
      <c r="C10" s="5"/>
      <c r="D10" s="5"/>
      <c r="E10" s="5"/>
      <c r="F10" s="5"/>
      <c r="G10" s="5"/>
      <c r="H10" s="5"/>
      <c r="I10" s="41" t="s">
        <v>95</v>
      </c>
    </row>
    <row r="11">
      <c r="B11" s="12" t="s">
        <v>99</v>
      </c>
      <c r="C11" s="15" t="s">
        <v>101</v>
      </c>
      <c r="D11" s="15" t="s">
        <v>26</v>
      </c>
      <c r="E11" s="15" t="s">
        <v>27</v>
      </c>
      <c r="F11" s="15" t="s">
        <v>28</v>
      </c>
      <c r="G11" s="15" t="s">
        <v>29</v>
      </c>
      <c r="H11" s="15" t="s">
        <v>30</v>
      </c>
      <c r="I11" s="15" t="s">
        <v>17</v>
      </c>
    </row>
    <row r="12" ht="15.75" customHeight="1">
      <c r="B12" s="18" t="s">
        <v>107</v>
      </c>
      <c r="C12" s="22" t="s">
        <v>35</v>
      </c>
      <c r="D12" s="22">
        <v>126.0</v>
      </c>
      <c r="E12" s="24">
        <v>1.5</v>
      </c>
      <c r="F12" s="24">
        <v>2.0</v>
      </c>
      <c r="G12" s="24">
        <v>1.0</v>
      </c>
      <c r="H12" s="30">
        <f t="shared" ref="H12:H13" si="3">SUM(E12:G12)</f>
        <v>4.5</v>
      </c>
      <c r="I12" s="35"/>
      <c r="J12" s="34" t="s">
        <v>60</v>
      </c>
    </row>
    <row r="13" ht="15.75" customHeight="1">
      <c r="B13" s="18" t="s">
        <v>113</v>
      </c>
      <c r="C13" s="22" t="s">
        <v>67</v>
      </c>
      <c r="D13" s="22">
        <v>83.0</v>
      </c>
      <c r="E13" s="24">
        <v>1.5</v>
      </c>
      <c r="F13" s="24">
        <v>2.0</v>
      </c>
      <c r="G13" s="24">
        <v>1.0</v>
      </c>
      <c r="H13" s="30">
        <f t="shared" si="3"/>
        <v>4.5</v>
      </c>
      <c r="I13" s="35"/>
      <c r="J13" s="34" t="s">
        <v>60</v>
      </c>
    </row>
    <row r="14" ht="15.75" customHeight="1">
      <c r="B14" s="38" t="s">
        <v>30</v>
      </c>
      <c r="C14" s="39"/>
      <c r="D14" s="39"/>
      <c r="E14" s="40">
        <f t="shared" ref="E14:H14" si="4">SUM(E12:E13)</f>
        <v>3</v>
      </c>
      <c r="F14" s="40">
        <f t="shared" si="4"/>
        <v>4</v>
      </c>
      <c r="G14" s="40">
        <f t="shared" si="4"/>
        <v>2</v>
      </c>
      <c r="H14" s="40">
        <f t="shared" si="4"/>
        <v>9</v>
      </c>
      <c r="I14" s="39"/>
    </row>
    <row r="15" ht="15.75" customHeight="1"/>
    <row r="16" ht="15.75" customHeight="1">
      <c r="B16" s="4" t="s">
        <v>138</v>
      </c>
      <c r="C16" s="5"/>
      <c r="D16" s="5"/>
      <c r="E16" s="5"/>
      <c r="F16" s="5"/>
      <c r="G16" s="5"/>
      <c r="H16" s="5"/>
      <c r="I16" s="41" t="s">
        <v>140</v>
      </c>
    </row>
    <row r="17" ht="15.75" customHeight="1">
      <c r="B17" s="12" t="s">
        <v>141</v>
      </c>
      <c r="C17" s="15" t="s">
        <v>143</v>
      </c>
      <c r="D17" s="15" t="s">
        <v>26</v>
      </c>
      <c r="E17" s="15" t="s">
        <v>27</v>
      </c>
      <c r="F17" s="15" t="s">
        <v>28</v>
      </c>
      <c r="G17" s="15" t="s">
        <v>29</v>
      </c>
      <c r="H17" s="15" t="s">
        <v>30</v>
      </c>
      <c r="I17" s="15" t="s">
        <v>17</v>
      </c>
    </row>
    <row r="18" ht="15.75" customHeight="1">
      <c r="B18" s="18" t="s">
        <v>144</v>
      </c>
      <c r="C18" s="22" t="s">
        <v>145</v>
      </c>
      <c r="D18" s="22">
        <v>126.0</v>
      </c>
      <c r="E18" s="24">
        <v>1.5</v>
      </c>
      <c r="F18" s="24">
        <v>2.5</v>
      </c>
      <c r="G18" s="24">
        <v>1.5</v>
      </c>
      <c r="H18" s="30">
        <f t="shared" ref="H18:H19" si="5">SUM(E18:G18)</f>
        <v>5.5</v>
      </c>
      <c r="I18" s="35"/>
      <c r="J18" s="34" t="s">
        <v>60</v>
      </c>
    </row>
    <row r="19" ht="15.75" customHeight="1">
      <c r="B19" s="18" t="s">
        <v>149</v>
      </c>
      <c r="C19" s="22" t="s">
        <v>67</v>
      </c>
      <c r="D19" s="22">
        <v>83.0</v>
      </c>
      <c r="E19" s="24">
        <v>1.5</v>
      </c>
      <c r="F19" s="24">
        <v>2.0</v>
      </c>
      <c r="G19" s="24">
        <v>1.5</v>
      </c>
      <c r="H19" s="30">
        <f t="shared" si="5"/>
        <v>5</v>
      </c>
      <c r="I19" s="35"/>
      <c r="J19" s="34" t="s">
        <v>60</v>
      </c>
    </row>
    <row r="20" ht="15.75" customHeight="1">
      <c r="B20" s="38" t="s">
        <v>30</v>
      </c>
      <c r="C20" s="39"/>
      <c r="D20" s="39"/>
      <c r="E20" s="40">
        <f t="shared" ref="E20:H20" si="6">SUM(E18:E19)</f>
        <v>3</v>
      </c>
      <c r="F20" s="40">
        <f t="shared" si="6"/>
        <v>4.5</v>
      </c>
      <c r="G20" s="40">
        <f t="shared" si="6"/>
        <v>3</v>
      </c>
      <c r="H20" s="40">
        <f t="shared" si="6"/>
        <v>10.5</v>
      </c>
      <c r="I20" s="39"/>
    </row>
    <row r="21" ht="15.75" customHeight="1"/>
    <row r="22" ht="15.75" customHeight="1">
      <c r="B22" s="45" t="s">
        <v>123</v>
      </c>
      <c r="C22" s="46"/>
      <c r="D22" s="46"/>
      <c r="E22" s="48">
        <f t="shared" ref="E22:H22" si="7">E8+E14+E20</f>
        <v>17</v>
      </c>
      <c r="F22" s="48">
        <f t="shared" si="7"/>
        <v>23.5</v>
      </c>
      <c r="G22" s="48">
        <f t="shared" si="7"/>
        <v>13</v>
      </c>
      <c r="H22" s="48">
        <f t="shared" si="7"/>
        <v>53.5</v>
      </c>
      <c r="I22" s="46"/>
    </row>
    <row r="23" ht="15.75" customHeight="1"/>
    <row r="24" ht="15.75" customHeight="1">
      <c r="B24" s="2" t="s">
        <v>153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19.57"/>
    <col customWidth="1" min="4" max="4" width="9.0"/>
    <col customWidth="1" min="5" max="6" width="11.0"/>
    <col customWidth="1" min="7" max="7" width="13.0"/>
    <col customWidth="1" min="8" max="8" width="11.0"/>
    <col customWidth="1" min="9" max="9" width="98.43"/>
    <col customWidth="1" min="10" max="26" width="8.71"/>
  </cols>
  <sheetData>
    <row r="1">
      <c r="B1" s="1" t="s">
        <v>1</v>
      </c>
    </row>
    <row r="2">
      <c r="B2" s="2" t="s">
        <v>9</v>
      </c>
    </row>
    <row r="4">
      <c r="B4" s="4" t="s">
        <v>10</v>
      </c>
      <c r="C4" s="5"/>
      <c r="D4" s="5"/>
      <c r="E4" s="5"/>
      <c r="F4" s="5"/>
      <c r="G4" s="5"/>
      <c r="H4" s="5"/>
      <c r="I4" s="11" t="s">
        <v>18</v>
      </c>
    </row>
    <row r="5">
      <c r="B5" s="12" t="s">
        <v>21</v>
      </c>
      <c r="C5" s="15" t="s">
        <v>25</v>
      </c>
      <c r="D5" s="15" t="s">
        <v>26</v>
      </c>
      <c r="E5" s="15" t="s">
        <v>27</v>
      </c>
      <c r="F5" s="15" t="s">
        <v>28</v>
      </c>
      <c r="G5" s="15" t="s">
        <v>29</v>
      </c>
      <c r="H5" s="15" t="s">
        <v>30</v>
      </c>
      <c r="I5" s="15" t="s">
        <v>17</v>
      </c>
    </row>
    <row r="6">
      <c r="B6" s="20" t="s">
        <v>34</v>
      </c>
      <c r="C6" s="21" t="s">
        <v>37</v>
      </c>
      <c r="D6" s="21">
        <v>16.0</v>
      </c>
      <c r="E6" s="27">
        <v>5.0</v>
      </c>
      <c r="F6" s="27">
        <v>5.0</v>
      </c>
      <c r="G6" s="27">
        <v>3.0</v>
      </c>
      <c r="H6" s="27">
        <f t="shared" ref="H6:H31" si="1">SUM(E6:G6)</f>
        <v>13</v>
      </c>
      <c r="I6" s="32" t="s">
        <v>53</v>
      </c>
    </row>
    <row r="7">
      <c r="B7" s="20" t="s">
        <v>54</v>
      </c>
      <c r="C7" s="21" t="s">
        <v>55</v>
      </c>
      <c r="D7" s="21">
        <v>13.0</v>
      </c>
      <c r="E7" s="27">
        <v>5.0</v>
      </c>
      <c r="F7" s="27">
        <v>5.0</v>
      </c>
      <c r="G7" s="27">
        <v>3.0</v>
      </c>
      <c r="H7" s="27">
        <f t="shared" si="1"/>
        <v>13</v>
      </c>
      <c r="I7" s="32" t="s">
        <v>53</v>
      </c>
    </row>
    <row r="8">
      <c r="B8" s="20" t="s">
        <v>56</v>
      </c>
      <c r="C8" s="21" t="s">
        <v>57</v>
      </c>
      <c r="D8" s="21">
        <v>4.0</v>
      </c>
      <c r="E8" s="27">
        <v>2.0</v>
      </c>
      <c r="F8" s="27">
        <v>2.0</v>
      </c>
      <c r="G8" s="27">
        <v>2.0</v>
      </c>
      <c r="H8" s="27">
        <f t="shared" si="1"/>
        <v>6</v>
      </c>
      <c r="I8" s="32" t="s">
        <v>53</v>
      </c>
    </row>
    <row r="9">
      <c r="B9" s="20" t="s">
        <v>58</v>
      </c>
      <c r="C9" s="21" t="s">
        <v>59</v>
      </c>
      <c r="D9" s="21">
        <v>2.0</v>
      </c>
      <c r="E9" s="27">
        <v>1.0</v>
      </c>
      <c r="F9" s="27">
        <v>1.0</v>
      </c>
      <c r="G9" s="27">
        <v>1.0</v>
      </c>
      <c r="H9" s="27">
        <f t="shared" si="1"/>
        <v>3</v>
      </c>
      <c r="I9" s="32" t="s">
        <v>53</v>
      </c>
    </row>
    <row r="10">
      <c r="B10" s="20" t="s">
        <v>61</v>
      </c>
      <c r="C10" s="21" t="s">
        <v>62</v>
      </c>
      <c r="D10" s="21">
        <v>6.0</v>
      </c>
      <c r="E10" s="27">
        <v>5.0</v>
      </c>
      <c r="F10" s="27">
        <v>5.0</v>
      </c>
      <c r="G10" s="27">
        <v>4.0</v>
      </c>
      <c r="H10" s="27">
        <f t="shared" si="1"/>
        <v>14</v>
      </c>
      <c r="I10" s="32" t="s">
        <v>53</v>
      </c>
    </row>
    <row r="11">
      <c r="B11" s="19" t="s">
        <v>64</v>
      </c>
      <c r="C11" s="22" t="s">
        <v>65</v>
      </c>
      <c r="D11" s="22">
        <v>11.0</v>
      </c>
      <c r="E11" s="24">
        <v>4.0</v>
      </c>
      <c r="F11" s="24">
        <v>3.0</v>
      </c>
      <c r="G11" s="24">
        <v>3.0</v>
      </c>
      <c r="H11" s="30">
        <f t="shared" si="1"/>
        <v>10</v>
      </c>
      <c r="I11" s="37" t="s">
        <v>70</v>
      </c>
    </row>
    <row r="12">
      <c r="B12" s="19" t="s">
        <v>74</v>
      </c>
      <c r="C12" s="22" t="s">
        <v>76</v>
      </c>
      <c r="D12" s="22">
        <v>28.0</v>
      </c>
      <c r="E12" s="24">
        <v>5.0</v>
      </c>
      <c r="F12" s="24">
        <v>5.0</v>
      </c>
      <c r="G12" s="24">
        <v>4.0</v>
      </c>
      <c r="H12" s="30">
        <f t="shared" si="1"/>
        <v>14</v>
      </c>
      <c r="I12" s="37" t="s">
        <v>70</v>
      </c>
    </row>
    <row r="13">
      <c r="B13" s="19" t="s">
        <v>78</v>
      </c>
      <c r="C13" s="22" t="s">
        <v>79</v>
      </c>
      <c r="D13" s="22">
        <v>3.0</v>
      </c>
      <c r="E13" s="24">
        <v>1.5</v>
      </c>
      <c r="F13" s="24">
        <v>1.0</v>
      </c>
      <c r="G13" s="24">
        <v>1.0</v>
      </c>
      <c r="H13" s="30">
        <f t="shared" si="1"/>
        <v>3.5</v>
      </c>
      <c r="I13" s="37" t="s">
        <v>70</v>
      </c>
    </row>
    <row r="14">
      <c r="B14" s="19" t="s">
        <v>80</v>
      </c>
      <c r="C14" s="22" t="s">
        <v>81</v>
      </c>
      <c r="D14" s="22">
        <v>4.0</v>
      </c>
      <c r="E14" s="24">
        <v>1.5</v>
      </c>
      <c r="F14" s="24">
        <v>2.0</v>
      </c>
      <c r="G14" s="24">
        <v>2.0</v>
      </c>
      <c r="H14" s="30">
        <f t="shared" si="1"/>
        <v>5.5</v>
      </c>
      <c r="I14" s="37" t="s">
        <v>82</v>
      </c>
      <c r="J14" s="34"/>
    </row>
    <row r="15">
      <c r="B15" s="19" t="s">
        <v>83</v>
      </c>
      <c r="C15" s="22" t="s">
        <v>84</v>
      </c>
      <c r="D15" s="22">
        <v>4.0</v>
      </c>
      <c r="E15" s="24">
        <v>4.0</v>
      </c>
      <c r="F15" s="24">
        <v>3.0</v>
      </c>
      <c r="G15" s="24">
        <v>3.0</v>
      </c>
      <c r="H15" s="30">
        <f t="shared" si="1"/>
        <v>10</v>
      </c>
      <c r="I15" s="37" t="s">
        <v>85</v>
      </c>
      <c r="J15" s="34"/>
    </row>
    <row r="16">
      <c r="B16" s="19" t="s">
        <v>86</v>
      </c>
      <c r="C16" s="22" t="s">
        <v>84</v>
      </c>
      <c r="D16" s="22">
        <v>4.0</v>
      </c>
      <c r="E16" s="24">
        <v>4.0</v>
      </c>
      <c r="F16" s="24">
        <v>3.0</v>
      </c>
      <c r="G16" s="24">
        <v>3.0</v>
      </c>
      <c r="H16" s="30">
        <f t="shared" si="1"/>
        <v>10</v>
      </c>
      <c r="I16" s="37" t="s">
        <v>87</v>
      </c>
    </row>
    <row r="17">
      <c r="B17" s="19" t="s">
        <v>88</v>
      </c>
      <c r="C17" s="22" t="s">
        <v>89</v>
      </c>
      <c r="D17" s="22">
        <v>6.0</v>
      </c>
      <c r="E17" s="24">
        <v>4.0</v>
      </c>
      <c r="F17" s="24">
        <v>3.0</v>
      </c>
      <c r="G17" s="24">
        <v>3.0</v>
      </c>
      <c r="H17" s="30">
        <f t="shared" si="1"/>
        <v>10</v>
      </c>
      <c r="I17" s="37" t="s">
        <v>90</v>
      </c>
    </row>
    <row r="18">
      <c r="B18" s="19" t="s">
        <v>92</v>
      </c>
      <c r="C18" s="22" t="s">
        <v>93</v>
      </c>
      <c r="D18" s="22">
        <v>8.0</v>
      </c>
      <c r="E18" s="24">
        <v>4.0</v>
      </c>
      <c r="F18" s="24">
        <v>3.0</v>
      </c>
      <c r="G18" s="24">
        <v>3.0</v>
      </c>
      <c r="H18" s="30">
        <f t="shared" si="1"/>
        <v>10</v>
      </c>
      <c r="I18" s="37" t="s">
        <v>96</v>
      </c>
    </row>
    <row r="19">
      <c r="B19" s="20" t="s">
        <v>98</v>
      </c>
      <c r="C19" s="22" t="s">
        <v>100</v>
      </c>
      <c r="D19" s="22">
        <v>9.0</v>
      </c>
      <c r="E19" s="24">
        <v>5.0</v>
      </c>
      <c r="F19" s="24">
        <v>5.0</v>
      </c>
      <c r="G19" s="24">
        <v>4.0</v>
      </c>
      <c r="H19" s="30">
        <f t="shared" si="1"/>
        <v>14</v>
      </c>
      <c r="I19" s="37" t="s">
        <v>104</v>
      </c>
    </row>
    <row r="20">
      <c r="B20" s="19" t="s">
        <v>105</v>
      </c>
      <c r="C20" s="22" t="s">
        <v>106</v>
      </c>
      <c r="D20" s="22">
        <v>15.0</v>
      </c>
      <c r="E20" s="24">
        <v>6.0</v>
      </c>
      <c r="F20" s="24">
        <v>8.0</v>
      </c>
      <c r="G20" s="24">
        <v>6.0</v>
      </c>
      <c r="H20" s="30">
        <f t="shared" si="1"/>
        <v>20</v>
      </c>
      <c r="I20" s="37" t="s">
        <v>108</v>
      </c>
    </row>
    <row r="21" ht="15.75" customHeight="1">
      <c r="B21" s="19" t="s">
        <v>110</v>
      </c>
      <c r="C21" s="22" t="s">
        <v>111</v>
      </c>
      <c r="D21" s="22">
        <v>4.0</v>
      </c>
      <c r="E21" s="24">
        <v>6.0</v>
      </c>
      <c r="F21" s="24">
        <v>8.0</v>
      </c>
      <c r="G21" s="24">
        <v>6.0</v>
      </c>
      <c r="H21" s="30">
        <f t="shared" si="1"/>
        <v>20</v>
      </c>
      <c r="I21" s="43" t="s">
        <v>112</v>
      </c>
    </row>
    <row r="22" ht="15.75" customHeight="1">
      <c r="B22" s="20" t="s">
        <v>115</v>
      </c>
      <c r="C22" s="21" t="s">
        <v>116</v>
      </c>
      <c r="D22" s="21">
        <v>20.0</v>
      </c>
      <c r="E22" s="27">
        <v>5.0</v>
      </c>
      <c r="F22" s="27">
        <v>5.0</v>
      </c>
      <c r="G22" s="27">
        <v>4.0</v>
      </c>
      <c r="H22" s="27">
        <f t="shared" si="1"/>
        <v>14</v>
      </c>
      <c r="I22" s="32" t="s">
        <v>117</v>
      </c>
    </row>
    <row r="23" ht="15.75" customHeight="1">
      <c r="B23" s="20" t="s">
        <v>118</v>
      </c>
      <c r="C23" s="21" t="s">
        <v>119</v>
      </c>
      <c r="D23" s="21">
        <v>2.0</v>
      </c>
      <c r="E23" s="27">
        <v>1.0</v>
      </c>
      <c r="F23" s="27">
        <v>1.0</v>
      </c>
      <c r="G23" s="27">
        <v>1.0</v>
      </c>
      <c r="H23" s="27">
        <f t="shared" si="1"/>
        <v>3</v>
      </c>
      <c r="I23" s="32" t="s">
        <v>53</v>
      </c>
    </row>
    <row r="24" ht="15.75" customHeight="1">
      <c r="B24" s="19" t="s">
        <v>120</v>
      </c>
      <c r="C24" s="22" t="s">
        <v>121</v>
      </c>
      <c r="D24" s="22">
        <v>3.0</v>
      </c>
      <c r="E24" s="24">
        <v>4.0</v>
      </c>
      <c r="F24" s="24">
        <v>4.0</v>
      </c>
      <c r="G24" s="24">
        <v>4.0</v>
      </c>
      <c r="H24" s="30">
        <f t="shared" si="1"/>
        <v>12</v>
      </c>
      <c r="I24" s="37" t="s">
        <v>122</v>
      </c>
    </row>
    <row r="25" ht="15.75" customHeight="1">
      <c r="B25" s="19" t="s">
        <v>124</v>
      </c>
      <c r="C25" s="22" t="s">
        <v>125</v>
      </c>
      <c r="D25" s="22">
        <v>13.0</v>
      </c>
      <c r="E25" s="24">
        <v>5.0</v>
      </c>
      <c r="F25" s="24">
        <v>5.0</v>
      </c>
      <c r="G25" s="24">
        <v>4.0</v>
      </c>
      <c r="H25" s="30">
        <f t="shared" si="1"/>
        <v>14</v>
      </c>
      <c r="I25" s="37" t="s">
        <v>127</v>
      </c>
    </row>
    <row r="26" ht="15.75" customHeight="1">
      <c r="B26" s="19" t="s">
        <v>128</v>
      </c>
      <c r="C26" s="22" t="s">
        <v>129</v>
      </c>
      <c r="D26" s="22">
        <v>5.0</v>
      </c>
      <c r="E26" s="24">
        <v>3.0</v>
      </c>
      <c r="F26" s="24">
        <v>3.0</v>
      </c>
      <c r="G26" s="24">
        <v>2.0</v>
      </c>
      <c r="H26" s="30">
        <f t="shared" si="1"/>
        <v>8</v>
      </c>
      <c r="I26" s="37" t="s">
        <v>130</v>
      </c>
    </row>
    <row r="27" ht="15.75" customHeight="1">
      <c r="B27" s="19" t="s">
        <v>131</v>
      </c>
      <c r="C27" s="22" t="s">
        <v>132</v>
      </c>
      <c r="D27" s="22">
        <v>20.0</v>
      </c>
      <c r="E27" s="24">
        <v>5.0</v>
      </c>
      <c r="F27" s="24">
        <v>5.0</v>
      </c>
      <c r="G27" s="24">
        <v>4.0</v>
      </c>
      <c r="H27" s="30">
        <f t="shared" si="1"/>
        <v>14</v>
      </c>
      <c r="I27" s="37" t="s">
        <v>133</v>
      </c>
    </row>
    <row r="28" ht="15.75" customHeight="1">
      <c r="B28" s="19" t="s">
        <v>134</v>
      </c>
      <c r="C28" s="22" t="s">
        <v>135</v>
      </c>
      <c r="D28" s="22">
        <v>16.0</v>
      </c>
      <c r="E28" s="24">
        <v>5.0</v>
      </c>
      <c r="F28" s="24">
        <v>5.0</v>
      </c>
      <c r="G28" s="24">
        <v>4.0</v>
      </c>
      <c r="H28" s="30">
        <f t="shared" si="1"/>
        <v>14</v>
      </c>
      <c r="I28" s="37" t="s">
        <v>136</v>
      </c>
    </row>
    <row r="29" ht="15.75" customHeight="1">
      <c r="B29" s="19" t="s">
        <v>137</v>
      </c>
      <c r="C29" s="22" t="s">
        <v>139</v>
      </c>
      <c r="D29" s="22">
        <v>16.0</v>
      </c>
      <c r="E29" s="24">
        <v>5.0</v>
      </c>
      <c r="F29" s="24">
        <v>5.0</v>
      </c>
      <c r="G29" s="24">
        <v>4.0</v>
      </c>
      <c r="H29" s="30">
        <f t="shared" si="1"/>
        <v>14</v>
      </c>
      <c r="I29" s="37" t="s">
        <v>142</v>
      </c>
    </row>
    <row r="30" ht="15.75" customHeight="1">
      <c r="B30" s="19" t="s">
        <v>146</v>
      </c>
      <c r="C30" s="22" t="s">
        <v>147</v>
      </c>
      <c r="D30" s="22">
        <v>17.0</v>
      </c>
      <c r="E30" s="24">
        <v>5.0</v>
      </c>
      <c r="F30" s="24">
        <v>5.0</v>
      </c>
      <c r="G30" s="24">
        <v>4.0</v>
      </c>
      <c r="H30" s="30">
        <f t="shared" si="1"/>
        <v>14</v>
      </c>
      <c r="I30" s="37" t="s">
        <v>148</v>
      </c>
    </row>
    <row r="31" ht="15.75" customHeight="1">
      <c r="B31" s="19" t="s">
        <v>150</v>
      </c>
      <c r="C31" s="22" t="s">
        <v>151</v>
      </c>
      <c r="D31" s="22">
        <v>17.0</v>
      </c>
      <c r="E31" s="24">
        <v>5.0</v>
      </c>
      <c r="F31" s="24">
        <v>5.0</v>
      </c>
      <c r="G31" s="24">
        <v>4.0</v>
      </c>
      <c r="H31" s="30">
        <f t="shared" si="1"/>
        <v>14</v>
      </c>
      <c r="I31" s="37" t="s">
        <v>152</v>
      </c>
    </row>
    <row r="32" ht="15.75" customHeight="1">
      <c r="B32" s="50" t="s">
        <v>30</v>
      </c>
      <c r="C32" s="51"/>
      <c r="D32" s="51"/>
      <c r="E32" s="40">
        <f t="shared" ref="E32:H32" si="2">SUM(E6:E31)</f>
        <v>106</v>
      </c>
      <c r="F32" s="40">
        <f t="shared" si="2"/>
        <v>105</v>
      </c>
      <c r="G32" s="40">
        <f t="shared" si="2"/>
        <v>86</v>
      </c>
      <c r="H32" s="40">
        <f t="shared" si="2"/>
        <v>297</v>
      </c>
      <c r="I32" s="51"/>
    </row>
    <row r="33" ht="15.75" customHeight="1"/>
    <row r="34" ht="15.75" customHeight="1">
      <c r="B34" s="4" t="s">
        <v>154</v>
      </c>
      <c r="C34" s="5"/>
      <c r="D34" s="5"/>
      <c r="E34" s="5"/>
      <c r="F34" s="5"/>
      <c r="G34" s="5"/>
      <c r="H34" s="5"/>
      <c r="I34" s="41" t="s">
        <v>155</v>
      </c>
    </row>
    <row r="35" ht="15.75" customHeight="1">
      <c r="B35" s="12" t="s">
        <v>156</v>
      </c>
      <c r="C35" s="15" t="s">
        <v>157</v>
      </c>
      <c r="D35" s="15" t="s">
        <v>26</v>
      </c>
      <c r="E35" s="15" t="s">
        <v>27</v>
      </c>
      <c r="F35" s="15" t="s">
        <v>28</v>
      </c>
      <c r="G35" s="15" t="s">
        <v>29</v>
      </c>
      <c r="H35" s="15" t="s">
        <v>30</v>
      </c>
      <c r="I35" s="15" t="s">
        <v>17</v>
      </c>
    </row>
    <row r="36" ht="15.75" customHeight="1">
      <c r="B36" s="18" t="s">
        <v>34</v>
      </c>
      <c r="C36" s="22" t="s">
        <v>37</v>
      </c>
      <c r="D36" s="29">
        <v>16.0</v>
      </c>
      <c r="E36" s="24">
        <v>1.0</v>
      </c>
      <c r="F36" s="24">
        <v>1.0</v>
      </c>
      <c r="G36" s="24">
        <v>1.0</v>
      </c>
      <c r="H36" s="30">
        <f t="shared" ref="H36:H46" si="3">SUM(E36:G36)</f>
        <v>3</v>
      </c>
      <c r="I36" s="44"/>
    </row>
    <row r="37" ht="15.75" customHeight="1">
      <c r="B37" s="18" t="s">
        <v>54</v>
      </c>
      <c r="C37" s="22" t="s">
        <v>55</v>
      </c>
      <c r="D37" s="29">
        <v>13.0</v>
      </c>
      <c r="E37" s="24">
        <v>1.0</v>
      </c>
      <c r="F37" s="24">
        <v>1.0</v>
      </c>
      <c r="G37" s="24">
        <v>1.0</v>
      </c>
      <c r="H37" s="30">
        <f t="shared" si="3"/>
        <v>3</v>
      </c>
      <c r="I37" s="44"/>
    </row>
    <row r="38" ht="15.75" customHeight="1">
      <c r="B38" s="18" t="s">
        <v>56</v>
      </c>
      <c r="C38" s="22" t="s">
        <v>57</v>
      </c>
      <c r="D38" s="29">
        <v>4.0</v>
      </c>
      <c r="E38" s="24">
        <v>0.5</v>
      </c>
      <c r="F38" s="24">
        <v>1.0</v>
      </c>
      <c r="G38" s="24">
        <v>1.0</v>
      </c>
      <c r="H38" s="30">
        <f t="shared" si="3"/>
        <v>2.5</v>
      </c>
      <c r="I38" s="44"/>
    </row>
    <row r="39" ht="15.75" customHeight="1">
      <c r="B39" s="18" t="s">
        <v>58</v>
      </c>
      <c r="C39" s="22" t="s">
        <v>59</v>
      </c>
      <c r="D39" s="29">
        <v>2.0</v>
      </c>
      <c r="E39" s="24">
        <v>0.5</v>
      </c>
      <c r="F39" s="24">
        <v>1.0</v>
      </c>
      <c r="G39" s="24">
        <v>1.0</v>
      </c>
      <c r="H39" s="30">
        <f t="shared" si="3"/>
        <v>2.5</v>
      </c>
      <c r="I39" s="44"/>
    </row>
    <row r="40" ht="15.75" customHeight="1">
      <c r="B40" s="18" t="s">
        <v>61</v>
      </c>
      <c r="C40" s="22" t="s">
        <v>62</v>
      </c>
      <c r="D40" s="29">
        <v>6.0</v>
      </c>
      <c r="E40" s="24">
        <v>0.5</v>
      </c>
      <c r="F40" s="24">
        <v>1.0</v>
      </c>
      <c r="G40" s="24">
        <v>1.0</v>
      </c>
      <c r="H40" s="30">
        <f t="shared" si="3"/>
        <v>2.5</v>
      </c>
      <c r="I40" s="44"/>
    </row>
    <row r="41" ht="15.75" customHeight="1">
      <c r="B41" s="18" t="s">
        <v>98</v>
      </c>
      <c r="C41" s="22" t="s">
        <v>100</v>
      </c>
      <c r="D41" s="29">
        <v>9.0</v>
      </c>
      <c r="E41" s="24">
        <v>0.5</v>
      </c>
      <c r="F41" s="24">
        <v>1.0</v>
      </c>
      <c r="G41" s="24">
        <v>1.0</v>
      </c>
      <c r="H41" s="30">
        <f t="shared" si="3"/>
        <v>2.5</v>
      </c>
      <c r="I41" s="44"/>
    </row>
    <row r="42" ht="15.75" customHeight="1">
      <c r="B42" s="18" t="s">
        <v>105</v>
      </c>
      <c r="C42" s="22" t="s">
        <v>106</v>
      </c>
      <c r="D42" s="29">
        <v>15.0</v>
      </c>
      <c r="E42" s="24">
        <v>1.0</v>
      </c>
      <c r="F42" s="24">
        <v>1.0</v>
      </c>
      <c r="G42" s="24">
        <v>1.0</v>
      </c>
      <c r="H42" s="30">
        <f t="shared" si="3"/>
        <v>3</v>
      </c>
      <c r="I42" s="44"/>
    </row>
    <row r="43" ht="15.75" customHeight="1">
      <c r="B43" s="18" t="s">
        <v>115</v>
      </c>
      <c r="C43" s="22" t="s">
        <v>116</v>
      </c>
      <c r="D43" s="29">
        <v>20.0</v>
      </c>
      <c r="E43" s="24">
        <v>1.5</v>
      </c>
      <c r="F43" s="24">
        <v>1.5</v>
      </c>
      <c r="G43" s="24">
        <v>1.0</v>
      </c>
      <c r="H43" s="30">
        <f t="shared" si="3"/>
        <v>4</v>
      </c>
      <c r="I43" s="44"/>
    </row>
    <row r="44" ht="15.75" customHeight="1">
      <c r="B44" s="18" t="s">
        <v>118</v>
      </c>
      <c r="C44" s="22" t="s">
        <v>119</v>
      </c>
      <c r="D44" s="29">
        <v>2.0</v>
      </c>
      <c r="E44" s="24">
        <v>0.5</v>
      </c>
      <c r="F44" s="24">
        <v>1.0</v>
      </c>
      <c r="G44" s="24">
        <v>1.0</v>
      </c>
      <c r="H44" s="30">
        <f t="shared" si="3"/>
        <v>2.5</v>
      </c>
      <c r="I44" s="44"/>
    </row>
    <row r="45" ht="15.75" customHeight="1">
      <c r="B45" s="18" t="s">
        <v>120</v>
      </c>
      <c r="C45" s="22" t="s">
        <v>121</v>
      </c>
      <c r="D45" s="29">
        <v>3.0</v>
      </c>
      <c r="E45" s="24">
        <v>0.5</v>
      </c>
      <c r="F45" s="24">
        <v>1.0</v>
      </c>
      <c r="G45" s="24">
        <v>1.0</v>
      </c>
      <c r="H45" s="30">
        <f t="shared" si="3"/>
        <v>2.5</v>
      </c>
      <c r="I45" s="44"/>
    </row>
    <row r="46" ht="15.75" customHeight="1">
      <c r="B46" s="18" t="s">
        <v>124</v>
      </c>
      <c r="C46" s="22" t="s">
        <v>125</v>
      </c>
      <c r="D46" s="29">
        <v>13.0</v>
      </c>
      <c r="E46" s="24">
        <v>1.0</v>
      </c>
      <c r="F46" s="24">
        <v>1.0</v>
      </c>
      <c r="G46" s="24">
        <v>1.0</v>
      </c>
      <c r="H46" s="30">
        <f t="shared" si="3"/>
        <v>3</v>
      </c>
      <c r="I46" s="44"/>
    </row>
    <row r="47" ht="15.75" customHeight="1">
      <c r="B47" s="38" t="s">
        <v>30</v>
      </c>
      <c r="C47" s="39"/>
      <c r="D47" s="39"/>
      <c r="E47" s="40">
        <f t="shared" ref="E47:H47" si="4">SUM(E36:E46)</f>
        <v>8.5</v>
      </c>
      <c r="F47" s="40">
        <f t="shared" si="4"/>
        <v>11.5</v>
      </c>
      <c r="G47" s="40">
        <f t="shared" si="4"/>
        <v>11</v>
      </c>
      <c r="H47" s="40">
        <f t="shared" si="4"/>
        <v>31</v>
      </c>
      <c r="I47" s="39"/>
    </row>
    <row r="48" ht="15.75" customHeight="1"/>
    <row r="49" ht="15.75" customHeight="1">
      <c r="B49" s="4" t="s">
        <v>162</v>
      </c>
      <c r="C49" s="5"/>
      <c r="D49" s="5"/>
      <c r="E49" s="5"/>
      <c r="F49" s="5"/>
      <c r="G49" s="5"/>
      <c r="H49" s="5"/>
      <c r="I49" s="41" t="s">
        <v>140</v>
      </c>
    </row>
    <row r="50" ht="15.75" customHeight="1">
      <c r="B50" s="12" t="s">
        <v>163</v>
      </c>
      <c r="C50" s="15" t="s">
        <v>164</v>
      </c>
      <c r="D50" s="15" t="s">
        <v>26</v>
      </c>
      <c r="E50" s="15" t="s">
        <v>27</v>
      </c>
      <c r="F50" s="15" t="s">
        <v>28</v>
      </c>
      <c r="G50" s="15" t="s">
        <v>29</v>
      </c>
      <c r="H50" s="15" t="s">
        <v>30</v>
      </c>
      <c r="I50" s="15" t="s">
        <v>17</v>
      </c>
    </row>
    <row r="51" ht="15.75" customHeight="1">
      <c r="B51" s="18" t="s">
        <v>34</v>
      </c>
      <c r="C51" s="22" t="s">
        <v>37</v>
      </c>
      <c r="D51" s="29">
        <v>16.0</v>
      </c>
      <c r="E51" s="24">
        <v>1.0</v>
      </c>
      <c r="F51" s="24">
        <v>1.0</v>
      </c>
      <c r="G51" s="24">
        <v>1.0</v>
      </c>
      <c r="H51" s="30">
        <f t="shared" ref="H51:H75" si="5">SUM(E51:G51)</f>
        <v>3</v>
      </c>
      <c r="I51" s="19" t="s">
        <v>167</v>
      </c>
    </row>
    <row r="52" ht="15.75" customHeight="1">
      <c r="B52" s="18" t="s">
        <v>54</v>
      </c>
      <c r="C52" s="22" t="s">
        <v>55</v>
      </c>
      <c r="D52" s="29">
        <v>13.0</v>
      </c>
      <c r="E52" s="24">
        <v>1.0</v>
      </c>
      <c r="F52" s="24">
        <v>1.0</v>
      </c>
      <c r="G52" s="24">
        <v>1.0</v>
      </c>
      <c r="H52" s="30">
        <f t="shared" si="5"/>
        <v>3</v>
      </c>
      <c r="I52" s="19" t="s">
        <v>167</v>
      </c>
    </row>
    <row r="53" ht="15.75" customHeight="1">
      <c r="B53" s="18" t="s">
        <v>56</v>
      </c>
      <c r="C53" s="22" t="s">
        <v>57</v>
      </c>
      <c r="D53" s="29">
        <v>4.0</v>
      </c>
      <c r="E53" s="24">
        <v>0.5</v>
      </c>
      <c r="F53" s="24">
        <v>1.0</v>
      </c>
      <c r="G53" s="24">
        <v>1.0</v>
      </c>
      <c r="H53" s="30">
        <f t="shared" si="5"/>
        <v>2.5</v>
      </c>
      <c r="I53" s="19" t="s">
        <v>167</v>
      </c>
    </row>
    <row r="54" ht="15.75" customHeight="1">
      <c r="B54" s="18" t="s">
        <v>58</v>
      </c>
      <c r="C54" s="22" t="s">
        <v>59</v>
      </c>
      <c r="D54" s="29">
        <v>2.0</v>
      </c>
      <c r="E54" s="24">
        <v>0.5</v>
      </c>
      <c r="F54" s="24">
        <v>1.0</v>
      </c>
      <c r="G54" s="24">
        <v>1.0</v>
      </c>
      <c r="H54" s="30">
        <f t="shared" si="5"/>
        <v>2.5</v>
      </c>
      <c r="I54" s="19" t="s">
        <v>167</v>
      </c>
    </row>
    <row r="55" ht="15.75" customHeight="1">
      <c r="B55" s="18" t="s">
        <v>61</v>
      </c>
      <c r="C55" s="22" t="s">
        <v>62</v>
      </c>
      <c r="D55" s="29">
        <v>6.0</v>
      </c>
      <c r="E55" s="24">
        <v>0.5</v>
      </c>
      <c r="F55" s="24">
        <v>1.0</v>
      </c>
      <c r="G55" s="24">
        <v>1.0</v>
      </c>
      <c r="H55" s="30">
        <f t="shared" si="5"/>
        <v>2.5</v>
      </c>
      <c r="I55" s="19" t="s">
        <v>167</v>
      </c>
    </row>
    <row r="56" ht="15.75" customHeight="1">
      <c r="B56" s="18" t="s">
        <v>64</v>
      </c>
      <c r="C56" s="22" t="s">
        <v>65</v>
      </c>
      <c r="D56" s="29">
        <v>11.0</v>
      </c>
      <c r="E56" s="24">
        <v>1.0</v>
      </c>
      <c r="F56" s="24">
        <v>1.0</v>
      </c>
      <c r="G56" s="24">
        <v>1.0</v>
      </c>
      <c r="H56" s="30">
        <f t="shared" si="5"/>
        <v>3</v>
      </c>
      <c r="I56" s="19" t="s">
        <v>174</v>
      </c>
    </row>
    <row r="57" ht="15.75" customHeight="1">
      <c r="B57" s="18" t="s">
        <v>74</v>
      </c>
      <c r="C57" s="22" t="s">
        <v>76</v>
      </c>
      <c r="D57" s="29">
        <v>28.0</v>
      </c>
      <c r="E57" s="24">
        <v>1.5</v>
      </c>
      <c r="F57" s="24">
        <v>1.5</v>
      </c>
      <c r="G57" s="24">
        <v>1.0</v>
      </c>
      <c r="H57" s="30">
        <f t="shared" si="5"/>
        <v>4</v>
      </c>
      <c r="I57" s="19" t="s">
        <v>174</v>
      </c>
    </row>
    <row r="58" ht="15.75" customHeight="1">
      <c r="B58" s="18" t="s">
        <v>78</v>
      </c>
      <c r="C58" s="22" t="s">
        <v>79</v>
      </c>
      <c r="D58" s="29">
        <v>3.0</v>
      </c>
      <c r="E58" s="24">
        <v>0.5</v>
      </c>
      <c r="F58" s="24">
        <v>1.0</v>
      </c>
      <c r="G58" s="24">
        <v>1.0</v>
      </c>
      <c r="H58" s="30">
        <f t="shared" si="5"/>
        <v>2.5</v>
      </c>
      <c r="I58" s="19" t="s">
        <v>174</v>
      </c>
    </row>
    <row r="59" ht="15.75" customHeight="1">
      <c r="B59" s="18" t="s">
        <v>80</v>
      </c>
      <c r="C59" s="22" t="s">
        <v>81</v>
      </c>
      <c r="D59" s="29">
        <v>4.0</v>
      </c>
      <c r="E59" s="24">
        <v>0.5</v>
      </c>
      <c r="F59" s="24">
        <v>1.0</v>
      </c>
      <c r="G59" s="24">
        <v>1.0</v>
      </c>
      <c r="H59" s="30">
        <f t="shared" si="5"/>
        <v>2.5</v>
      </c>
      <c r="I59" s="19" t="s">
        <v>174</v>
      </c>
    </row>
    <row r="60" ht="15.75" customHeight="1">
      <c r="B60" s="18" t="s">
        <v>175</v>
      </c>
      <c r="C60" s="22" t="s">
        <v>84</v>
      </c>
      <c r="D60" s="29">
        <v>4.0</v>
      </c>
      <c r="E60" s="24">
        <v>0.5</v>
      </c>
      <c r="F60" s="24">
        <v>1.0</v>
      </c>
      <c r="G60" s="24">
        <v>1.0</v>
      </c>
      <c r="H60" s="30">
        <f t="shared" si="5"/>
        <v>2.5</v>
      </c>
      <c r="I60" s="19" t="s">
        <v>174</v>
      </c>
    </row>
    <row r="61" ht="15.75" customHeight="1">
      <c r="B61" s="18" t="s">
        <v>88</v>
      </c>
      <c r="C61" s="22" t="s">
        <v>89</v>
      </c>
      <c r="D61" s="29">
        <v>6.0</v>
      </c>
      <c r="E61" s="24">
        <v>0.5</v>
      </c>
      <c r="F61" s="24">
        <v>1.0</v>
      </c>
      <c r="G61" s="24">
        <v>1.0</v>
      </c>
      <c r="H61" s="30">
        <f t="shared" si="5"/>
        <v>2.5</v>
      </c>
      <c r="I61" s="19" t="s">
        <v>174</v>
      </c>
    </row>
    <row r="62" ht="15.75" customHeight="1">
      <c r="B62" s="18" t="s">
        <v>92</v>
      </c>
      <c r="C62" s="22" t="s">
        <v>93</v>
      </c>
      <c r="D62" s="29">
        <v>8.0</v>
      </c>
      <c r="E62" s="24">
        <v>0.5</v>
      </c>
      <c r="F62" s="24">
        <v>1.0</v>
      </c>
      <c r="G62" s="24">
        <v>1.0</v>
      </c>
      <c r="H62" s="30">
        <f t="shared" si="5"/>
        <v>2.5</v>
      </c>
      <c r="I62" s="19" t="s">
        <v>174</v>
      </c>
    </row>
    <row r="63" ht="15.75" customHeight="1">
      <c r="B63" s="18" t="s">
        <v>98</v>
      </c>
      <c r="C63" s="22" t="s">
        <v>100</v>
      </c>
      <c r="D63" s="29">
        <v>9.0</v>
      </c>
      <c r="E63" s="24">
        <v>0.5</v>
      </c>
      <c r="F63" s="24">
        <v>1.0</v>
      </c>
      <c r="G63" s="24">
        <v>1.0</v>
      </c>
      <c r="H63" s="30">
        <f t="shared" si="5"/>
        <v>2.5</v>
      </c>
      <c r="I63" s="19" t="s">
        <v>167</v>
      </c>
    </row>
    <row r="64" ht="15.75" customHeight="1">
      <c r="B64" s="18" t="s">
        <v>105</v>
      </c>
      <c r="C64" s="22" t="s">
        <v>106</v>
      </c>
      <c r="D64" s="29">
        <v>15.0</v>
      </c>
      <c r="E64" s="24">
        <v>2.0</v>
      </c>
      <c r="F64" s="24">
        <v>2.0</v>
      </c>
      <c r="G64" s="24">
        <v>2.0</v>
      </c>
      <c r="H64" s="30">
        <f t="shared" si="5"/>
        <v>6</v>
      </c>
      <c r="I64" s="19" t="s">
        <v>179</v>
      </c>
    </row>
    <row r="65" ht="15.75" customHeight="1">
      <c r="B65" s="18" t="s">
        <v>110</v>
      </c>
      <c r="C65" s="22" t="s">
        <v>111</v>
      </c>
      <c r="D65" s="29">
        <v>4.0</v>
      </c>
      <c r="E65" s="24">
        <v>1.0</v>
      </c>
      <c r="F65" s="24">
        <v>1.0</v>
      </c>
      <c r="G65" s="24">
        <v>1.0</v>
      </c>
      <c r="H65" s="30">
        <f t="shared" si="5"/>
        <v>3</v>
      </c>
      <c r="I65" s="19" t="s">
        <v>174</v>
      </c>
    </row>
    <row r="66" ht="15.75" customHeight="1">
      <c r="B66" s="18" t="s">
        <v>115</v>
      </c>
      <c r="C66" s="22" t="s">
        <v>116</v>
      </c>
      <c r="D66" s="29">
        <v>20.0</v>
      </c>
      <c r="E66" s="24">
        <v>1.5</v>
      </c>
      <c r="F66" s="24">
        <v>1.5</v>
      </c>
      <c r="G66" s="24">
        <v>1.0</v>
      </c>
      <c r="H66" s="30">
        <f t="shared" si="5"/>
        <v>4</v>
      </c>
      <c r="I66" s="19" t="s">
        <v>167</v>
      </c>
    </row>
    <row r="67" ht="15.75" customHeight="1">
      <c r="B67" s="18" t="s">
        <v>118</v>
      </c>
      <c r="C67" s="22" t="s">
        <v>119</v>
      </c>
      <c r="D67" s="29">
        <v>2.0</v>
      </c>
      <c r="E67" s="24">
        <v>0.5</v>
      </c>
      <c r="F67" s="24">
        <v>1.0</v>
      </c>
      <c r="G67" s="24">
        <v>1.0</v>
      </c>
      <c r="H67" s="30">
        <f t="shared" si="5"/>
        <v>2.5</v>
      </c>
      <c r="I67" s="19" t="s">
        <v>167</v>
      </c>
    </row>
    <row r="68" ht="15.75" customHeight="1">
      <c r="B68" s="18" t="s">
        <v>120</v>
      </c>
      <c r="C68" s="22" t="s">
        <v>121</v>
      </c>
      <c r="D68" s="29">
        <v>3.0</v>
      </c>
      <c r="E68" s="24">
        <v>0.5</v>
      </c>
      <c r="F68" s="24">
        <v>1.0</v>
      </c>
      <c r="G68" s="24">
        <v>1.0</v>
      </c>
      <c r="H68" s="30">
        <f t="shared" si="5"/>
        <v>2.5</v>
      </c>
      <c r="I68" s="19" t="s">
        <v>167</v>
      </c>
    </row>
    <row r="69" ht="15.75" customHeight="1">
      <c r="B69" s="18" t="s">
        <v>124</v>
      </c>
      <c r="C69" s="22" t="s">
        <v>125</v>
      </c>
      <c r="D69" s="29">
        <v>13.0</v>
      </c>
      <c r="E69" s="24">
        <v>1.0</v>
      </c>
      <c r="F69" s="24">
        <v>1.0</v>
      </c>
      <c r="G69" s="24">
        <v>1.0</v>
      </c>
      <c r="H69" s="30">
        <f t="shared" si="5"/>
        <v>3</v>
      </c>
      <c r="I69" s="19" t="s">
        <v>167</v>
      </c>
    </row>
    <row r="70" ht="15.75" customHeight="1">
      <c r="B70" s="18" t="s">
        <v>128</v>
      </c>
      <c r="C70" s="22" t="s">
        <v>129</v>
      </c>
      <c r="D70" s="29">
        <v>5.0</v>
      </c>
      <c r="E70" s="24">
        <v>0.5</v>
      </c>
      <c r="F70" s="24">
        <v>1.0</v>
      </c>
      <c r="G70" s="24">
        <v>1.0</v>
      </c>
      <c r="H70" s="30">
        <f t="shared" si="5"/>
        <v>2.5</v>
      </c>
      <c r="I70" s="19" t="s">
        <v>174</v>
      </c>
    </row>
    <row r="71" ht="15.75" customHeight="1">
      <c r="B71" s="18" t="s">
        <v>131</v>
      </c>
      <c r="C71" s="22" t="s">
        <v>132</v>
      </c>
      <c r="D71" s="29">
        <v>20.0</v>
      </c>
      <c r="E71" s="24">
        <v>1.5</v>
      </c>
      <c r="F71" s="24">
        <v>1.5</v>
      </c>
      <c r="G71" s="24">
        <v>1.0</v>
      </c>
      <c r="H71" s="30">
        <f t="shared" si="5"/>
        <v>4</v>
      </c>
      <c r="I71" s="19" t="s">
        <v>174</v>
      </c>
    </row>
    <row r="72" ht="15.75" customHeight="1">
      <c r="B72" s="18" t="s">
        <v>185</v>
      </c>
      <c r="C72" s="22" t="s">
        <v>135</v>
      </c>
      <c r="D72" s="29">
        <v>16.0</v>
      </c>
      <c r="E72" s="24">
        <v>1.0</v>
      </c>
      <c r="F72" s="24">
        <v>1.0</v>
      </c>
      <c r="G72" s="24">
        <v>1.0</v>
      </c>
      <c r="H72" s="30">
        <f t="shared" si="5"/>
        <v>3</v>
      </c>
      <c r="I72" s="19" t="s">
        <v>186</v>
      </c>
    </row>
    <row r="73" ht="15.75" customHeight="1">
      <c r="B73" s="18" t="s">
        <v>188</v>
      </c>
      <c r="C73" s="22" t="s">
        <v>139</v>
      </c>
      <c r="D73" s="29">
        <v>16.0</v>
      </c>
      <c r="E73" s="24">
        <v>1.0</v>
      </c>
      <c r="F73" s="24">
        <v>1.0</v>
      </c>
      <c r="G73" s="24">
        <v>1.0</v>
      </c>
      <c r="H73" s="30">
        <f t="shared" si="5"/>
        <v>3</v>
      </c>
      <c r="I73" s="19" t="s">
        <v>186</v>
      </c>
    </row>
    <row r="74" ht="15.75" customHeight="1">
      <c r="B74" s="18" t="s">
        <v>191</v>
      </c>
      <c r="C74" s="22" t="s">
        <v>147</v>
      </c>
      <c r="D74" s="29">
        <v>17.0</v>
      </c>
      <c r="E74" s="24">
        <v>1.0</v>
      </c>
      <c r="F74" s="24">
        <v>1.0</v>
      </c>
      <c r="G74" s="24">
        <v>1.0</v>
      </c>
      <c r="H74" s="30">
        <f t="shared" si="5"/>
        <v>3</v>
      </c>
      <c r="I74" s="19" t="s">
        <v>186</v>
      </c>
    </row>
    <row r="75" ht="15.75" customHeight="1">
      <c r="B75" s="18" t="s">
        <v>193</v>
      </c>
      <c r="C75" s="22" t="s">
        <v>151</v>
      </c>
      <c r="D75" s="29">
        <v>17.0</v>
      </c>
      <c r="E75" s="24">
        <v>1.0</v>
      </c>
      <c r="F75" s="24">
        <v>1.0</v>
      </c>
      <c r="G75" s="24">
        <v>1.0</v>
      </c>
      <c r="H75" s="30">
        <f t="shared" si="5"/>
        <v>3</v>
      </c>
      <c r="I75" s="19" t="s">
        <v>186</v>
      </c>
    </row>
    <row r="76" ht="15.75" customHeight="1">
      <c r="B76" s="38" t="s">
        <v>30</v>
      </c>
      <c r="C76" s="39"/>
      <c r="D76" s="39"/>
      <c r="E76" s="40">
        <f t="shared" ref="E76:H76" si="6">SUM(E51:E75)</f>
        <v>21.5</v>
      </c>
      <c r="F76" s="40">
        <f t="shared" si="6"/>
        <v>27.5</v>
      </c>
      <c r="G76" s="40">
        <f t="shared" si="6"/>
        <v>26</v>
      </c>
      <c r="H76" s="40">
        <f t="shared" si="6"/>
        <v>75</v>
      </c>
      <c r="I76" s="39"/>
    </row>
    <row r="77" ht="15.75" customHeight="1"/>
    <row r="78" ht="15.75" customHeight="1">
      <c r="B78" s="45" t="s">
        <v>123</v>
      </c>
      <c r="C78" s="46"/>
      <c r="D78" s="46"/>
      <c r="E78" s="48">
        <f t="shared" ref="E78:H78" si="7">E32+E47+E76</f>
        <v>136</v>
      </c>
      <c r="F78" s="48">
        <f t="shared" si="7"/>
        <v>144</v>
      </c>
      <c r="G78" s="48">
        <f t="shared" si="7"/>
        <v>123</v>
      </c>
      <c r="H78" s="48">
        <f t="shared" si="7"/>
        <v>403</v>
      </c>
      <c r="I78" s="46"/>
    </row>
    <row r="79" ht="15.75" customHeight="1"/>
    <row r="80" ht="15.75" customHeight="1">
      <c r="B80" s="2" t="s">
        <v>153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53.14"/>
    <col customWidth="1" min="4" max="4" width="9.0"/>
    <col customWidth="1" min="5" max="6" width="11.0"/>
    <col customWidth="1" min="7" max="7" width="12.57"/>
    <col customWidth="1" min="8" max="8" width="11.0"/>
    <col customWidth="1" min="9" max="9" width="46.0"/>
    <col customWidth="1" min="10" max="26" width="8.71"/>
  </cols>
  <sheetData>
    <row r="1">
      <c r="B1" s="1" t="s">
        <v>0</v>
      </c>
    </row>
    <row r="2">
      <c r="B2" s="2" t="s">
        <v>4</v>
      </c>
    </row>
    <row r="4">
      <c r="B4" s="3" t="s">
        <v>6</v>
      </c>
      <c r="C4" s="5"/>
      <c r="D4" s="5"/>
      <c r="E4" s="5"/>
      <c r="F4" s="5"/>
      <c r="G4" s="5"/>
      <c r="H4" s="5"/>
      <c r="I4" s="11" t="s">
        <v>15</v>
      </c>
    </row>
    <row r="5">
      <c r="B5" s="12" t="s">
        <v>20</v>
      </c>
      <c r="C5" s="15" t="s">
        <v>24</v>
      </c>
      <c r="D5" s="15" t="s">
        <v>26</v>
      </c>
      <c r="E5" s="15" t="s">
        <v>27</v>
      </c>
      <c r="F5" s="15" t="s">
        <v>28</v>
      </c>
      <c r="G5" s="15" t="s">
        <v>29</v>
      </c>
      <c r="H5" s="15" t="s">
        <v>30</v>
      </c>
      <c r="I5" s="15" t="s">
        <v>17</v>
      </c>
    </row>
    <row r="6">
      <c r="B6" s="19" t="s">
        <v>32</v>
      </c>
      <c r="C6" s="25" t="s">
        <v>36</v>
      </c>
      <c r="D6" s="29" t="s">
        <v>47</v>
      </c>
      <c r="E6" s="31">
        <v>5.0</v>
      </c>
      <c r="F6" s="31">
        <v>15.0</v>
      </c>
      <c r="G6" s="24">
        <v>0.0</v>
      </c>
      <c r="H6" s="30">
        <f t="shared" ref="H6:H8" si="1">SUM(E6:G6)</f>
        <v>20</v>
      </c>
      <c r="I6" s="35" t="s">
        <v>63</v>
      </c>
    </row>
    <row r="7">
      <c r="B7" s="19" t="s">
        <v>68</v>
      </c>
      <c r="C7" s="25" t="s">
        <v>69</v>
      </c>
      <c r="D7" s="29" t="s">
        <v>47</v>
      </c>
      <c r="E7" s="31">
        <v>5.0</v>
      </c>
      <c r="F7" s="31">
        <v>5.0</v>
      </c>
      <c r="G7" s="31">
        <v>3.0</v>
      </c>
      <c r="H7" s="30">
        <f t="shared" si="1"/>
        <v>13</v>
      </c>
      <c r="I7" s="35" t="s">
        <v>71</v>
      </c>
    </row>
    <row r="8">
      <c r="B8" s="19" t="s">
        <v>72</v>
      </c>
      <c r="C8" s="22" t="s">
        <v>75</v>
      </c>
      <c r="D8" s="29" t="s">
        <v>47</v>
      </c>
      <c r="E8" s="24">
        <v>0.0</v>
      </c>
      <c r="F8" s="31">
        <v>10.0</v>
      </c>
      <c r="G8" s="24">
        <v>0.0</v>
      </c>
      <c r="H8" s="30">
        <f t="shared" si="1"/>
        <v>10</v>
      </c>
      <c r="I8" s="35" t="s">
        <v>77</v>
      </c>
    </row>
    <row r="9">
      <c r="B9" s="38" t="s">
        <v>30</v>
      </c>
      <c r="C9" s="39"/>
      <c r="D9" s="39"/>
      <c r="E9" s="40">
        <f t="shared" ref="E9:H9" si="2">SUM(E6:E8)</f>
        <v>10</v>
      </c>
      <c r="F9" s="40">
        <f t="shared" si="2"/>
        <v>30</v>
      </c>
      <c r="G9" s="40">
        <f t="shared" si="2"/>
        <v>3</v>
      </c>
      <c r="H9" s="40">
        <f t="shared" si="2"/>
        <v>43</v>
      </c>
      <c r="I9" s="39"/>
    </row>
    <row r="11">
      <c r="B11" s="4" t="s">
        <v>94</v>
      </c>
      <c r="C11" s="5"/>
      <c r="D11" s="5"/>
      <c r="E11" s="5"/>
      <c r="F11" s="5"/>
      <c r="G11" s="5"/>
      <c r="H11" s="5"/>
      <c r="I11" s="41" t="s">
        <v>97</v>
      </c>
    </row>
    <row r="12">
      <c r="B12" s="12" t="s">
        <v>102</v>
      </c>
      <c r="C12" s="15" t="s">
        <v>103</v>
      </c>
      <c r="D12" s="15" t="s">
        <v>26</v>
      </c>
      <c r="E12" s="15" t="s">
        <v>27</v>
      </c>
      <c r="F12" s="15" t="s">
        <v>28</v>
      </c>
      <c r="G12" s="15" t="s">
        <v>29</v>
      </c>
      <c r="H12" s="15" t="s">
        <v>30</v>
      </c>
      <c r="I12" s="15" t="s">
        <v>17</v>
      </c>
    </row>
    <row r="13">
      <c r="B13" s="19" t="s">
        <v>109</v>
      </c>
      <c r="C13" s="29" t="s">
        <v>47</v>
      </c>
      <c r="D13" s="29" t="s">
        <v>47</v>
      </c>
      <c r="E13" s="31">
        <v>50.0</v>
      </c>
      <c r="F13" s="24">
        <v>0.0</v>
      </c>
      <c r="G13" s="24">
        <v>0.0</v>
      </c>
      <c r="H13" s="30">
        <f>SUM(E13:G13)</f>
        <v>50</v>
      </c>
      <c r="I13" s="44" t="s">
        <v>114</v>
      </c>
    </row>
    <row r="14">
      <c r="B14" s="38" t="s">
        <v>30</v>
      </c>
      <c r="C14" s="39"/>
      <c r="D14" s="39"/>
      <c r="E14" s="40">
        <f t="shared" ref="E14:H14" si="3">SUM(E13)</f>
        <v>50</v>
      </c>
      <c r="F14" s="40">
        <f t="shared" si="3"/>
        <v>0</v>
      </c>
      <c r="G14" s="40">
        <f t="shared" si="3"/>
        <v>0</v>
      </c>
      <c r="H14" s="40">
        <f t="shared" si="3"/>
        <v>50</v>
      </c>
      <c r="I14" s="39"/>
    </row>
    <row r="16">
      <c r="B16" s="45" t="s">
        <v>123</v>
      </c>
      <c r="C16" s="46"/>
      <c r="D16" s="46"/>
      <c r="E16" s="48">
        <f t="shared" ref="E16:H16" si="4">E9+E14</f>
        <v>60</v>
      </c>
      <c r="F16" s="48">
        <f t="shared" si="4"/>
        <v>30</v>
      </c>
      <c r="G16" s="48">
        <f t="shared" si="4"/>
        <v>3</v>
      </c>
      <c r="H16" s="48">
        <f t="shared" si="4"/>
        <v>93</v>
      </c>
      <c r="I16" s="46"/>
    </row>
    <row r="18">
      <c r="B18" s="2" t="s">
        <v>153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110.0"/>
    <col customWidth="1" min="4" max="26" width="8.71"/>
  </cols>
  <sheetData>
    <row r="1">
      <c r="B1" s="1" t="s">
        <v>194</v>
      </c>
    </row>
    <row r="4">
      <c r="B4" s="6" t="s">
        <v>195</v>
      </c>
    </row>
    <row r="5" ht="30.0" customHeight="1">
      <c r="C5" s="73" t="s">
        <v>196</v>
      </c>
    </row>
    <row r="6" ht="30.0" customHeight="1">
      <c r="C6" s="73" t="s">
        <v>197</v>
      </c>
    </row>
    <row r="7" ht="30.0" customHeight="1">
      <c r="C7" s="73" t="s">
        <v>198</v>
      </c>
    </row>
    <row r="9">
      <c r="B9" s="6" t="s">
        <v>199</v>
      </c>
    </row>
    <row r="10" ht="30.0" customHeight="1">
      <c r="C10" s="75" t="s">
        <v>200</v>
      </c>
    </row>
    <row r="11" ht="30.0" customHeight="1">
      <c r="C11" s="78" t="s">
        <v>201</v>
      </c>
    </row>
    <row r="12" ht="30.0" customHeight="1">
      <c r="C12" s="78" t="s">
        <v>203</v>
      </c>
    </row>
    <row r="14">
      <c r="B14" s="6" t="s">
        <v>204</v>
      </c>
    </row>
    <row r="15" ht="30.0" customHeight="1">
      <c r="C15" s="73" t="s">
        <v>206</v>
      </c>
    </row>
    <row r="16" ht="30.0" customHeight="1">
      <c r="C16" s="73" t="s">
        <v>207</v>
      </c>
    </row>
    <row r="17" ht="30.0" customHeight="1">
      <c r="C17" s="73" t="s">
        <v>208</v>
      </c>
    </row>
    <row r="18" ht="30.0" customHeight="1">
      <c r="C18" s="73" t="s">
        <v>210</v>
      </c>
    </row>
    <row r="19" ht="30.0" customHeight="1">
      <c r="C19" s="73" t="s">
        <v>212</v>
      </c>
    </row>
    <row r="20" ht="30.0" customHeight="1">
      <c r="C20" s="73" t="s">
        <v>213</v>
      </c>
    </row>
    <row r="21" ht="30.0" customHeight="1">
      <c r="C21" s="73" t="s">
        <v>215</v>
      </c>
    </row>
    <row r="22" ht="15.75" customHeight="1"/>
    <row r="23" ht="15.75" customHeight="1">
      <c r="B23" s="6" t="s">
        <v>217</v>
      </c>
    </row>
    <row r="24" ht="30.0" customHeight="1">
      <c r="C24" s="73" t="s">
        <v>218</v>
      </c>
    </row>
    <row r="25" ht="30.0" customHeight="1">
      <c r="C25" s="34" t="s">
        <v>219</v>
      </c>
    </row>
    <row r="26" ht="30.0" customHeight="1">
      <c r="C26" s="73" t="s">
        <v>220</v>
      </c>
    </row>
    <row r="27" ht="30.0" customHeight="1">
      <c r="C27" s="73"/>
    </row>
    <row r="28" ht="15.75" customHeight="1"/>
    <row r="29" ht="15.75" customHeight="1">
      <c r="B29" s="6"/>
    </row>
    <row r="30" ht="30.0" customHeight="1">
      <c r="C30" s="7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5.0"/>
    <col customWidth="1" min="3" max="3" width="30.0"/>
    <col customWidth="1" min="4" max="4" width="46.0"/>
    <col customWidth="1" min="5" max="5" width="58.0"/>
    <col customWidth="1" min="6" max="6" width="46.0"/>
    <col customWidth="1" min="7" max="26" width="8.71"/>
  </cols>
  <sheetData>
    <row r="1">
      <c r="B1" s="74" t="s">
        <v>194</v>
      </c>
    </row>
    <row r="3">
      <c r="B3" s="76" t="s">
        <v>195</v>
      </c>
      <c r="C3" s="77"/>
      <c r="D3" s="77"/>
      <c r="E3" s="77"/>
      <c r="F3" s="77"/>
    </row>
    <row r="4" ht="30.0" customHeight="1">
      <c r="B4" s="79" t="s">
        <v>202</v>
      </c>
      <c r="C4" s="80" t="s">
        <v>205</v>
      </c>
      <c r="D4" s="10"/>
      <c r="E4" s="10"/>
      <c r="F4" s="13"/>
    </row>
    <row r="5" ht="30.0" customHeight="1">
      <c r="B5" s="79" t="s">
        <v>209</v>
      </c>
      <c r="C5" s="80" t="s">
        <v>211</v>
      </c>
      <c r="D5" s="10"/>
      <c r="E5" s="10"/>
      <c r="F5" s="13"/>
    </row>
    <row r="6" ht="43.5" customHeight="1">
      <c r="B6" s="79" t="s">
        <v>214</v>
      </c>
      <c r="C6" s="81" t="s">
        <v>216</v>
      </c>
      <c r="D6" s="10"/>
      <c r="E6" s="10"/>
      <c r="F6" s="13"/>
    </row>
    <row r="8">
      <c r="B8" s="76" t="s">
        <v>199</v>
      </c>
      <c r="C8" s="77"/>
      <c r="D8" s="77"/>
      <c r="E8" s="77"/>
      <c r="F8" s="77"/>
    </row>
    <row r="9" ht="30.0" customHeight="1">
      <c r="B9" s="79" t="s">
        <v>202</v>
      </c>
      <c r="C9" s="81" t="s">
        <v>221</v>
      </c>
      <c r="D9" s="10"/>
      <c r="E9" s="10"/>
      <c r="F9" s="13"/>
    </row>
    <row r="10" ht="30.0" customHeight="1">
      <c r="B10" s="79" t="s">
        <v>209</v>
      </c>
      <c r="C10" s="81" t="s">
        <v>222</v>
      </c>
      <c r="D10" s="10"/>
      <c r="E10" s="10"/>
      <c r="F10" s="13"/>
    </row>
    <row r="11" ht="43.5" customHeight="1">
      <c r="B11" s="79" t="s">
        <v>214</v>
      </c>
      <c r="C11" s="81" t="s">
        <v>223</v>
      </c>
      <c r="D11" s="10"/>
      <c r="E11" s="10"/>
      <c r="F11" s="13"/>
    </row>
    <row r="13">
      <c r="B13" s="76" t="s">
        <v>224</v>
      </c>
      <c r="C13" s="77"/>
      <c r="D13" s="77"/>
      <c r="E13" s="77"/>
      <c r="F13" s="77"/>
    </row>
    <row r="14">
      <c r="B14" s="82" t="s">
        <v>225</v>
      </c>
      <c r="C14" s="82" t="s">
        <v>226</v>
      </c>
      <c r="D14" s="82" t="s">
        <v>227</v>
      </c>
      <c r="E14" s="83" t="s">
        <v>228</v>
      </c>
      <c r="F14" s="13"/>
    </row>
    <row r="15" ht="45.75" customHeight="1">
      <c r="B15" s="79" t="s">
        <v>202</v>
      </c>
      <c r="C15" s="84" t="s">
        <v>229</v>
      </c>
      <c r="D15" s="85" t="s">
        <v>230</v>
      </c>
      <c r="E15" s="80" t="s">
        <v>231</v>
      </c>
      <c r="F15" s="13"/>
    </row>
    <row r="16" ht="45.75" customHeight="1">
      <c r="B16" s="79" t="s">
        <v>209</v>
      </c>
      <c r="C16" s="84" t="s">
        <v>232</v>
      </c>
      <c r="D16" s="85" t="s">
        <v>233</v>
      </c>
      <c r="E16" s="80" t="s">
        <v>234</v>
      </c>
      <c r="F16" s="13"/>
    </row>
    <row r="17" ht="45.75" customHeight="1">
      <c r="B17" s="79" t="s">
        <v>214</v>
      </c>
      <c r="C17" s="84" t="s">
        <v>235</v>
      </c>
      <c r="D17" s="85" t="s">
        <v>236</v>
      </c>
      <c r="E17" s="80" t="s">
        <v>237</v>
      </c>
      <c r="F17" s="13"/>
    </row>
    <row r="18" ht="45.75" customHeight="1">
      <c r="B18" s="79" t="s">
        <v>238</v>
      </c>
      <c r="C18" s="84" t="s">
        <v>239</v>
      </c>
      <c r="D18" s="85" t="s">
        <v>240</v>
      </c>
      <c r="E18" s="81" t="s">
        <v>241</v>
      </c>
      <c r="F18" s="13"/>
    </row>
    <row r="20" ht="15.75" customHeight="1">
      <c r="B20" s="86" t="s">
        <v>242</v>
      </c>
      <c r="C20" s="77"/>
      <c r="D20" s="77"/>
      <c r="E20" s="77"/>
      <c r="F20" s="77"/>
    </row>
    <row r="21" ht="15.75" customHeight="1">
      <c r="B21" s="82" t="s">
        <v>225</v>
      </c>
      <c r="C21" s="82" t="s">
        <v>243</v>
      </c>
      <c r="D21" s="82" t="s">
        <v>244</v>
      </c>
      <c r="E21" s="82" t="s">
        <v>245</v>
      </c>
      <c r="F21" s="82" t="s">
        <v>246</v>
      </c>
    </row>
    <row r="22" ht="51.75" customHeight="1">
      <c r="B22" s="79" t="s">
        <v>202</v>
      </c>
      <c r="C22" s="84" t="s">
        <v>247</v>
      </c>
      <c r="D22" s="85" t="s">
        <v>248</v>
      </c>
      <c r="E22" s="85" t="s">
        <v>249</v>
      </c>
      <c r="F22" s="85" t="s">
        <v>250</v>
      </c>
    </row>
    <row r="23" ht="51.75" customHeight="1">
      <c r="B23" s="79" t="s">
        <v>209</v>
      </c>
      <c r="C23" s="84" t="s">
        <v>251</v>
      </c>
      <c r="D23" s="85" t="s">
        <v>248</v>
      </c>
      <c r="E23" s="85" t="s">
        <v>252</v>
      </c>
      <c r="F23" s="87" t="s">
        <v>253</v>
      </c>
    </row>
    <row r="24" ht="51.75" customHeight="1">
      <c r="B24" s="79" t="s">
        <v>214</v>
      </c>
      <c r="C24" s="84" t="s">
        <v>254</v>
      </c>
      <c r="D24" s="85" t="s">
        <v>255</v>
      </c>
      <c r="E24" s="85" t="s">
        <v>256</v>
      </c>
      <c r="F24" s="85" t="s">
        <v>257</v>
      </c>
    </row>
    <row r="25" ht="51.75" customHeight="1">
      <c r="B25" s="79" t="s">
        <v>238</v>
      </c>
      <c r="C25" s="84" t="s">
        <v>258</v>
      </c>
      <c r="D25" s="85" t="s">
        <v>259</v>
      </c>
      <c r="E25" s="85" t="s">
        <v>260</v>
      </c>
      <c r="F25" s="87" t="s">
        <v>261</v>
      </c>
    </row>
    <row r="26" ht="51.75" customHeight="1">
      <c r="B26" s="79" t="s">
        <v>262</v>
      </c>
      <c r="C26" s="84" t="s">
        <v>263</v>
      </c>
      <c r="D26" s="85" t="s">
        <v>264</v>
      </c>
      <c r="E26" s="85" t="s">
        <v>265</v>
      </c>
      <c r="F26" s="85" t="s">
        <v>266</v>
      </c>
    </row>
    <row r="27" ht="51.75" customHeight="1">
      <c r="B27" s="79" t="s">
        <v>267</v>
      </c>
      <c r="C27" s="84" t="s">
        <v>61</v>
      </c>
      <c r="D27" s="85" t="s">
        <v>268</v>
      </c>
      <c r="E27" s="85" t="s">
        <v>269</v>
      </c>
      <c r="F27" s="85" t="s">
        <v>270</v>
      </c>
    </row>
    <row r="28" ht="51.75" customHeight="1">
      <c r="B28" s="79" t="s">
        <v>271</v>
      </c>
      <c r="C28" s="84" t="s">
        <v>272</v>
      </c>
      <c r="D28" s="85" t="s">
        <v>273</v>
      </c>
      <c r="E28" s="85" t="s">
        <v>274</v>
      </c>
      <c r="F28" s="85" t="s">
        <v>275</v>
      </c>
    </row>
    <row r="29" ht="15.75" customHeight="1"/>
    <row r="30" ht="15.75" customHeight="1">
      <c r="B30" s="76" t="s">
        <v>276</v>
      </c>
      <c r="C30" s="77"/>
      <c r="D30" s="77"/>
      <c r="E30" s="77"/>
      <c r="F30" s="77"/>
    </row>
    <row r="31" ht="30.0" customHeight="1">
      <c r="B31" s="79" t="s">
        <v>202</v>
      </c>
      <c r="C31" s="80" t="s">
        <v>277</v>
      </c>
      <c r="D31" s="10"/>
      <c r="E31" s="10"/>
      <c r="F31" s="13"/>
    </row>
    <row r="32" ht="30.0" customHeight="1">
      <c r="B32" s="79" t="s">
        <v>209</v>
      </c>
      <c r="C32" s="80" t="s">
        <v>278</v>
      </c>
      <c r="D32" s="10"/>
      <c r="E32" s="10"/>
      <c r="F32" s="13"/>
    </row>
    <row r="33" ht="30.0" customHeight="1">
      <c r="B33" s="79" t="s">
        <v>214</v>
      </c>
      <c r="C33" s="80" t="s">
        <v>279</v>
      </c>
      <c r="D33" s="10"/>
      <c r="E33" s="10"/>
      <c r="F33" s="13"/>
    </row>
    <row r="34" ht="43.5" customHeight="1">
      <c r="B34" s="79" t="s">
        <v>238</v>
      </c>
      <c r="C34" s="80" t="s">
        <v>280</v>
      </c>
      <c r="D34" s="10"/>
      <c r="E34" s="10"/>
      <c r="F34" s="13"/>
    </row>
    <row r="35" ht="30.0" customHeight="1">
      <c r="B35" s="79" t="s">
        <v>262</v>
      </c>
      <c r="C35" s="80" t="s">
        <v>281</v>
      </c>
      <c r="D35" s="10"/>
      <c r="E35" s="10"/>
      <c r="F35" s="13"/>
    </row>
    <row r="36" ht="30.0" customHeight="1">
      <c r="B36" s="79" t="s">
        <v>267</v>
      </c>
      <c r="C36" s="80" t="s">
        <v>282</v>
      </c>
      <c r="D36" s="10"/>
      <c r="E36" s="10"/>
      <c r="F36" s="13"/>
    </row>
    <row r="37" ht="30.0" customHeight="1">
      <c r="B37" s="79" t="s">
        <v>271</v>
      </c>
      <c r="C37" s="80" t="s">
        <v>283</v>
      </c>
      <c r="D37" s="10"/>
      <c r="E37" s="10"/>
      <c r="F37" s="13"/>
    </row>
    <row r="38" ht="15.75" customHeight="1"/>
    <row r="39" ht="15.75" customHeight="1">
      <c r="B39" s="76" t="s">
        <v>217</v>
      </c>
      <c r="C39" s="77"/>
      <c r="D39" s="77"/>
      <c r="E39" s="77"/>
      <c r="F39" s="77"/>
    </row>
    <row r="40" ht="30.0" customHeight="1">
      <c r="B40" s="79" t="s">
        <v>202</v>
      </c>
      <c r="C40" s="81" t="s">
        <v>284</v>
      </c>
      <c r="D40" s="10"/>
      <c r="E40" s="10"/>
      <c r="F40" s="13"/>
    </row>
    <row r="41" ht="43.5" customHeight="1">
      <c r="B41" s="79" t="s">
        <v>209</v>
      </c>
      <c r="C41" s="80" t="s">
        <v>285</v>
      </c>
      <c r="D41" s="10"/>
      <c r="E41" s="10"/>
      <c r="F41" s="13"/>
    </row>
    <row r="42" ht="30.0" customHeight="1">
      <c r="B42" s="79" t="s">
        <v>214</v>
      </c>
      <c r="C42" s="80" t="s">
        <v>286</v>
      </c>
      <c r="D42" s="10"/>
      <c r="E42" s="10"/>
      <c r="F42" s="13"/>
    </row>
    <row r="43" ht="30.0" customHeight="1">
      <c r="B43" s="79" t="s">
        <v>238</v>
      </c>
      <c r="C43" s="80" t="s">
        <v>287</v>
      </c>
      <c r="D43" s="10"/>
      <c r="E43" s="10"/>
      <c r="F43" s="13"/>
    </row>
    <row r="44" ht="15.75" customHeight="1"/>
    <row r="45" ht="15.75" customHeight="1">
      <c r="B45" s="76" t="s">
        <v>288</v>
      </c>
      <c r="C45" s="77"/>
      <c r="D45" s="77"/>
      <c r="E45" s="77"/>
      <c r="F45" s="77"/>
    </row>
    <row r="46" ht="30.0" customHeight="1">
      <c r="B46" s="79" t="s">
        <v>202</v>
      </c>
      <c r="C46" s="80" t="s">
        <v>289</v>
      </c>
      <c r="D46" s="10"/>
      <c r="E46" s="10"/>
      <c r="F46" s="13"/>
    </row>
    <row r="47" ht="30.0" customHeight="1">
      <c r="B47" s="79" t="s">
        <v>209</v>
      </c>
      <c r="C47" s="80" t="s">
        <v>290</v>
      </c>
      <c r="D47" s="10"/>
      <c r="E47" s="10"/>
      <c r="F47" s="13"/>
    </row>
    <row r="48" ht="30.0" customHeight="1">
      <c r="B48" s="79" t="s">
        <v>214</v>
      </c>
      <c r="C48" s="81" t="s">
        <v>291</v>
      </c>
      <c r="D48" s="10"/>
      <c r="E48" s="10"/>
      <c r="F48" s="1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5">
    <mergeCell ref="C4:F4"/>
    <mergeCell ref="C5:F5"/>
    <mergeCell ref="C6:F6"/>
    <mergeCell ref="C9:F9"/>
    <mergeCell ref="C10:F10"/>
    <mergeCell ref="C11:F11"/>
    <mergeCell ref="E14:F14"/>
    <mergeCell ref="E15:F15"/>
    <mergeCell ref="E16:F16"/>
    <mergeCell ref="E17:F17"/>
    <mergeCell ref="E18:F18"/>
    <mergeCell ref="C31:F31"/>
    <mergeCell ref="C32:F32"/>
    <mergeCell ref="C33:F33"/>
    <mergeCell ref="C43:F43"/>
    <mergeCell ref="C46:F46"/>
    <mergeCell ref="C47:F47"/>
    <mergeCell ref="C48:F48"/>
    <mergeCell ref="C34:F34"/>
    <mergeCell ref="C35:F35"/>
    <mergeCell ref="C36:F36"/>
    <mergeCell ref="C37:F37"/>
    <mergeCell ref="C40:F40"/>
    <mergeCell ref="C41:F41"/>
    <mergeCell ref="C42:F42"/>
  </mergeCells>
  <printOptions/>
  <pageMargins bottom="1.0" footer="0.0" header="0.0" left="0.75" right="0.75" top="1.0"/>
  <pageSetup orientation="landscape"/>
  <drawing r:id="rId1"/>
</worksheet>
</file>