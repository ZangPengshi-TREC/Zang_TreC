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  <sheet xmlns:r="http://schemas.openxmlformats.org/officeDocument/2006/relationships" name="作業タスク別見積" sheetId="2" state="visible" r:id="rId2"/>
    <sheet xmlns:r="http://schemas.openxmlformats.org/officeDocument/2006/relationships" name="機能別見積" sheetId="3" state="visible" r:id="rId3"/>
    <sheet xmlns:r="http://schemas.openxmlformats.org/officeDocument/2006/relationships" name="工程計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MS PMincho"/>
      <sz val="10"/>
    </font>
    <font>
      <name val="MS PMincho"/>
      <b val="1"/>
      <sz val="18"/>
    </font>
    <font>
      <name val="MS PMincho"/>
      <sz val="12"/>
    </font>
    <font>
      <name val="MS PMincho"/>
      <b val="1"/>
      <color rgb="00FFFFFF"/>
      <sz val="10"/>
    </font>
    <font>
      <name val="MS PMincho"/>
      <sz val="11"/>
    </font>
    <font>
      <name val="MS PMincho"/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8F1F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3" fontId="1" fillId="0" borderId="1" applyAlignment="1" pivotButton="0" quotePrefix="0" xfId="0">
      <alignment horizontal="right" vertical="center"/>
    </xf>
    <xf numFmtId="164" fontId="1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horizontal="right" vertical="center"/>
    </xf>
    <xf numFmtId="3" fontId="1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2" customWidth="1" min="4" max="4"/>
    <col width="12" customWidth="1" min="5" max="5"/>
    <col width="14" customWidth="1" min="6" max="6"/>
    <col width="14" customWidth="1" min="7" max="7"/>
    <col width="4" customWidth="1" min="8" max="8"/>
  </cols>
  <sheetData>
    <row r="1">
      <c r="F1" s="1" t="inlineStr">
        <is>
          <t>見積№：</t>
        </is>
      </c>
      <c r="G1" s="2" t="inlineStr">
        <is>
          <t>（採番待ち）</t>
        </is>
      </c>
    </row>
    <row r="2">
      <c r="F2" s="1" t="inlineStr">
        <is>
          <t>作成日：</t>
        </is>
      </c>
      <c r="G2" s="2" t="inlineStr">
        <is>
          <t>2026/10/07</t>
        </is>
      </c>
    </row>
    <row r="4">
      <c r="A4" s="3" t="inlineStr">
        <is>
          <t>御見積書</t>
        </is>
      </c>
    </row>
    <row r="6">
      <c r="A6" s="4" t="inlineStr">
        <is>
          <t>(株)トライアルテクノロジー　御中　波多野 弘一　様</t>
        </is>
      </c>
      <c r="E6" s="5" t="inlineStr">
        <is>
          <t>TRE-CHINA青島</t>
        </is>
      </c>
    </row>
    <row r="7">
      <c r="E7" s="5" t="inlineStr">
        <is>
          <t>中国・山東省青島市市北区龍城路39号</t>
        </is>
      </c>
    </row>
    <row r="8">
      <c r="E8" s="5" t="inlineStr">
        <is>
          <t>二十二世紀広電産業園10階</t>
        </is>
      </c>
    </row>
    <row r="9">
      <c r="E9" s="5" t="inlineStr">
        <is>
          <t>TEL：86-532-85938100</t>
        </is>
      </c>
    </row>
    <row r="10" ht="36" customHeight="1">
      <c r="E10" s="6" t="inlineStr">
        <is>
          <t>李萌</t>
        </is>
      </c>
      <c r="F10" s="6" t="inlineStr">
        <is>
          <t>宮相聡</t>
        </is>
      </c>
      <c r="G10" s="6" t="inlineStr">
        <is>
          <t>臧鵬仕</t>
        </is>
      </c>
    </row>
    <row r="11">
      <c r="A11" s="5" t="inlineStr">
        <is>
          <t>システム名</t>
        </is>
      </c>
      <c r="B11" s="7" t="inlineStr">
        <is>
          <t>（採番待ち）</t>
        </is>
      </c>
    </row>
    <row r="12">
      <c r="A12" s="5" t="inlineStr">
        <is>
          <t>プロジェクト名</t>
        </is>
      </c>
      <c r="B12" s="7" t="inlineStr">
        <is>
          <t>（採番待ち）</t>
        </is>
      </c>
    </row>
    <row r="13">
      <c r="A13" s="5" t="inlineStr">
        <is>
          <t>発注枝番</t>
        </is>
      </c>
      <c r="B13" s="7" t="inlineStr">
        <is>
          <t>（採番待ち）</t>
        </is>
      </c>
    </row>
    <row r="14">
      <c r="A14" s="5" t="inlineStr">
        <is>
          <t>発注内容</t>
        </is>
      </c>
      <c r="B14" s="7" t="inlineStr">
        <is>
          <t>生鮮IF増分（自動補充 生鮮IF）</t>
        </is>
      </c>
    </row>
    <row r="15">
      <c r="A15" s="5" t="inlineStr">
        <is>
          <t>PJ形態</t>
        </is>
      </c>
      <c r="B15" s="7" t="inlineStr">
        <is>
          <t>プロジェクト</t>
        </is>
      </c>
    </row>
    <row r="16">
      <c r="A16" s="5" t="inlineStr">
        <is>
          <t>見積金額</t>
        </is>
      </c>
      <c r="B16" s="8">
        <f>TEXT(F37,"#,##0")&amp;" 円（税抜き）"</f>
        <v/>
      </c>
      <c r="C16" s="9" t="n"/>
    </row>
    <row r="17">
      <c r="A17" s="5" t="inlineStr">
        <is>
          <t>支払条件</t>
        </is>
      </c>
      <c r="B17" s="7" t="inlineStr">
        <is>
          <t>検収月20日〆翌月払い</t>
        </is>
      </c>
    </row>
    <row r="18">
      <c r="A18" s="5" t="inlineStr">
        <is>
          <t>見積有効期限</t>
        </is>
      </c>
      <c r="B18" s="7" t="inlineStr">
        <is>
          <t>1ヶ月間</t>
        </is>
      </c>
    </row>
    <row r="21">
      <c r="A21" s="10" t="inlineStr">
        <is>
          <t>No.</t>
        </is>
      </c>
      <c r="B21" s="10" t="inlineStr">
        <is>
          <t>タスク</t>
        </is>
      </c>
      <c r="C21" s="10" t="inlineStr">
        <is>
          <t>単価</t>
        </is>
      </c>
      <c r="D21" s="10" t="inlineStr">
        <is>
          <t>工数(人日)</t>
        </is>
      </c>
      <c r="E21" s="9" t="n"/>
      <c r="F21" s="10" t="inlineStr">
        <is>
          <t>金額(円)</t>
        </is>
      </c>
      <c r="G21" s="9" t="n"/>
    </row>
    <row r="22">
      <c r="A22" s="8" t="n">
        <v>1</v>
      </c>
      <c r="B22" s="7" t="inlineStr">
        <is>
          <t>調査・Mapping</t>
        </is>
      </c>
      <c r="C22" s="11" t="n">
        <v>40000</v>
      </c>
      <c r="D22" s="12" t="n">
        <v>39.5</v>
      </c>
      <c r="F22" s="11">
        <f>IF(D22="","",ROUND(C22*D22,0))</f>
        <v/>
      </c>
    </row>
    <row r="23">
      <c r="A23" s="8" t="n">
        <v>2</v>
      </c>
      <c r="B23" s="7" t="inlineStr">
        <is>
          <t>詳細設計・開発・単体テスト</t>
        </is>
      </c>
      <c r="C23" s="11" t="n">
        <v>27500</v>
      </c>
      <c r="D23" s="12" t="n">
        <v>104</v>
      </c>
      <c r="F23" s="11">
        <f>IF(D23="","",ROUND(C23*D23,0))</f>
        <v/>
      </c>
    </row>
    <row r="24">
      <c r="A24" s="8" t="n">
        <v>3</v>
      </c>
      <c r="B24" s="7" t="inlineStr">
        <is>
          <t>プロジェクト管理</t>
        </is>
      </c>
      <c r="C24" s="11" t="n">
        <v>40000</v>
      </c>
      <c r="D24" s="12" t="n">
        <v>14</v>
      </c>
      <c r="F24" s="11">
        <f>IF(D24="","",ROUND(C24*D24,0))</f>
        <v/>
      </c>
    </row>
    <row r="25">
      <c r="A25" s="8" t="n">
        <v>4</v>
      </c>
      <c r="B25" s="7" t="inlineStr">
        <is>
          <t>基本設計</t>
        </is>
      </c>
      <c r="C25" s="11" t="n"/>
      <c r="D25" s="12" t="n"/>
      <c r="F25" s="11" t="n"/>
    </row>
    <row r="26">
      <c r="A26" s="8" t="n">
        <v>5</v>
      </c>
      <c r="B26" s="7" t="inlineStr">
        <is>
          <t>概要設計</t>
        </is>
      </c>
      <c r="C26" s="11" t="n"/>
      <c r="D26" s="12" t="n"/>
      <c r="F26" s="11" t="n"/>
    </row>
    <row r="27">
      <c r="A27" s="8" t="n">
        <v>6</v>
      </c>
      <c r="B27" s="7" t="inlineStr">
        <is>
          <t>結合テスト仕様書</t>
        </is>
      </c>
      <c r="C27" s="11" t="n"/>
      <c r="D27" s="12" t="n"/>
      <c r="F27" s="11" t="n"/>
    </row>
    <row r="28">
      <c r="A28" s="8" t="n">
        <v>7</v>
      </c>
      <c r="B28" s="7" t="inlineStr">
        <is>
          <t>結合テスト</t>
        </is>
      </c>
      <c r="C28" s="11" t="n"/>
      <c r="D28" s="12" t="n"/>
      <c r="F28" s="11" t="n"/>
    </row>
    <row r="29">
      <c r="A29" s="8" t="n">
        <v>8</v>
      </c>
      <c r="B29" s="7" t="inlineStr">
        <is>
          <t>総合テスト仕様書</t>
        </is>
      </c>
      <c r="C29" s="11" t="n"/>
      <c r="D29" s="12" t="n"/>
      <c r="F29" s="11" t="n"/>
    </row>
    <row r="30">
      <c r="A30" s="8" t="n">
        <v>9</v>
      </c>
      <c r="B30" s="7" t="inlineStr">
        <is>
          <t>総合テスト</t>
        </is>
      </c>
      <c r="C30" s="11" t="n"/>
      <c r="D30" s="12" t="n"/>
      <c r="F30" s="11" t="n"/>
    </row>
    <row r="31">
      <c r="A31" s="8" t="n">
        <v>10</v>
      </c>
      <c r="B31" s="7" t="inlineStr">
        <is>
          <t>操作マニュアル</t>
        </is>
      </c>
      <c r="C31" s="11" t="n"/>
      <c r="D31" s="12" t="n"/>
      <c r="F31" s="11" t="n"/>
    </row>
    <row r="32">
      <c r="A32" s="8" t="n">
        <v>11</v>
      </c>
      <c r="B32" s="7" t="inlineStr">
        <is>
          <t>移行準備</t>
        </is>
      </c>
      <c r="C32" s="11" t="n"/>
      <c r="D32" s="12" t="n"/>
      <c r="F32" s="11" t="n"/>
    </row>
    <row r="33">
      <c r="A33" s="8" t="n">
        <v>12</v>
      </c>
      <c r="B33" s="7" t="inlineStr">
        <is>
          <t>移行作業</t>
        </is>
      </c>
      <c r="C33" s="11" t="n"/>
      <c r="D33" s="12" t="n"/>
      <c r="F33" s="11" t="n"/>
    </row>
    <row r="34">
      <c r="A34" s="8" t="n">
        <v>13</v>
      </c>
      <c r="B34" s="7" t="inlineStr">
        <is>
          <t>本番稼働立会い</t>
        </is>
      </c>
      <c r="C34" s="11" t="n"/>
      <c r="D34" s="12" t="n"/>
      <c r="F34" s="11" t="n"/>
    </row>
    <row r="35">
      <c r="B35" s="13" t="inlineStr">
        <is>
          <t>小計</t>
        </is>
      </c>
      <c r="D35" s="12">
        <f>SUM(D22:D34)</f>
        <v/>
      </c>
      <c r="F35" s="11">
        <f>SUM(F22:F34)</f>
        <v/>
      </c>
    </row>
    <row r="36">
      <c r="B36" s="13" t="inlineStr">
        <is>
          <t>契約形態　開発　　消費税　0%</t>
        </is>
      </c>
      <c r="F36" s="11" t="n">
        <v>0</v>
      </c>
    </row>
    <row r="37">
      <c r="B37" s="13" t="inlineStr">
        <is>
          <t>見積合計</t>
        </is>
      </c>
      <c r="F37" s="11">
        <f>F35+F36</f>
        <v/>
      </c>
    </row>
    <row r="39">
      <c r="A39" s="10" t="inlineStr">
        <is>
          <t>納品回数</t>
        </is>
      </c>
      <c r="B39" s="10" t="inlineStr">
        <is>
          <t>納品条件</t>
        </is>
      </c>
      <c r="C39" s="9" t="n"/>
      <c r="D39" s="10" t="inlineStr">
        <is>
          <t>納品月</t>
        </is>
      </c>
      <c r="E39" s="10" t="inlineStr">
        <is>
          <t>検収月</t>
        </is>
      </c>
      <c r="F39" s="10" t="inlineStr">
        <is>
          <t>金額(税抜)</t>
        </is>
      </c>
      <c r="G39" s="9" t="n"/>
    </row>
    <row r="40">
      <c r="A40" s="14" t="inlineStr">
        <is>
          <t>1回目</t>
        </is>
      </c>
      <c r="B40" s="7" t="inlineStr">
        <is>
          <t>生鮮IF増分 調査・Mapping完了</t>
        </is>
      </c>
      <c r="D40" s="14" t="inlineStr">
        <is>
          <t>202610</t>
        </is>
      </c>
      <c r="E40" s="14" t="inlineStr">
        <is>
          <t>202611</t>
        </is>
      </c>
      <c r="F40" s="11">
        <f>F22</f>
        <v/>
      </c>
    </row>
    <row r="41">
      <c r="A41" s="14" t="inlineStr">
        <is>
          <t>2回目</t>
        </is>
      </c>
      <c r="B41" s="7" t="inlineStr">
        <is>
          <t>生鮮IF増分 詳細設計・開発・単体テスト完了</t>
        </is>
      </c>
      <c r="D41" s="14" t="inlineStr">
        <is>
          <t>202612</t>
        </is>
      </c>
      <c r="E41" s="14" t="inlineStr">
        <is>
          <t>202701</t>
        </is>
      </c>
      <c r="F41" s="11">
        <f>F23+F24</f>
        <v/>
      </c>
    </row>
    <row r="42">
      <c r="E42" s="1" t="inlineStr">
        <is>
          <t>検収金額合計</t>
        </is>
      </c>
      <c r="F42" s="11">
        <f>SUM(F40:F41)</f>
        <v/>
      </c>
    </row>
    <row r="44" ht="40" customHeight="1">
      <c r="A44" s="10" t="inlineStr">
        <is>
          <t>備考</t>
        </is>
      </c>
      <c r="B44" s="7" t="inlineStr">
        <is>
          <t>・本見積の範囲は調査・Mapping〜詳細設計・開発・単体テストです。結合テスト以降、移行、本番稼働立会い、生鮮基幹／生鮮発注統合本体、@rms／EOS、倉庫系は含みません。</t>
        </is>
      </c>
    </row>
    <row r="45" ht="40" customHeight="1">
      <c r="B45" s="7" t="inlineStr">
        <is>
          <t>・店舗系12本の既存IFは、先方協議での流用方針を前提とします。当社は協議に未同席のため、流用可否の突合を本見積（流用確認・残件）に含みます。</t>
        </is>
      </c>
    </row>
    <row r="46" ht="40" customHeight="1">
      <c r="B46" s="7" t="inlineStr">
        <is>
          <t>・IF番号 S11〜S26 は仮採番です。前提（流用判定・生鮮データ作成時刻・連携先仕様）が変わる場合は、再見積のうえ調整します。</t>
        </is>
      </c>
    </row>
    <row r="47" ht="40" customHeight="1">
      <c r="B47" s="7" t="inlineStr">
        <is>
          <t>・体制4名、2026/10/05着手、完了目安は2026/12/08です（着手遅れ・前提変更は後ろ倒し）。</t>
        </is>
      </c>
    </row>
  </sheetData>
  <mergeCells count="52">
    <mergeCell ref="B16:C16"/>
    <mergeCell ref="F29:G29"/>
    <mergeCell ref="D34:E34"/>
    <mergeCell ref="F25:G25"/>
    <mergeCell ref="F34:G34"/>
    <mergeCell ref="A4:G4"/>
    <mergeCell ref="D22:E22"/>
    <mergeCell ref="B18:C18"/>
    <mergeCell ref="D31:E31"/>
    <mergeCell ref="F40:G40"/>
    <mergeCell ref="B44:G44"/>
    <mergeCell ref="D21:E21"/>
    <mergeCell ref="B12:C12"/>
    <mergeCell ref="F21:G21"/>
    <mergeCell ref="B39:C39"/>
    <mergeCell ref="F24:G24"/>
    <mergeCell ref="F30:G30"/>
    <mergeCell ref="B11:C11"/>
    <mergeCell ref="D27:E27"/>
    <mergeCell ref="F33:G33"/>
    <mergeCell ref="B14:C14"/>
    <mergeCell ref="D32:E32"/>
    <mergeCell ref="F36:G36"/>
    <mergeCell ref="F32:G32"/>
    <mergeCell ref="B17:C17"/>
    <mergeCell ref="F42:G42"/>
    <mergeCell ref="F26:G26"/>
    <mergeCell ref="F41:G41"/>
    <mergeCell ref="F35:G35"/>
    <mergeCell ref="B13:C13"/>
    <mergeCell ref="B45:G45"/>
    <mergeCell ref="F23:G23"/>
    <mergeCell ref="F31:G31"/>
    <mergeCell ref="D28:E28"/>
    <mergeCell ref="F22:G22"/>
    <mergeCell ref="F28:G28"/>
    <mergeCell ref="B40:C40"/>
    <mergeCell ref="F27:G27"/>
    <mergeCell ref="D25:E25"/>
    <mergeCell ref="B47:G47"/>
    <mergeCell ref="F37:G37"/>
    <mergeCell ref="F39:G39"/>
    <mergeCell ref="B15:C15"/>
    <mergeCell ref="D24:E24"/>
    <mergeCell ref="D30:E30"/>
    <mergeCell ref="B46:G46"/>
    <mergeCell ref="D33:E33"/>
    <mergeCell ref="D29:E29"/>
    <mergeCell ref="D23:E23"/>
    <mergeCell ref="B41:C41"/>
    <mergeCell ref="D26:E26"/>
    <mergeCell ref="D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12" customWidth="1" min="4" max="4"/>
    <col width="12" customWidth="1" min="5" max="5"/>
    <col width="16" customWidth="1" min="6" max="6"/>
  </cols>
  <sheetData>
    <row r="1">
      <c r="A1" s="15" t="inlineStr">
        <is>
          <t>◆作業タスク別見積</t>
        </is>
      </c>
    </row>
    <row r="2">
      <c r="A2" s="5" t="inlineStr">
        <is>
          <t>（採番待ち）:生鮮IF増分</t>
        </is>
      </c>
    </row>
    <row r="4">
      <c r="A4" s="10" t="inlineStr">
        <is>
          <t>No.</t>
        </is>
      </c>
      <c r="B4" s="10" t="inlineStr">
        <is>
          <t>タスク</t>
        </is>
      </c>
      <c r="C4" s="10" t="inlineStr">
        <is>
          <t>役割</t>
        </is>
      </c>
      <c r="D4" s="10" t="inlineStr">
        <is>
          <t>単価</t>
        </is>
      </c>
      <c r="E4" s="10" t="inlineStr">
        <is>
          <t>工数</t>
        </is>
      </c>
      <c r="F4" s="10" t="inlineStr">
        <is>
          <t>金額</t>
        </is>
      </c>
    </row>
    <row r="5">
      <c r="A5" s="16" t="n">
        <v>1</v>
      </c>
      <c r="B5" s="17" t="inlineStr">
        <is>
          <t>調査・Mapping</t>
        </is>
      </c>
      <c r="C5" s="7" t="inlineStr">
        <is>
          <t>SE</t>
        </is>
      </c>
      <c r="D5" s="11">
        <f>見積書!C22</f>
        <v/>
      </c>
      <c r="E5" s="12">
        <f>見積書!D22</f>
        <v/>
      </c>
      <c r="F5" s="11">
        <f>見積書!F22</f>
        <v/>
      </c>
    </row>
    <row r="6">
      <c r="A6" s="16" t="n">
        <v>2</v>
      </c>
      <c r="B6" s="17" t="inlineStr">
        <is>
          <t>詳細設計・開発・単体テスト</t>
        </is>
      </c>
      <c r="C6" s="7" t="inlineStr">
        <is>
          <t>SE</t>
        </is>
      </c>
      <c r="D6" s="11">
        <f>見積書!C23</f>
        <v/>
      </c>
      <c r="E6" s="12">
        <f>見積書!D23</f>
        <v/>
      </c>
      <c r="F6" s="11">
        <f>見積書!F23</f>
        <v/>
      </c>
    </row>
    <row r="7">
      <c r="A7" s="16" t="n">
        <v>3</v>
      </c>
      <c r="B7" s="17" t="inlineStr">
        <is>
          <t>プロジェクト管理</t>
        </is>
      </c>
      <c r="C7" s="7" t="inlineStr">
        <is>
          <t>SE</t>
        </is>
      </c>
      <c r="D7" s="11">
        <f>見積書!C24</f>
        <v/>
      </c>
      <c r="E7" s="12">
        <f>見積書!D24</f>
        <v/>
      </c>
      <c r="F7" s="11">
        <f>見積書!F24</f>
        <v/>
      </c>
    </row>
    <row r="8">
      <c r="A8" s="16" t="n">
        <v>4</v>
      </c>
      <c r="B8" s="17" t="inlineStr">
        <is>
          <t>基本設計</t>
        </is>
      </c>
      <c r="C8" s="7" t="n"/>
      <c r="D8" s="11" t="n"/>
      <c r="E8" s="12" t="n"/>
      <c r="F8" s="11" t="n"/>
    </row>
    <row r="9">
      <c r="A9" s="16" t="n">
        <v>5</v>
      </c>
      <c r="B9" s="17" t="inlineStr">
        <is>
          <t>概要設計</t>
        </is>
      </c>
      <c r="C9" s="7" t="n"/>
      <c r="D9" s="11" t="n"/>
      <c r="E9" s="12" t="n"/>
      <c r="F9" s="11" t="n"/>
    </row>
    <row r="10">
      <c r="A10" s="16" t="n">
        <v>6</v>
      </c>
      <c r="B10" s="17" t="inlineStr">
        <is>
          <t>結合テスト仕様書</t>
        </is>
      </c>
      <c r="C10" s="7" t="n"/>
      <c r="D10" s="11" t="n"/>
      <c r="E10" s="12" t="n"/>
      <c r="F10" s="11" t="n"/>
    </row>
    <row r="11">
      <c r="A11" s="16" t="n">
        <v>7</v>
      </c>
      <c r="B11" s="17" t="inlineStr">
        <is>
          <t>結合テスト</t>
        </is>
      </c>
      <c r="C11" s="7" t="n"/>
      <c r="D11" s="11" t="n"/>
      <c r="E11" s="12" t="n"/>
      <c r="F11" s="11" t="n"/>
    </row>
    <row r="12">
      <c r="A12" s="16" t="n">
        <v>8</v>
      </c>
      <c r="B12" s="17" t="inlineStr">
        <is>
          <t>総合テスト仕様書</t>
        </is>
      </c>
      <c r="C12" s="7" t="n"/>
      <c r="D12" s="11" t="n"/>
      <c r="E12" s="12" t="n"/>
      <c r="F12" s="11" t="n"/>
    </row>
    <row r="13">
      <c r="A13" s="16" t="n">
        <v>9</v>
      </c>
      <c r="B13" s="17" t="inlineStr">
        <is>
          <t>総合テスト</t>
        </is>
      </c>
      <c r="C13" s="7" t="n"/>
      <c r="D13" s="11" t="n"/>
      <c r="E13" s="12" t="n"/>
      <c r="F13" s="11" t="n"/>
    </row>
    <row r="14">
      <c r="A14" s="16" t="n">
        <v>10</v>
      </c>
      <c r="B14" s="17" t="inlineStr">
        <is>
          <t>操作マニュアル</t>
        </is>
      </c>
      <c r="C14" s="7" t="n"/>
      <c r="D14" s="11" t="n"/>
      <c r="E14" s="12" t="n"/>
      <c r="F14" s="11" t="n"/>
    </row>
    <row r="15">
      <c r="A15" s="16" t="n">
        <v>11</v>
      </c>
      <c r="B15" s="17" t="inlineStr">
        <is>
          <t>移行準備</t>
        </is>
      </c>
      <c r="C15" s="7" t="n"/>
      <c r="D15" s="11" t="n"/>
      <c r="E15" s="12" t="n"/>
      <c r="F15" s="11" t="n"/>
    </row>
    <row r="16">
      <c r="A16" s="16" t="n">
        <v>12</v>
      </c>
      <c r="B16" s="17" t="inlineStr">
        <is>
          <t>移行作業</t>
        </is>
      </c>
      <c r="C16" s="7" t="n"/>
      <c r="D16" s="11" t="n"/>
      <c r="E16" s="12" t="n"/>
      <c r="F16" s="11" t="n"/>
    </row>
    <row r="17">
      <c r="A17" s="16" t="n">
        <v>13</v>
      </c>
      <c r="B17" s="17" t="inlineStr">
        <is>
          <t>本番稼働立会い</t>
        </is>
      </c>
      <c r="C17" s="7" t="n"/>
      <c r="D17" s="11" t="n"/>
      <c r="E17" s="12" t="n"/>
      <c r="F17" s="11" t="n"/>
    </row>
    <row r="18">
      <c r="B18" s="18" t="inlineStr">
        <is>
          <t>合計</t>
        </is>
      </c>
      <c r="E18" s="19">
        <f>SUM(E5:E17)</f>
        <v/>
      </c>
      <c r="F18" s="20">
        <f>SUM(F5:F17)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36" customWidth="1" min="3" max="3"/>
    <col width="7" customWidth="1" min="4" max="4"/>
    <col width="8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</cols>
  <sheetData>
    <row r="1">
      <c r="A1" s="15" t="inlineStr">
        <is>
          <t>◆機能別見積</t>
        </is>
      </c>
    </row>
    <row r="2">
      <c r="A2" s="5" t="inlineStr">
        <is>
          <t>（採番待ち）:生鮮IF増分</t>
        </is>
      </c>
    </row>
    <row r="4">
      <c r="A4" s="10" t="inlineStr">
        <is>
          <t>NO</t>
        </is>
      </c>
      <c r="B4" s="10" t="inlineStr">
        <is>
          <t>機能</t>
        </is>
      </c>
      <c r="C4" s="10" t="inlineStr">
        <is>
          <t>IF名称（仮採番）</t>
        </is>
      </c>
      <c r="D4" s="10" t="inlineStr">
        <is>
          <t>区分</t>
        </is>
      </c>
      <c r="E4" s="10" t="inlineStr">
        <is>
          <t>新規/既存</t>
        </is>
      </c>
      <c r="F4" s="10" t="inlineStr">
        <is>
          <t>調査・Mapping</t>
        </is>
      </c>
      <c r="G4" s="10" t="inlineStr">
        <is>
          <t>詳細設計</t>
        </is>
      </c>
      <c r="H4" s="10" t="inlineStr">
        <is>
          <t>開発</t>
        </is>
      </c>
      <c r="I4" s="10" t="inlineStr">
        <is>
          <t>単体テスト</t>
        </is>
      </c>
      <c r="J4" s="10" t="inlineStr">
        <is>
          <t>内訳なし</t>
        </is>
      </c>
      <c r="K4" s="10" t="inlineStr">
        <is>
          <t>合計</t>
        </is>
      </c>
    </row>
    <row r="5">
      <c r="A5" s="8" t="n">
        <v>1</v>
      </c>
      <c r="B5" s="17" t="inlineStr">
        <is>
          <t>生鮮発注勧告</t>
        </is>
      </c>
      <c r="C5" s="7" t="inlineStr">
        <is>
          <t>生鮮発注勧告(当日分)（S24）</t>
        </is>
      </c>
      <c r="D5" s="14" t="inlineStr">
        <is>
          <t>IF</t>
        </is>
      </c>
      <c r="E5" s="14" t="inlineStr">
        <is>
          <t>新規</t>
        </is>
      </c>
      <c r="F5" s="12" t="n">
        <v>5</v>
      </c>
      <c r="G5" s="12" t="n">
        <v>7.5</v>
      </c>
      <c r="H5" s="12" t="n">
        <v>7.5</v>
      </c>
      <c r="I5" s="12" t="n">
        <v>6.5</v>
      </c>
      <c r="J5" s="12" t="n">
        <v>0</v>
      </c>
      <c r="K5" s="19">
        <f>SUM(F5:J5)</f>
        <v/>
      </c>
    </row>
    <row r="6">
      <c r="A6" s="8" t="n">
        <v>2</v>
      </c>
      <c r="B6" s="17" t="inlineStr"/>
      <c r="C6" s="7" t="inlineStr">
        <is>
          <t>生鮮発注勧告(翌日以降分)（S25）</t>
        </is>
      </c>
      <c r="D6" s="14" t="inlineStr">
        <is>
          <t>IF</t>
        </is>
      </c>
      <c r="E6" s="14" t="inlineStr">
        <is>
          <t>新規</t>
        </is>
      </c>
      <c r="F6" s="12" t="n">
        <v>2.5</v>
      </c>
      <c r="G6" s="12" t="n">
        <v>3.5</v>
      </c>
      <c r="H6" s="12" t="n">
        <v>4</v>
      </c>
      <c r="I6" s="12" t="n">
        <v>3.5</v>
      </c>
      <c r="J6" s="12" t="n">
        <v>0</v>
      </c>
      <c r="K6" s="19">
        <f>SUM(F6:J6)</f>
        <v/>
      </c>
    </row>
    <row r="7">
      <c r="A7" s="8" t="n">
        <v>3</v>
      </c>
      <c r="B7" s="17" t="inlineStr"/>
      <c r="C7" s="7" t="inlineStr">
        <is>
          <t>生鮮勧告→発注統合変換（S26）</t>
        </is>
      </c>
      <c r="D7" s="14" t="inlineStr">
        <is>
          <t>IF</t>
        </is>
      </c>
      <c r="E7" s="14" t="inlineStr">
        <is>
          <t>新規</t>
        </is>
      </c>
      <c r="F7" s="12" t="n">
        <v>5</v>
      </c>
      <c r="G7" s="12" t="n">
        <v>6</v>
      </c>
      <c r="H7" s="12" t="n">
        <v>6</v>
      </c>
      <c r="I7" s="12" t="n">
        <v>5</v>
      </c>
      <c r="J7" s="12" t="n">
        <v>0</v>
      </c>
      <c r="K7" s="19">
        <f>SUM(F7:J7)</f>
        <v/>
      </c>
    </row>
    <row r="8">
      <c r="A8" s="8" t="n">
        <v>4</v>
      </c>
      <c r="B8" s="17" t="inlineStr">
        <is>
          <t>生鮮入荷・発注</t>
        </is>
      </c>
      <c r="C8" s="7" t="inlineStr">
        <is>
          <t>生鮮入荷実績（S11）</t>
        </is>
      </c>
      <c r="D8" s="14" t="inlineStr">
        <is>
          <t>IF</t>
        </is>
      </c>
      <c r="E8" s="14" t="inlineStr">
        <is>
          <t>差分</t>
        </is>
      </c>
      <c r="F8" s="12" t="n">
        <v>4</v>
      </c>
      <c r="G8" s="12" t="n">
        <v>4.5</v>
      </c>
      <c r="H8" s="12" t="n">
        <v>6</v>
      </c>
      <c r="I8" s="12" t="n">
        <v>4</v>
      </c>
      <c r="J8" s="12" t="n">
        <v>0</v>
      </c>
      <c r="K8" s="19">
        <f>SUM(F8:J8)</f>
        <v/>
      </c>
    </row>
    <row r="9">
      <c r="A9" s="8" t="n">
        <v>5</v>
      </c>
      <c r="B9" s="17" t="inlineStr"/>
      <c r="C9" s="7" t="inlineStr">
        <is>
          <t>生鮮入荷予定（S12）</t>
        </is>
      </c>
      <c r="D9" s="14" t="inlineStr">
        <is>
          <t>IF</t>
        </is>
      </c>
      <c r="E9" s="14" t="inlineStr">
        <is>
          <t>差分</t>
        </is>
      </c>
      <c r="F9" s="12" t="n">
        <v>5</v>
      </c>
      <c r="G9" s="12" t="n">
        <v>5.5</v>
      </c>
      <c r="H9" s="12" t="n">
        <v>7.5</v>
      </c>
      <c r="I9" s="12" t="n">
        <v>4.5</v>
      </c>
      <c r="J9" s="12" t="n">
        <v>0</v>
      </c>
      <c r="K9" s="19">
        <f>SUM(F9:J9)</f>
        <v/>
      </c>
    </row>
    <row r="10">
      <c r="A10" s="8" t="n">
        <v>6</v>
      </c>
      <c r="B10" s="17" t="inlineStr"/>
      <c r="C10" s="7" t="inlineStr">
        <is>
          <t>生鮮発注スケジュール（S13）</t>
        </is>
      </c>
      <c r="D10" s="14" t="inlineStr">
        <is>
          <t>IF</t>
        </is>
      </c>
      <c r="E10" s="14" t="inlineStr">
        <is>
          <t>差分</t>
        </is>
      </c>
      <c r="F10" s="12" t="n">
        <v>5</v>
      </c>
      <c r="G10" s="12" t="n">
        <v>5.5</v>
      </c>
      <c r="H10" s="12" t="n">
        <v>7.5</v>
      </c>
      <c r="I10" s="12" t="n">
        <v>4.5</v>
      </c>
      <c r="J10" s="12" t="n">
        <v>0</v>
      </c>
      <c r="K10" s="19">
        <f>SUM(F10:J10)</f>
        <v/>
      </c>
    </row>
    <row r="11">
      <c r="A11" s="8" t="n">
        <v>7</v>
      </c>
      <c r="B11" s="17" t="inlineStr">
        <is>
          <t>流用確認・残件</t>
        </is>
      </c>
      <c r="C11" s="7" t="inlineStr">
        <is>
          <t>店舗系12本の流用突合</t>
        </is>
      </c>
      <c r="D11" s="14" t="inlineStr">
        <is>
          <t>調査</t>
        </is>
      </c>
      <c r="E11" s="14" t="inlineStr">
        <is>
          <t>流用</t>
        </is>
      </c>
      <c r="F11" s="12" t="n">
        <v>8</v>
      </c>
      <c r="G11" s="12" t="n">
        <v>0</v>
      </c>
      <c r="H11" s="12" t="n">
        <v>0</v>
      </c>
      <c r="I11" s="12" t="n">
        <v>0</v>
      </c>
      <c r="J11" s="12" t="n">
        <v>0</v>
      </c>
      <c r="K11" s="19">
        <f>SUM(F11:J11)</f>
        <v/>
      </c>
    </row>
    <row r="12">
      <c r="A12" s="8" t="n">
        <v>8</v>
      </c>
      <c r="B12" s="17" t="inlineStr"/>
      <c r="C12" s="7" t="inlineStr">
        <is>
          <t>倉庫系対象外の整理</t>
        </is>
      </c>
      <c r="D12" s="14" t="inlineStr">
        <is>
          <t>調査</t>
        </is>
      </c>
      <c r="E12" s="14" t="inlineStr">
        <is>
          <t>流用</t>
        </is>
      </c>
      <c r="F12" s="12" t="n">
        <v>2</v>
      </c>
      <c r="G12" s="12" t="n">
        <v>0</v>
      </c>
      <c r="H12" s="12" t="n">
        <v>0</v>
      </c>
      <c r="I12" s="12" t="n">
        <v>0</v>
      </c>
      <c r="J12" s="12" t="n">
        <v>0</v>
      </c>
      <c r="K12" s="19">
        <f>SUM(F12:J12)</f>
        <v/>
      </c>
    </row>
    <row r="13">
      <c r="A13" s="8" t="n">
        <v>9</v>
      </c>
      <c r="B13" s="17" t="inlineStr"/>
      <c r="C13" s="7" t="inlineStr">
        <is>
          <t>GCSアップロード要否の最終確認</t>
        </is>
      </c>
      <c r="D13" s="14" t="inlineStr">
        <is>
          <t>調査</t>
        </is>
      </c>
      <c r="E13" s="14" t="inlineStr">
        <is>
          <t>流用</t>
        </is>
      </c>
      <c r="F13" s="12" t="n">
        <v>3</v>
      </c>
      <c r="G13" s="12" t="n">
        <v>0</v>
      </c>
      <c r="H13" s="12" t="n">
        <v>0</v>
      </c>
      <c r="I13" s="12" t="n">
        <v>0</v>
      </c>
      <c r="J13" s="12" t="n">
        <v>0</v>
      </c>
      <c r="K13" s="19">
        <f>SUM(F13:J13)</f>
        <v/>
      </c>
    </row>
    <row r="14">
      <c r="A14" s="8" t="n">
        <v>10</v>
      </c>
      <c r="B14" s="17" t="inlineStr">
        <is>
          <t>非生鮮Phase2波及</t>
        </is>
      </c>
      <c r="C14" s="7" t="inlineStr">
        <is>
          <t>伝票区分・振替の注記反映</t>
        </is>
      </c>
      <c r="D14" s="14" t="inlineStr">
        <is>
          <t>改修</t>
        </is>
      </c>
      <c r="E14" s="14" t="inlineStr">
        <is>
          <t>既存</t>
        </is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5</v>
      </c>
      <c r="K14" s="19">
        <f>SUM(F14:J14)</f>
        <v/>
      </c>
    </row>
    <row r="15">
      <c r="C15" s="18" t="inlineStr">
        <is>
          <t>小計</t>
        </is>
      </c>
      <c r="F15" s="19">
        <f>SUM(F5:F14)</f>
        <v/>
      </c>
      <c r="G15" s="19">
        <f>SUM(G5:G14)</f>
        <v/>
      </c>
      <c r="H15" s="19">
        <f>SUM(H5:H14)</f>
        <v/>
      </c>
      <c r="I15" s="19">
        <f>SUM(I5:I14)</f>
        <v/>
      </c>
      <c r="J15" s="19">
        <f>SUM(J5:J14)</f>
        <v/>
      </c>
      <c r="K15" s="19">
        <f>SUM(K5:K14)</f>
        <v/>
      </c>
    </row>
    <row r="16">
      <c r="C16" s="18" t="inlineStr">
        <is>
          <t>PJ管理</t>
        </is>
      </c>
      <c r="K16" s="19">
        <f>見積書!D24</f>
        <v/>
      </c>
    </row>
    <row r="17">
      <c r="C17" s="18" t="inlineStr">
        <is>
          <t>合計</t>
        </is>
      </c>
      <c r="K17" s="19">
        <f>K15+K16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>
      <c r="A1" s="15" t="inlineStr">
        <is>
          <t>◆工程計画</t>
        </is>
      </c>
    </row>
    <row r="2">
      <c r="A2" s="5" t="inlineStr">
        <is>
          <t>（採番待ち）:生鮮IF増分</t>
        </is>
      </c>
    </row>
    <row r="4">
      <c r="A4" s="10" t="inlineStr">
        <is>
          <t>No.</t>
        </is>
      </c>
      <c r="B4" s="10" t="inlineStr">
        <is>
          <t>タスク</t>
        </is>
      </c>
      <c r="C4" s="10" t="inlineStr">
        <is>
          <t>工数</t>
        </is>
      </c>
      <c r="D4" s="10" t="inlineStr">
        <is>
          <t>10月</t>
        </is>
      </c>
      <c r="E4" s="10" t="inlineStr">
        <is>
          <t>11月</t>
        </is>
      </c>
      <c r="F4" s="10" t="inlineStr">
        <is>
          <t>12月</t>
        </is>
      </c>
    </row>
    <row r="5">
      <c r="A5" s="16" t="n">
        <v>1</v>
      </c>
      <c r="B5" s="17" t="inlineStr">
        <is>
          <t>調査・Mapping</t>
        </is>
      </c>
      <c r="C5" s="12">
        <f>見積書!D22</f>
        <v/>
      </c>
      <c r="D5" s="12" t="n">
        <v>39.5</v>
      </c>
      <c r="E5" s="12" t="n"/>
      <c r="F5" s="12" t="n"/>
    </row>
    <row r="6">
      <c r="A6" s="16" t="n">
        <v>2</v>
      </c>
      <c r="B6" s="17" t="inlineStr">
        <is>
          <t>詳細設計・開発・単体テスト</t>
        </is>
      </c>
      <c r="C6" s="12">
        <f>見積書!D23</f>
        <v/>
      </c>
      <c r="D6" s="12" t="n">
        <v>32.5</v>
      </c>
      <c r="E6" s="12" t="n">
        <v>64.5</v>
      </c>
      <c r="F6" s="12" t="n">
        <v>7</v>
      </c>
    </row>
    <row r="7">
      <c r="A7" s="16" t="n">
        <v>3</v>
      </c>
      <c r="B7" s="17" t="inlineStr">
        <is>
          <t>プロジェクト管理</t>
        </is>
      </c>
      <c r="C7" s="12">
        <f>見積書!D24</f>
        <v/>
      </c>
      <c r="D7" s="12" t="n">
        <v>4</v>
      </c>
      <c r="E7" s="12" t="n">
        <v>7</v>
      </c>
      <c r="F7" s="12" t="n">
        <v>3</v>
      </c>
    </row>
    <row r="8">
      <c r="A8" s="16" t="n">
        <v>4</v>
      </c>
      <c r="B8" s="17" t="inlineStr">
        <is>
          <t>基本設計</t>
        </is>
      </c>
      <c r="C8" s="12" t="n"/>
      <c r="D8" s="12" t="n"/>
      <c r="E8" s="12" t="n"/>
      <c r="F8" s="12" t="n"/>
    </row>
    <row r="9">
      <c r="A9" s="16" t="n">
        <v>5</v>
      </c>
      <c r="B9" s="17" t="inlineStr">
        <is>
          <t>概要設計</t>
        </is>
      </c>
      <c r="C9" s="12" t="n"/>
      <c r="D9" s="12" t="n"/>
      <c r="E9" s="12" t="n"/>
      <c r="F9" s="12" t="n"/>
    </row>
    <row r="10">
      <c r="A10" s="16" t="n">
        <v>6</v>
      </c>
      <c r="B10" s="17" t="inlineStr">
        <is>
          <t>結合テスト仕様書</t>
        </is>
      </c>
      <c r="C10" s="12" t="n"/>
      <c r="D10" s="12" t="n"/>
      <c r="E10" s="12" t="n"/>
      <c r="F10" s="12" t="n"/>
    </row>
    <row r="11">
      <c r="A11" s="16" t="n">
        <v>7</v>
      </c>
      <c r="B11" s="17" t="inlineStr">
        <is>
          <t>結合テスト</t>
        </is>
      </c>
      <c r="C11" s="12" t="n"/>
      <c r="D11" s="12" t="n"/>
      <c r="E11" s="12" t="n"/>
      <c r="F11" s="12" t="n"/>
    </row>
    <row r="12">
      <c r="A12" s="16" t="n">
        <v>8</v>
      </c>
      <c r="B12" s="17" t="inlineStr">
        <is>
          <t>総合テスト仕様書</t>
        </is>
      </c>
      <c r="C12" s="12" t="n"/>
      <c r="D12" s="12" t="n"/>
      <c r="E12" s="12" t="n"/>
      <c r="F12" s="12" t="n"/>
    </row>
    <row r="13">
      <c r="A13" s="16" t="n">
        <v>9</v>
      </c>
      <c r="B13" s="17" t="inlineStr">
        <is>
          <t>総合テスト</t>
        </is>
      </c>
      <c r="C13" s="12" t="n"/>
      <c r="D13" s="12" t="n"/>
      <c r="E13" s="12" t="n"/>
      <c r="F13" s="12" t="n"/>
    </row>
    <row r="14">
      <c r="A14" s="16" t="n">
        <v>10</v>
      </c>
      <c r="B14" s="17" t="inlineStr">
        <is>
          <t>操作マニュアル</t>
        </is>
      </c>
      <c r="C14" s="12" t="n"/>
      <c r="D14" s="12" t="n"/>
      <c r="E14" s="12" t="n"/>
      <c r="F14" s="12" t="n"/>
    </row>
    <row r="15">
      <c r="A15" s="16" t="n">
        <v>11</v>
      </c>
      <c r="B15" s="17" t="inlineStr">
        <is>
          <t>移行準備</t>
        </is>
      </c>
      <c r="C15" s="12" t="n"/>
      <c r="D15" s="12" t="n"/>
      <c r="E15" s="12" t="n"/>
      <c r="F15" s="12" t="n"/>
    </row>
    <row r="16">
      <c r="A16" s="16" t="n">
        <v>12</v>
      </c>
      <c r="B16" s="17" t="inlineStr">
        <is>
          <t>移行作業</t>
        </is>
      </c>
      <c r="C16" s="12" t="n"/>
      <c r="D16" s="12" t="n"/>
      <c r="E16" s="12" t="n"/>
      <c r="F16" s="12" t="n"/>
    </row>
    <row r="17">
      <c r="A17" s="16" t="n">
        <v>13</v>
      </c>
      <c r="B17" s="17" t="inlineStr">
        <is>
          <t>本番稼働立会い</t>
        </is>
      </c>
      <c r="C17" s="12" t="n"/>
      <c r="D17" s="12" t="n"/>
      <c r="E17" s="12" t="n"/>
      <c r="F17" s="12" t="n"/>
    </row>
    <row r="18">
      <c r="B18" s="18" t="inlineStr">
        <is>
          <t>合計</t>
        </is>
      </c>
      <c r="C18" s="19">
        <f>SUM(C5:C17)</f>
        <v/>
      </c>
      <c r="D18" s="19">
        <f>SUM(D5:D17)</f>
        <v/>
      </c>
      <c r="E18" s="19">
        <f>SUM(E5:E17)</f>
        <v/>
      </c>
      <c r="F18" s="19">
        <f>SUM(F5:F17)</f>
        <v/>
      </c>
    </row>
    <row r="20">
      <c r="A20" s="5" t="inlineStr">
        <is>
          <t>※ 体制4名、2026/10/05着手、完了目安2026/12/08（概算）。月別は営業日按分の概算。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2026-10-07T09:27:11Z</dcterms:created>
  <dcterms:modified xmlns:dcterms="http://purl.org/dc/terms/" xmlns:xsi="http://www.w3.org/2001/XMLSchema-instance" xsi:type="dcterms:W3CDTF">2026-10-07T09:27:12Z</dcterms:modified>
</cp:coreProperties>
</file>