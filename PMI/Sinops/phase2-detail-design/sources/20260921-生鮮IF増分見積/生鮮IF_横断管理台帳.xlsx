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使い方" sheetId="1" state="hidden" r:id="rId1"/>
    <sheet name="D-1_成果物一覧" sheetId="2" state="hidden" r:id="rId2"/>
    <sheet name="D-2_WBS＆課題進捗" sheetId="3" state="visible" r:id="rId3"/>
    <sheet name="D-3_課題管理" sheetId="4" state="hidden" r:id="rId4"/>
    <sheet name="D-4_前提クリア管理" sheetId="5" state="hidden" r:id="rId5"/>
    <sheet name="D-5_変更管理" sheetId="6" state="hidden" r:id="rId6"/>
    <sheet name="D-6_リスク管理" sheetId="7" state="hidden" r:id="rId7"/>
    <sheet name="_設定" sheetId="8" state="hidden" r:id="rId8"/>
  </sheets>
  <definedNames>
    <definedName name="休日">'_設定'!$B$5:$B$44</definedName>
    <definedName name="_xlnm._FilterDatabase" localSheetId="2">'D-2_WBS＆課題進捗'!$A$7:$CO$62</definedName>
    <definedName name="Z_EFEC443D_9931_4987_83E8_7067AC33753F_.wvu.FilterData" localSheetId="2" hidden="1">'D-2_WBS＆課題進捗'!$A$5:$CH$229</definedName>
    <definedName name="Z_2CEE8427_4FFF_4582_BD6E_0A2E834A78AC_.wvu.FilterData" localSheetId="2" hidden="1">'D-2_WBS＆課題進捗'!$A$7:$CH$229</definedName>
    <definedName name="_xlnm._FilterDatabase" localSheetId="2" hidden="1">'D-2_WBS＆課題進捗'!$A$7:$CO$62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"/>
    <numFmt numFmtId="165" formatCode="ddd"/>
    <numFmt numFmtId="166" formatCode="0.0%"/>
    <numFmt numFmtId="167" formatCode="yyyy/mm/dd"/>
    <numFmt numFmtId="168" formatCode="#,##0.0"/>
    <numFmt numFmtId="169" formatCode="yyyy-mm-dd h:mm:ss"/>
  </numFmts>
  <fonts count="27">
    <font>
      <name val="Calibri"/>
      <color theme="1"/>
      <sz val="11"/>
      <scheme val="minor"/>
    </font>
    <font>
      <name val="Arial"/>
      <b val="1"/>
      <color rgb="FF1F4E79"/>
      <sz val="14"/>
    </font>
    <font>
      <name val="Arial"/>
      <color rgb="FF595959"/>
      <sz val="8"/>
    </font>
    <font>
      <name val="Noto Sans"/>
      <color rgb="FF595959"/>
      <sz val="8"/>
    </font>
    <font>
      <name val="Noto Sans"/>
      <b val="1"/>
      <color rgb="FFFFFFFF"/>
      <sz val="9"/>
    </font>
    <font>
      <name val="Arial"/>
      <color theme="1"/>
      <sz val="11"/>
    </font>
    <font>
      <name val="Arial"/>
      <b val="1"/>
      <color rgb="FFFFFFFF"/>
      <sz val="9"/>
    </font>
    <font>
      <name val="Arial"/>
      <color theme="1"/>
      <sz val="9"/>
    </font>
    <font>
      <name val="Noto Sans"/>
      <color theme="1"/>
      <sz val="9"/>
    </font>
    <font>
      <name val="Arial"/>
      <i val="1"/>
      <color rgb="FF7F7F7F"/>
      <sz val="8"/>
    </font>
    <font>
      <name val="Noto Sans"/>
      <i val="1"/>
      <color rgb="FF7F7F7F"/>
      <sz val="8"/>
    </font>
    <font>
      <name val="Arial"/>
      <color rgb="FFFFFFFF"/>
      <sz val="7"/>
    </font>
    <font/>
    <font>
      <name val="Arial"/>
      <b val="1"/>
      <color theme="1"/>
      <sz val="9"/>
    </font>
    <font>
      <name val="Arial"/>
      <b val="1"/>
      <color rgb="FFC00000"/>
      <sz val="9"/>
    </font>
    <font>
      <name val="Noto Sans"/>
      <b val="1"/>
      <color rgb="FF1F4E79"/>
      <sz val="11"/>
    </font>
    <font>
      <name val="Calibri"/>
      <color theme="1"/>
      <sz val="11"/>
    </font>
    <font>
      <name val="Arial"/>
      <color theme="1"/>
      <sz val="7"/>
    </font>
    <font>
      <name val="Arial"/>
      <b val="1"/>
      <color rgb="FFC00000"/>
      <sz val="7"/>
    </font>
    <font>
      <name val="Arial"/>
      <b val="1"/>
      <color rgb="FF1F4E79"/>
      <sz val="11"/>
    </font>
    <font>
      <name val="Arial"/>
      <color theme="1"/>
      <sz val="8"/>
    </font>
    <font>
      <name val="Noto Sans"/>
      <b val="1"/>
      <color theme="1"/>
      <sz val="9"/>
    </font>
    <font>
      <name val="Noto Sans"/>
      <color rgb="FF000000"/>
      <sz val="9"/>
    </font>
    <font>
      <name val="Arial"/>
      <color rgb="FF000000"/>
      <sz val="9"/>
    </font>
    <font>
      <name val="Arial"/>
      <color rgb="FFFF0000"/>
      <sz val="9"/>
    </font>
    <font>
      <name val="Arial"/>
      <b val="1"/>
      <color rgb="FF000000"/>
      <sz val="9"/>
    </font>
    <font>
      <name val="Arial"/>
      <color rgb="FF000000"/>
      <sz val="8"/>
    </font>
  </fonts>
  <fills count="16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DE7"/>
        <bgColor rgb="FFFFFDE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  <fill>
      <patternFill patternType="solid">
        <fgColor rgb="FFFFE0B2"/>
        <bgColor rgb="FFFFE0B2"/>
      </patternFill>
    </fill>
    <fill>
      <patternFill patternType="solid">
        <fgColor rgb="FFE4DFEC"/>
        <bgColor rgb="FFE4DFEC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12" fillId="0" borderId="4" pivotButton="0" quotePrefix="0" xfId="0"/>
    <xf numFmtId="0" fontId="12" fillId="0" borderId="5" pivotButton="0" quotePrefix="0" xfId="0"/>
    <xf numFmtId="0" fontId="12" fillId="0" borderId="6" pivotButton="0" quotePrefix="0" xfId="0"/>
    <xf numFmtId="164" fontId="11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7" pivotButton="0" quotePrefix="0" xfId="0"/>
    <xf numFmtId="0" fontId="14" fillId="0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0" fontId="15" fillId="7" borderId="1" applyAlignment="1" pivotButton="0" quotePrefix="0" xfId="0">
      <alignment vertical="bottom"/>
    </xf>
    <xf numFmtId="0" fontId="16" fillId="7" borderId="1" applyAlignment="1" pivotButton="0" quotePrefix="0" xfId="0">
      <alignment vertical="bottom"/>
    </xf>
    <xf numFmtId="165" fontId="17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bottom"/>
    </xf>
    <xf numFmtId="165" fontId="18" fillId="10" borderId="1" applyAlignment="1" pivotButton="0" quotePrefix="0" xfId="0">
      <alignment horizontal="center" vertical="center"/>
    </xf>
    <xf numFmtId="166" fontId="13" fillId="9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bottom"/>
    </xf>
    <xf numFmtId="0" fontId="13" fillId="7" borderId="1" applyAlignment="1" pivotButton="0" quotePrefix="0" xfId="0">
      <alignment vertical="bottom"/>
    </xf>
    <xf numFmtId="0" fontId="19" fillId="7" borderId="1" applyAlignment="1" pivotButton="0" quotePrefix="0" xfId="0">
      <alignment vertical="bottom"/>
    </xf>
    <xf numFmtId="0" fontId="5" fillId="7" borderId="1" applyAlignment="1" pivotButton="0" quotePrefix="0" xfId="0">
      <alignment vertical="bottom"/>
    </xf>
    <xf numFmtId="167" fontId="5" fillId="7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 wrapText="1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top" wrapText="1"/>
    </xf>
    <xf numFmtId="3" fontId="7" fillId="9" borderId="1" applyAlignment="1" pivotButton="0" quotePrefix="0" xfId="0">
      <alignment vertical="top" wrapText="1"/>
    </xf>
    <xf numFmtId="0" fontId="15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13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3" fontId="13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22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top" wrapText="1"/>
    </xf>
    <xf numFmtId="0" fontId="8" fillId="12" borderId="1" applyAlignment="1" pivotButton="0" quotePrefix="0" xfId="0">
      <alignment horizontal="center" vertical="center"/>
    </xf>
    <xf numFmtId="168" fontId="7" fillId="12" borderId="1" applyAlignment="1" pivotButton="0" quotePrefix="0" xfId="0">
      <alignment horizontal="center" vertical="center"/>
    </xf>
    <xf numFmtId="167" fontId="7" fillId="12" borderId="1" applyAlignment="1" pivotButton="0" quotePrefix="0" xfId="0">
      <alignment horizontal="center" vertical="center"/>
    </xf>
    <xf numFmtId="167" fontId="7" fillId="12" borderId="1" applyAlignment="1" pivotButton="0" quotePrefix="0" xfId="0">
      <alignment horizontal="center" vertical="center"/>
    </xf>
    <xf numFmtId="9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 wrapText="1"/>
    </xf>
    <xf numFmtId="0" fontId="23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vertical="center" wrapText="1"/>
    </xf>
    <xf numFmtId="0" fontId="23" fillId="12" borderId="1" applyAlignment="1" pivotButton="0" quotePrefix="0" xfId="0">
      <alignment vertical="top" wrapText="1"/>
    </xf>
    <xf numFmtId="0" fontId="22" fillId="12" borderId="1" applyAlignment="1" pivotButton="0" quotePrefix="0" xfId="0">
      <alignment horizontal="center" vertical="center"/>
    </xf>
    <xf numFmtId="168" fontId="23" fillId="12" borderId="1" applyAlignment="1" pivotButton="0" quotePrefix="0" xfId="0">
      <alignment horizontal="center" vertical="center"/>
    </xf>
    <xf numFmtId="167" fontId="23" fillId="12" borderId="1" applyAlignment="1" pivotButton="0" quotePrefix="0" xfId="0">
      <alignment horizontal="center" vertical="center"/>
    </xf>
    <xf numFmtId="167" fontId="23" fillId="12" borderId="1" applyAlignment="1" pivotButton="0" quotePrefix="0" xfId="0">
      <alignment horizontal="center" vertical="center"/>
    </xf>
    <xf numFmtId="9" fontId="23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vertical="top" wrapText="1"/>
    </xf>
    <xf numFmtId="0" fontId="7" fillId="0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left" vertical="center" wrapText="1"/>
    </xf>
    <xf numFmtId="0" fontId="22" fillId="15" borderId="11" applyAlignment="1" pivotButton="0" quotePrefix="0" xfId="0">
      <alignment horizontal="center" vertical="center" wrapText="1"/>
    </xf>
    <xf numFmtId="0" fontId="11" fillId="13" borderId="11" applyAlignment="1" pivotButton="0" quotePrefix="0" xfId="0">
      <alignment horizontal="center" vertical="center"/>
    </xf>
    <xf numFmtId="0" fontId="11" fillId="13" borderId="11" pivotButton="0" quotePrefix="0" xfId="0"/>
    <xf numFmtId="0" fontId="0" fillId="0" borderId="6" pivotButton="0" quotePrefix="0" xfId="0"/>
    <xf numFmtId="164" fontId="11" fillId="13" borderId="11" applyAlignment="1" pivotButton="0" quotePrefix="0" xfId="0">
      <alignment horizontal="center" vertical="center"/>
    </xf>
    <xf numFmtId="0" fontId="0" fillId="0" borderId="7" pivotButton="0" quotePrefix="0" xfId="0"/>
    <xf numFmtId="165" fontId="11" fillId="13" borderId="11" applyAlignment="1" pivotButton="0" quotePrefix="0" xfId="0">
      <alignment horizontal="center" vertical="center"/>
    </xf>
    <xf numFmtId="0" fontId="25" fillId="14" borderId="11" applyAlignment="1" pivotButton="0" quotePrefix="0" xfId="0">
      <alignment horizontal="center" vertical="center" wrapText="1"/>
    </xf>
    <xf numFmtId="0" fontId="19" fillId="14" borderId="11" applyAlignment="1" pivotButton="0" quotePrefix="0" xfId="0">
      <alignment horizontal="left" vertical="center" wrapText="1"/>
    </xf>
    <xf numFmtId="0" fontId="5" fillId="14" borderId="11" applyAlignment="1" pivotButton="0" quotePrefix="0" xfId="0">
      <alignment vertical="bottom"/>
    </xf>
    <xf numFmtId="167" fontId="5" fillId="14" borderId="11" applyAlignment="1" pivotButton="0" quotePrefix="0" xfId="0">
      <alignment horizontal="center" vertical="center"/>
    </xf>
    <xf numFmtId="168" fontId="23" fillId="0" borderId="11" applyAlignment="1" pivotButton="0" quotePrefix="0" xfId="0">
      <alignment horizontal="center" vertical="center" wrapText="1"/>
    </xf>
    <xf numFmtId="167" fontId="23" fillId="0" borderId="11" applyAlignment="1" pivotButton="0" quotePrefix="0" xfId="0">
      <alignment horizontal="center" vertical="center" wrapText="1"/>
    </xf>
    <xf numFmtId="9" fontId="23" fillId="0" borderId="11" applyAlignment="1" pivotButton="0" quotePrefix="0" xfId="0">
      <alignment horizontal="center" vertical="center" wrapText="1"/>
    </xf>
    <xf numFmtId="0" fontId="26" fillId="0" borderId="11" applyAlignment="1" pivotButton="0" quotePrefix="0" xfId="0">
      <alignment horizontal="center" vertical="center" wrapText="1"/>
    </xf>
    <xf numFmtId="0" fontId="7" fillId="14" borderId="11" applyAlignment="1" pivotButton="0" quotePrefix="0" xfId="0">
      <alignment horizontal="center" vertical="center"/>
    </xf>
    <xf numFmtId="0" fontId="8" fillId="14" borderId="11" applyAlignment="1" pivotButton="0" quotePrefix="0" xfId="0">
      <alignment vertical="center" wrapText="1"/>
    </xf>
    <xf numFmtId="0" fontId="8" fillId="14" borderId="11" applyAlignment="1" pivotButton="0" quotePrefix="0" xfId="0">
      <alignment vertical="top" wrapText="1"/>
    </xf>
    <xf numFmtId="0" fontId="8" fillId="14" borderId="11" applyAlignment="1" pivotButton="0" quotePrefix="0" xfId="0">
      <alignment horizontal="center" vertical="center"/>
    </xf>
    <xf numFmtId="168" fontId="7" fillId="14" borderId="11" applyAlignment="1" pivotButton="0" quotePrefix="0" xfId="0">
      <alignment horizontal="center" vertical="center"/>
    </xf>
    <xf numFmtId="167" fontId="7" fillId="14" borderId="11" applyAlignment="1" pivotButton="0" quotePrefix="0" xfId="0">
      <alignment horizontal="center" vertical="center"/>
    </xf>
    <xf numFmtId="9" fontId="7" fillId="14" borderId="11" applyAlignment="1" pivotButton="0" quotePrefix="0" xfId="0">
      <alignment horizontal="center" vertical="center"/>
    </xf>
    <xf numFmtId="0" fontId="7" fillId="14" borderId="11" applyAlignment="1" pivotButton="0" quotePrefix="0" xfId="0">
      <alignment vertical="top" wrapText="1"/>
    </xf>
    <xf numFmtId="0" fontId="20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7" fillId="14" borderId="11" applyAlignment="1" pivotButton="0" quotePrefix="0" xfId="0">
      <alignment vertical="center" wrapText="1"/>
    </xf>
    <xf numFmtId="0" fontId="7" fillId="14" borderId="11" applyAlignment="1" pivotButton="0" quotePrefix="0" xfId="0">
      <alignment horizontal="center"/>
    </xf>
    <xf numFmtId="0" fontId="8" fillId="14" borderId="1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/>
    </xf>
    <xf numFmtId="0" fontId="13" fillId="0" borderId="1" applyAlignment="1" pivotButton="0" quotePrefix="0" xfId="0">
      <alignment vertical="bottom"/>
    </xf>
    <xf numFmtId="0" fontId="19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167" fontId="5" fillId="0" borderId="1" applyAlignment="1" pivotButton="0" quotePrefix="0" xfId="0">
      <alignment horizontal="center" vertical="center"/>
    </xf>
    <xf numFmtId="0" fontId="22" fillId="0" borderId="11" applyAlignment="1" pivotButton="0" quotePrefix="0" xfId="0">
      <alignment horizontal="left"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22" fillId="5" borderId="1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bottom"/>
    </xf>
  </cellXfs>
  <cellStyles count="1">
    <cellStyle name="Normal" xfId="0" builtinId="0"/>
  </cellStyles>
  <dxfs count="2">
    <dxf>
      <font>
        <name val="Arial"/>
        <b val="1"/>
        <color rgb="FF000000"/>
        <sz val="7"/>
      </font>
      <fill>
        <patternFill patternType="solid">
          <fgColor rgb="FFFFC000"/>
          <bgColor rgb="FFFFC000"/>
        </patternFill>
      </fill>
      <border/>
    </dxf>
    <dxf>
      <font>
        <name val="Arial"/>
        <b val="1"/>
        <color rgb="FF000000"/>
        <sz val="7"/>
      </font>
      <fill>
        <patternFill patternType="solid">
          <fgColor rgb="FFFFC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2" customWidth="1" style="98" min="1" max="1"/>
    <col width="20" customWidth="1" style="98" min="2" max="2"/>
    <col width="28" customWidth="1" style="98" min="3" max="3"/>
    <col width="18" customWidth="1" style="98" min="4" max="4"/>
    <col width="60" customWidth="1" style="98" min="5" max="5"/>
    <col width="8.710000000000001" customWidth="1" style="98" min="6" max="6"/>
  </cols>
  <sheetData>
    <row r="1">
      <c r="B1" s="1" t="inlineStr">
        <is>
          <t>Phase2 横断管理台帳</t>
        </is>
      </c>
    </row>
    <row r="2">
      <c r="B2" s="3" t="inlineStr">
        <is>
          <t>生鮮IF増分（標準案）　／　成果物No. D-1〜D-6　／　着手 2026/10/12・完了目標 2026/12/25・週次更新</t>
        </is>
      </c>
    </row>
    <row r="5" ht="30" customHeight="1" s="98">
      <c r="B5" s="4" t="inlineStr">
        <is>
          <t>シート</t>
        </is>
      </c>
      <c r="C5" s="4" t="inlineStr">
        <is>
          <t>成果物名</t>
        </is>
      </c>
      <c r="D5" s="4" t="inlineStr">
        <is>
          <t>更新頻度</t>
        </is>
      </c>
      <c r="E5" s="4" t="inlineStr">
        <is>
          <t>用途</t>
        </is>
      </c>
    </row>
    <row r="6" ht="30" customHeight="1" s="98">
      <c r="B6" s="66" t="inlineStr">
        <is>
          <t>D-1_成果物一覧</t>
        </is>
      </c>
      <c r="C6" s="8" t="inlineStr">
        <is>
          <t>成果物一覧・構成管理台帳</t>
        </is>
      </c>
      <c r="D6" s="8" t="inlineStr">
        <is>
          <t>随時</t>
        </is>
      </c>
      <c r="E6" s="8" t="inlineStr">
        <is>
          <t>どのIFがどの成果物をどこまで作成したかを一元管理。進捗報告の一次ソース</t>
        </is>
      </c>
    </row>
    <row r="7" ht="30" customHeight="1" s="98">
      <c r="B7" s="66" t="inlineStr">
        <is>
          <t>D-2_WBS進捗</t>
        </is>
      </c>
      <c r="C7" s="66" t="inlineStr">
        <is>
          <t>WBS・進捗管理表</t>
        </is>
      </c>
      <c r="D7" s="8" t="inlineStr">
        <is>
          <t>週次</t>
        </is>
      </c>
      <c r="E7" s="8" t="inlineStr">
        <is>
          <t>タスク単位の計画。開発・単体の担当は未定</t>
        </is>
      </c>
    </row>
    <row r="8" ht="30" customHeight="1" s="98">
      <c r="B8" s="66" t="inlineStr">
        <is>
          <t>D-3_課題管理</t>
        </is>
      </c>
      <c r="C8" s="8" t="inlineStr">
        <is>
          <t>課題管理表（Phase2版）</t>
        </is>
      </c>
      <c r="D8" s="8" t="inlineStr">
        <is>
          <t>随時</t>
        </is>
      </c>
      <c r="E8" s="66" t="inlineStr">
        <is>
          <t>生鮮IF増分の未確定事項を管理する。Sinops・BOの課題行は引き継がない</t>
        </is>
      </c>
    </row>
    <row r="9" ht="30" customHeight="1" s="98">
      <c r="B9" s="66" t="inlineStr">
        <is>
          <t>D-4_前提クリア管理</t>
        </is>
      </c>
      <c r="C9" s="8" t="inlineStr">
        <is>
          <t>前提クリア（ゲート）管理表</t>
        </is>
      </c>
      <c r="D9" s="8" t="inlineStr">
        <is>
          <t>週次</t>
        </is>
      </c>
      <c r="E9" s="66" t="inlineStr">
        <is>
          <t>標準案に残る前提。期限が無いものは空欄</t>
        </is>
      </c>
    </row>
    <row r="10" ht="30" customHeight="1" s="98">
      <c r="B10" s="66" t="inlineStr">
        <is>
          <t>D-5_変更管理</t>
        </is>
      </c>
      <c r="C10" s="8" t="inlineStr">
        <is>
          <t>変更管理表</t>
        </is>
      </c>
      <c r="D10" s="8" t="inlineStr">
        <is>
          <t>随時</t>
        </is>
      </c>
      <c r="E10" s="8" t="inlineStr">
        <is>
          <t>仕様変更の影響工数・金額を記録。追加見積の根拠</t>
        </is>
      </c>
    </row>
    <row r="11" ht="30" customHeight="1" s="98">
      <c r="B11" s="66" t="inlineStr">
        <is>
          <t>D-6_リスク管理</t>
        </is>
      </c>
      <c r="C11" s="8" t="inlineStr">
        <is>
          <t>リスク管理表</t>
        </is>
      </c>
      <c r="D11" s="8" t="inlineStr">
        <is>
          <t>週次</t>
        </is>
      </c>
      <c r="E11" s="8" t="inlineStr">
        <is>
          <t>リスクの評価と対応方針を管理</t>
        </is>
      </c>
    </row>
    <row r="13">
      <c r="B13" s="3" t="inlineStr">
        <is>
          <t>■ 運用ルール</t>
        </is>
      </c>
    </row>
    <row r="14">
      <c r="B14" s="3" t="inlineStr">
        <is>
          <t>・週次進捗報告（D-7）は、D-1・D-2・D-4 の内容をもとに作成します。報告のために別途集計する作業をなくすことが目的です。</t>
        </is>
      </c>
    </row>
    <row r="15">
      <c r="B15" s="3" t="inlineStr">
        <is>
          <t>・D-3 課題管理表とA-1の「09_確認事項・前提」は相互に番号で紐づけてください。設計中に発生した未確定事項が管理表から漏れることを防ぎます。</t>
        </is>
      </c>
    </row>
    <row r="16">
      <c r="B16" s="3" t="inlineStr">
        <is>
          <t>・D-4 前提クリア管理は、お客様へのご依頼事項そのものです。毎週の状況更新を欠かさないでください。</t>
        </is>
      </c>
    </row>
    <row r="17">
      <c r="B17" s="3" t="inlineStr">
        <is>
          <t>・D-5 変更管理に記録のない仕様変更は、追加見積の対象とできません。発生時点で必ず起票してください。</t>
        </is>
      </c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37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2" customWidth="1" style="98" min="1" max="1"/>
    <col width="12" customWidth="1" style="98" min="2" max="2"/>
    <col width="26" customWidth="1" style="98" min="3" max="3"/>
    <col width="10" customWidth="1" style="98" min="4" max="5"/>
    <col width="12" customWidth="1" style="98" min="6" max="14"/>
  </cols>
  <sheetData>
    <row r="1">
      <c r="B1" s="1" t="inlineStr">
        <is>
          <t>D-1. 成果物一覧・構成管理台帳</t>
        </is>
      </c>
    </row>
    <row r="2">
      <c r="B2" s="99" t="inlineStr">
        <is>
          <t>標準案の新規／差分 6本。IF IDは台帳未採番（未定）。店舗系12本は流用確認（B1）であり、本一覧の開発対象に含めない。倉庫系は対象外。開発・単体の担当は未定。担当列は詳細設計までの指名</t>
        </is>
      </c>
    </row>
    <row r="5" ht="39.75" customHeight="1" s="98">
      <c r="B5" s="6" t="inlineStr">
        <is>
          <t>IF No.</t>
        </is>
      </c>
      <c r="C5" s="6" t="inlineStr">
        <is>
          <t>IF名称</t>
        </is>
      </c>
      <c r="D5" s="4" t="inlineStr">
        <is>
          <t>課題</t>
        </is>
      </c>
      <c r="E5" s="4" t="inlineStr">
        <is>
          <t>着手可否</t>
        </is>
      </c>
      <c r="F5" s="4" t="inlineStr">
        <is>
          <t>担当</t>
        </is>
      </c>
      <c r="G5" s="6" t="inlineStr">
        <is>
          <t>A-1 詳細設計書</t>
        </is>
      </c>
      <c r="H5" s="4" t="inlineStr">
        <is>
          <t>版数</t>
        </is>
      </c>
      <c r="I5" s="6" t="inlineStr">
        <is>
          <t>A-10 レビュー</t>
        </is>
      </c>
      <c r="J5" s="4" t="inlineStr">
        <is>
          <t>詳細設計 完了</t>
        </is>
      </c>
      <c r="K5" s="6" t="inlineStr">
        <is>
          <t>B 開発</t>
        </is>
      </c>
      <c r="L5" s="6" t="inlineStr">
        <is>
          <t>C 単体テスト</t>
        </is>
      </c>
      <c r="M5" s="4" t="inlineStr">
        <is>
          <t>格納先</t>
        </is>
      </c>
      <c r="N5" s="4" t="inlineStr">
        <is>
          <t>備考</t>
        </is>
      </c>
      <c r="O5" s="4" t="inlineStr">
        <is>
          <t>区分</t>
        </is>
      </c>
    </row>
    <row r="6" ht="32" customHeight="1" s="98">
      <c r="B6" s="100" t="inlineStr">
        <is>
          <t>未定</t>
        </is>
      </c>
      <c r="C6" s="101" t="inlineStr">
        <is>
          <t>生鮮発注勧告（当日分）</t>
        </is>
      </c>
      <c r="D6" s="100" t="inlineStr">
        <is>
          <t>生鮮</t>
        </is>
      </c>
      <c r="E6" s="102" t="inlineStr">
        <is>
          <t>可</t>
        </is>
      </c>
      <c r="F6" s="100" t="inlineStr">
        <is>
          <t>臧鹏仕</t>
        </is>
      </c>
      <c r="G6" s="100" t="inlineStr">
        <is>
          <t>未着手</t>
        </is>
      </c>
      <c r="H6" s="100" t="n"/>
      <c r="I6" s="100" t="inlineStr">
        <is>
          <t>未実施</t>
        </is>
      </c>
      <c r="J6" s="100" t="inlineStr">
        <is>
          <t>未</t>
        </is>
      </c>
      <c r="K6" s="100" t="inlineStr">
        <is>
          <t>未着手</t>
        </is>
      </c>
      <c r="L6" s="100" t="inlineStr">
        <is>
          <t>未着手</t>
        </is>
      </c>
      <c r="M6" s="100" t="n"/>
      <c r="N6" s="101" t="inlineStr">
        <is>
          <t>新規。Sinops勧告の当日ファイル。開発・単体の担当は未定。格納先は未定</t>
        </is>
      </c>
      <c r="O6" s="100" t="inlineStr">
        <is>
          <t>新規</t>
        </is>
      </c>
    </row>
    <row r="7" ht="32" customHeight="1" s="98">
      <c r="B7" s="100" t="inlineStr">
        <is>
          <t>未定</t>
        </is>
      </c>
      <c r="C7" s="101" t="inlineStr">
        <is>
          <t>生鮮発注勧告（翌日以降分）</t>
        </is>
      </c>
      <c r="D7" s="100" t="inlineStr">
        <is>
          <t>生鮮</t>
        </is>
      </c>
      <c r="E7" s="102" t="inlineStr">
        <is>
          <t>可</t>
        </is>
      </c>
      <c r="F7" s="100" t="inlineStr">
        <is>
          <t>臧鹏仕</t>
        </is>
      </c>
      <c r="G7" s="100" t="inlineStr">
        <is>
          <t>未着手</t>
        </is>
      </c>
      <c r="H7" s="100" t="n"/>
      <c r="I7" s="100" t="inlineStr">
        <is>
          <t>未実施</t>
        </is>
      </c>
      <c r="J7" s="100" t="inlineStr">
        <is>
          <t>未</t>
        </is>
      </c>
      <c r="K7" s="100" t="inlineStr">
        <is>
          <t>未着手</t>
        </is>
      </c>
      <c r="L7" s="100" t="inlineStr">
        <is>
          <t>未着手</t>
        </is>
      </c>
      <c r="M7" s="100" t="n"/>
      <c r="N7" s="101" t="inlineStr">
        <is>
          <t>当日と類似。工数は1.5本換算の0.5本。開発・単体の担当は未定</t>
        </is>
      </c>
      <c r="O7" s="100" t="inlineStr">
        <is>
          <t>新規</t>
        </is>
      </c>
    </row>
    <row r="8" ht="32" customHeight="1" s="98">
      <c r="B8" s="100" t="inlineStr">
        <is>
          <t>未定</t>
        </is>
      </c>
      <c r="C8" s="101" t="inlineStr">
        <is>
          <t>発注勧告を生鮮統合発注用に変換</t>
        </is>
      </c>
      <c r="D8" s="100" t="inlineStr">
        <is>
          <t>生鮮</t>
        </is>
      </c>
      <c r="E8" s="102" t="inlineStr">
        <is>
          <t>可</t>
        </is>
      </c>
      <c r="F8" s="100" t="inlineStr">
        <is>
          <t>臧鹏仕</t>
        </is>
      </c>
      <c r="G8" s="100" t="inlineStr">
        <is>
          <t>未着手</t>
        </is>
      </c>
      <c r="H8" s="100" t="n"/>
      <c r="I8" s="100" t="inlineStr">
        <is>
          <t>未実施</t>
        </is>
      </c>
      <c r="J8" s="100" t="inlineStr">
        <is>
          <t>未</t>
        </is>
      </c>
      <c r="K8" s="100" t="inlineStr">
        <is>
          <t>未着手</t>
        </is>
      </c>
      <c r="L8" s="100" t="inlineStr">
        <is>
          <t>未着手</t>
        </is>
      </c>
      <c r="M8" s="100" t="n"/>
      <c r="N8" s="101" t="inlineStr">
        <is>
          <t>新規。現行の生鮮から発注統合へのIFは使わない。項目数は未確定。開発・単体の担当は未定</t>
        </is>
      </c>
      <c r="O8" s="100" t="inlineStr">
        <is>
          <t>新規</t>
        </is>
      </c>
    </row>
    <row r="9" ht="32" customHeight="1" s="98">
      <c r="B9" s="100" t="inlineStr">
        <is>
          <t>未定</t>
        </is>
      </c>
      <c r="C9" s="101" t="inlineStr">
        <is>
          <t>生鮮入荷実績</t>
        </is>
      </c>
      <c r="D9" s="100" t="inlineStr">
        <is>
          <t>生鮮</t>
        </is>
      </c>
      <c r="E9" s="102" t="inlineStr">
        <is>
          <t>可</t>
        </is>
      </c>
      <c r="F9" s="100" t="inlineStr">
        <is>
          <t>王静</t>
        </is>
      </c>
      <c r="G9" s="100" t="inlineStr">
        <is>
          <t>未着手</t>
        </is>
      </c>
      <c r="H9" s="100" t="n"/>
      <c r="I9" s="100" t="inlineStr">
        <is>
          <t>未実施</t>
        </is>
      </c>
      <c r="J9" s="100" t="inlineStr">
        <is>
          <t>未</t>
        </is>
      </c>
      <c r="K9" s="100" t="inlineStr">
        <is>
          <t>未着手</t>
        </is>
      </c>
      <c r="L9" s="100" t="inlineStr">
        <is>
          <t>未着手</t>
        </is>
      </c>
      <c r="M9" s="100" t="n"/>
      <c r="N9" s="101" t="inlineStr">
        <is>
          <t>差分。伝票区分とPC/CK振替。ファイル名の対照は nyuka.txt。開発・単体の担当は未定</t>
        </is>
      </c>
      <c r="O9" s="100" t="inlineStr">
        <is>
          <t>差分</t>
        </is>
      </c>
    </row>
    <row r="10" ht="32" customHeight="1" s="98">
      <c r="B10" s="100" t="inlineStr">
        <is>
          <t>未定</t>
        </is>
      </c>
      <c r="C10" s="101" t="inlineStr">
        <is>
          <t>生鮮入荷予定</t>
        </is>
      </c>
      <c r="D10" s="100" t="inlineStr">
        <is>
          <t>生鮮</t>
        </is>
      </c>
      <c r="E10" s="102" t="inlineStr">
        <is>
          <t>可</t>
        </is>
      </c>
      <c r="F10" s="100" t="inlineStr">
        <is>
          <t>尹启林</t>
        </is>
      </c>
      <c r="G10" s="100" t="inlineStr">
        <is>
          <t>未着手</t>
        </is>
      </c>
      <c r="H10" s="100" t="n"/>
      <c r="I10" s="100" t="inlineStr">
        <is>
          <t>未実施</t>
        </is>
      </c>
      <c r="J10" s="100" t="inlineStr">
        <is>
          <t>未</t>
        </is>
      </c>
      <c r="K10" s="100" t="inlineStr">
        <is>
          <t>未着手</t>
        </is>
      </c>
      <c r="L10" s="100" t="inlineStr">
        <is>
          <t>未着手</t>
        </is>
      </c>
      <c r="M10" s="100" t="n"/>
      <c r="N10" s="101" t="inlineStr">
        <is>
          <t>差分。PC/CKは別SQL。ファイル名の対照は nyuka_yotei.txt。開発・単体の担当は未定</t>
        </is>
      </c>
      <c r="O10" s="100" t="inlineStr">
        <is>
          <t>差分</t>
        </is>
      </c>
    </row>
    <row r="11" ht="32" customHeight="1" s="98">
      <c r="B11" s="100" t="inlineStr">
        <is>
          <t>未定</t>
        </is>
      </c>
      <c r="C11" s="101" t="inlineStr">
        <is>
          <t>生鮮発注スケジュール</t>
        </is>
      </c>
      <c r="D11" s="100" t="inlineStr">
        <is>
          <t>生鮮</t>
        </is>
      </c>
      <c r="E11" s="102" t="inlineStr">
        <is>
          <t>可</t>
        </is>
      </c>
      <c r="F11" s="100" t="inlineStr">
        <is>
          <t>杨艳</t>
        </is>
      </c>
      <c r="G11" s="100" t="inlineStr">
        <is>
          <t>未着手</t>
        </is>
      </c>
      <c r="H11" s="100" t="n"/>
      <c r="I11" s="100" t="inlineStr">
        <is>
          <t>未実施</t>
        </is>
      </c>
      <c r="J11" s="100" t="inlineStr">
        <is>
          <t>未</t>
        </is>
      </c>
      <c r="K11" s="100" t="inlineStr">
        <is>
          <t>未着手</t>
        </is>
      </c>
      <c r="L11" s="100" t="inlineStr">
        <is>
          <t>未着手</t>
        </is>
      </c>
      <c r="M11" s="100" t="n"/>
      <c r="N11" s="101" t="inlineStr">
        <is>
          <t>差分。PC/CKは別SQL。ファイル名の対照は sii.txt。開発・単体の担当は未定</t>
        </is>
      </c>
      <c r="O11" s="100" t="inlineStr">
        <is>
          <t>差分</t>
        </is>
      </c>
    </row>
    <row r="12" ht="21.75" customHeight="1" s="98">
      <c r="B12" s="59" t="n"/>
      <c r="C12" s="8" t="n"/>
      <c r="D12" s="44" t="n"/>
      <c r="E12" s="44" t="n"/>
      <c r="F12" s="59" t="n"/>
      <c r="G12" s="44" t="n"/>
      <c r="H12" s="59" t="n"/>
      <c r="I12" s="44" t="n"/>
      <c r="J12" s="59" t="n"/>
      <c r="K12" s="44" t="n"/>
      <c r="L12" s="44" t="n"/>
      <c r="M12" s="59" t="n"/>
      <c r="N12" s="66" t="n"/>
      <c r="O12" s="44" t="n"/>
    </row>
    <row r="13" ht="21.75" customHeight="1" s="98">
      <c r="B13" s="59" t="n"/>
      <c r="C13" s="8" t="n"/>
      <c r="D13" s="44" t="n"/>
      <c r="E13" s="44" t="n"/>
      <c r="F13" s="59" t="n"/>
      <c r="G13" s="44" t="n"/>
      <c r="H13" s="59" t="n"/>
      <c r="I13" s="44" t="n"/>
      <c r="J13" s="59" t="n"/>
      <c r="K13" s="44" t="n"/>
      <c r="L13" s="44" t="n"/>
      <c r="M13" s="59" t="n"/>
      <c r="N13" s="66" t="n"/>
      <c r="O13" s="44" t="n"/>
    </row>
    <row r="14" ht="21.75" customHeight="1" s="98">
      <c r="B14" s="59" t="n"/>
      <c r="C14" s="8" t="n"/>
      <c r="D14" s="44" t="n"/>
      <c r="E14" s="44" t="n"/>
      <c r="F14" s="59" t="n"/>
      <c r="G14" s="44" t="n"/>
      <c r="H14" s="59" t="n"/>
      <c r="I14" s="44" t="n"/>
      <c r="J14" s="59" t="n"/>
      <c r="K14" s="44" t="n"/>
      <c r="L14" s="44" t="n"/>
      <c r="M14" s="59" t="n"/>
      <c r="N14" s="66" t="n"/>
      <c r="O14" s="44" t="n"/>
    </row>
    <row r="15" ht="21.75" customHeight="1" s="98">
      <c r="B15" s="59" t="n"/>
      <c r="C15" s="8" t="n"/>
      <c r="D15" s="44" t="n"/>
      <c r="E15" s="44" t="n"/>
      <c r="F15" s="59" t="n"/>
      <c r="G15" s="44" t="n"/>
      <c r="H15" s="59" t="n"/>
      <c r="I15" s="44" t="n"/>
      <c r="J15" s="59" t="n"/>
      <c r="K15" s="44" t="n"/>
      <c r="L15" s="44" t="n"/>
      <c r="M15" s="59" t="n"/>
      <c r="N15" s="66" t="n"/>
      <c r="O15" s="44" t="n"/>
    </row>
    <row r="16" ht="21.75" customHeight="1" s="98">
      <c r="B16" s="59" t="n"/>
      <c r="C16" s="8" t="n"/>
      <c r="D16" s="44" t="n"/>
      <c r="E16" s="44" t="n"/>
      <c r="F16" s="59" t="n"/>
      <c r="G16" s="44" t="n"/>
      <c r="H16" s="59" t="n"/>
      <c r="I16" s="44" t="n"/>
      <c r="J16" s="59" t="n"/>
      <c r="K16" s="44" t="n"/>
      <c r="L16" s="44" t="n"/>
      <c r="M16" s="59" t="n"/>
      <c r="N16" s="66" t="n"/>
      <c r="O16" s="59" t="n"/>
    </row>
    <row r="17" ht="21.75" customHeight="1" s="98">
      <c r="B17" s="59" t="n"/>
      <c r="C17" s="8" t="n"/>
      <c r="D17" s="44" t="n"/>
      <c r="E17" s="44" t="n"/>
      <c r="F17" s="59" t="n"/>
      <c r="G17" s="44" t="n"/>
      <c r="H17" s="59" t="n"/>
      <c r="I17" s="44" t="n"/>
      <c r="J17" s="59" t="n"/>
      <c r="K17" s="44" t="n"/>
      <c r="L17" s="44" t="n"/>
      <c r="M17" s="59" t="n"/>
      <c r="N17" s="66" t="n"/>
      <c r="O17" s="59" t="n"/>
    </row>
    <row r="18" ht="21.75" customHeight="1" s="98">
      <c r="B18" s="59" t="n"/>
      <c r="C18" s="8" t="n"/>
      <c r="D18" s="44" t="n"/>
      <c r="E18" s="44" t="n"/>
      <c r="F18" s="59" t="n"/>
      <c r="G18" s="44" t="n"/>
      <c r="H18" s="59" t="n"/>
      <c r="I18" s="44" t="n"/>
      <c r="J18" s="59" t="n"/>
      <c r="K18" s="44" t="n"/>
      <c r="L18" s="44" t="n"/>
      <c r="M18" s="59" t="n"/>
      <c r="N18" s="66" t="n"/>
      <c r="O18" s="59" t="n"/>
    </row>
    <row r="19" ht="21.75" customHeight="1" s="98">
      <c r="B19" s="59" t="n"/>
      <c r="C19" s="8" t="n"/>
      <c r="D19" s="44" t="n"/>
      <c r="E19" s="44" t="n"/>
      <c r="F19" s="59" t="n"/>
      <c r="G19" s="44" t="n"/>
      <c r="H19" s="59" t="n"/>
      <c r="I19" s="44" t="n"/>
      <c r="J19" s="59" t="n"/>
      <c r="K19" s="44" t="n"/>
      <c r="L19" s="44" t="n"/>
      <c r="M19" s="59" t="n"/>
      <c r="N19" s="66" t="n"/>
      <c r="O19" s="59" t="n"/>
    </row>
    <row r="20" ht="21.75" customHeight="1" s="98">
      <c r="B20" s="59" t="n"/>
      <c r="C20" s="8" t="n"/>
      <c r="D20" s="44" t="n"/>
      <c r="E20" s="44" t="n"/>
      <c r="F20" s="59" t="n"/>
      <c r="G20" s="44" t="n"/>
      <c r="H20" s="59" t="n"/>
      <c r="I20" s="44" t="n"/>
      <c r="J20" s="59" t="n"/>
      <c r="K20" s="44" t="n"/>
      <c r="L20" s="44" t="n"/>
      <c r="M20" s="59" t="n"/>
      <c r="N20" s="66" t="n"/>
      <c r="O20" s="59" t="n"/>
    </row>
    <row r="21" ht="21.75" customHeight="1" s="98">
      <c r="B21" s="59" t="n"/>
      <c r="C21" s="8" t="n"/>
      <c r="D21" s="44" t="n"/>
      <c r="E21" s="44" t="n"/>
      <c r="F21" s="59" t="n"/>
      <c r="G21" s="44" t="n"/>
      <c r="H21" s="59" t="n"/>
      <c r="I21" s="44" t="n"/>
      <c r="J21" s="59" t="n"/>
      <c r="K21" s="44" t="n"/>
      <c r="L21" s="44" t="n"/>
      <c r="M21" s="59" t="n"/>
      <c r="N21" s="66" t="n"/>
      <c r="O21" s="59" t="n"/>
    </row>
    <row r="22" ht="21.75" customHeight="1" s="98">
      <c r="B22" s="59" t="n"/>
      <c r="C22" s="8" t="n"/>
      <c r="D22" s="44" t="n"/>
      <c r="E22" s="44" t="n"/>
      <c r="F22" s="59" t="n"/>
      <c r="G22" s="44" t="n"/>
      <c r="H22" s="59" t="n"/>
      <c r="I22" s="44" t="n"/>
      <c r="J22" s="59" t="n"/>
      <c r="K22" s="44" t="n"/>
      <c r="L22" s="44" t="n"/>
      <c r="M22" s="59" t="n"/>
      <c r="N22" s="66" t="n"/>
      <c r="O22" s="59" t="n"/>
    </row>
    <row r="23" ht="21.75" customHeight="1" s="98">
      <c r="B23" s="59" t="n"/>
      <c r="C23" s="8" t="n"/>
      <c r="D23" s="44" t="n"/>
      <c r="E23" s="44" t="n"/>
      <c r="F23" s="59" t="n"/>
      <c r="G23" s="44" t="n"/>
      <c r="H23" s="59" t="n"/>
      <c r="I23" s="44" t="n"/>
      <c r="J23" s="59" t="n"/>
      <c r="K23" s="44" t="n"/>
      <c r="L23" s="44" t="n"/>
      <c r="M23" s="59" t="n"/>
      <c r="N23" s="66" t="n"/>
      <c r="O23" s="44" t="n"/>
    </row>
    <row r="24" ht="21.75" customHeight="1" s="98">
      <c r="B24" s="59" t="n"/>
      <c r="C24" s="8" t="n"/>
      <c r="D24" s="44" t="n"/>
      <c r="E24" s="44" t="n"/>
      <c r="F24" s="59" t="n"/>
      <c r="G24" s="44" t="n"/>
      <c r="H24" s="59" t="n"/>
      <c r="I24" s="44" t="n"/>
      <c r="J24" s="59" t="n"/>
      <c r="K24" s="44" t="n"/>
      <c r="L24" s="44" t="n"/>
      <c r="M24" s="59" t="n"/>
      <c r="N24" s="66" t="n"/>
      <c r="O24" s="44" t="n"/>
    </row>
    <row r="25" ht="21.75" customHeight="1" s="98">
      <c r="B25" s="59" t="n"/>
      <c r="C25" s="8" t="n"/>
      <c r="D25" s="44" t="n"/>
      <c r="E25" s="44" t="n"/>
      <c r="F25" s="59" t="n"/>
      <c r="G25" s="44" t="n"/>
      <c r="H25" s="59" t="n"/>
      <c r="I25" s="44" t="n"/>
      <c r="J25" s="59" t="n"/>
      <c r="K25" s="44" t="n"/>
      <c r="L25" s="44" t="n"/>
      <c r="M25" s="59" t="n"/>
      <c r="N25" s="66" t="n"/>
      <c r="O25" s="59" t="n"/>
    </row>
    <row r="26" ht="21.75" customHeight="1" s="98">
      <c r="B26" s="59" t="n"/>
      <c r="C26" s="8" t="n"/>
      <c r="D26" s="44" t="n"/>
      <c r="E26" s="44" t="n"/>
      <c r="F26" s="59" t="n"/>
      <c r="G26" s="44" t="n"/>
      <c r="H26" s="59" t="n"/>
      <c r="I26" s="44" t="n"/>
      <c r="J26" s="59" t="n"/>
      <c r="K26" s="44" t="n"/>
      <c r="L26" s="44" t="n"/>
      <c r="M26" s="59" t="n"/>
      <c r="N26" s="66" t="n"/>
      <c r="O26" s="44" t="n"/>
    </row>
    <row r="27" ht="21.75" customHeight="1" s="98">
      <c r="B27" s="59" t="n"/>
      <c r="C27" s="8" t="n"/>
      <c r="D27" s="44" t="n"/>
      <c r="E27" s="44" t="n"/>
      <c r="F27" s="59" t="n"/>
      <c r="G27" s="44" t="n"/>
      <c r="H27" s="59" t="n"/>
      <c r="I27" s="44" t="n"/>
      <c r="J27" s="59" t="n"/>
      <c r="K27" s="44" t="n"/>
      <c r="L27" s="44" t="n"/>
      <c r="M27" s="59" t="n"/>
      <c r="N27" s="66" t="n"/>
      <c r="O27" s="44" t="n"/>
    </row>
    <row r="28" ht="21.75" customHeight="1" s="98">
      <c r="B28" s="59" t="n"/>
      <c r="C28" s="8" t="n"/>
      <c r="D28" s="44" t="n"/>
      <c r="E28" s="44" t="n"/>
      <c r="F28" s="59" t="n"/>
      <c r="G28" s="44" t="n"/>
      <c r="H28" s="59" t="n"/>
      <c r="I28" s="44" t="n"/>
      <c r="J28" s="59" t="n"/>
      <c r="K28" s="44" t="n"/>
      <c r="L28" s="44" t="n"/>
      <c r="M28" s="59" t="n"/>
      <c r="N28" s="66" t="n"/>
      <c r="O28" s="44" t="n"/>
    </row>
    <row r="29" ht="21.75" customHeight="1" s="98">
      <c r="B29" s="59" t="n"/>
      <c r="C29" s="8" t="n"/>
      <c r="D29" s="44" t="n"/>
      <c r="E29" s="44" t="n"/>
      <c r="F29" s="59" t="n"/>
      <c r="G29" s="44" t="n"/>
      <c r="H29" s="59" t="n"/>
      <c r="I29" s="44" t="n"/>
      <c r="J29" s="59" t="n"/>
      <c r="K29" s="44" t="n"/>
      <c r="L29" s="44" t="n"/>
      <c r="M29" s="59" t="n"/>
      <c r="N29" s="66" t="n"/>
      <c r="O29" s="44" t="n"/>
    </row>
    <row r="30" ht="21.75" customHeight="1" s="98">
      <c r="B30" s="59" t="n"/>
      <c r="C30" s="8" t="n"/>
      <c r="D30" s="44" t="n"/>
      <c r="E30" s="44" t="n"/>
      <c r="F30" s="59" t="n"/>
      <c r="G30" s="44" t="n"/>
      <c r="H30" s="59" t="n"/>
      <c r="I30" s="44" t="n"/>
      <c r="J30" s="59" t="n"/>
      <c r="K30" s="44" t="n"/>
      <c r="L30" s="44" t="n"/>
      <c r="M30" s="59" t="n"/>
      <c r="N30" s="66" t="n"/>
      <c r="O30" s="44" t="n"/>
    </row>
    <row r="31" ht="21.75" customHeight="1" s="98">
      <c r="B31" s="59" t="n"/>
      <c r="C31" s="8" t="n"/>
      <c r="D31" s="44" t="n"/>
      <c r="E31" s="44" t="n"/>
      <c r="F31" s="59" t="n"/>
      <c r="G31" s="44" t="n"/>
      <c r="H31" s="59" t="n"/>
      <c r="I31" s="44" t="n"/>
      <c r="J31" s="59" t="n"/>
      <c r="K31" s="44" t="n"/>
      <c r="L31" s="44" t="n"/>
      <c r="M31" s="59" t="n"/>
      <c r="N31" s="66" t="n"/>
      <c r="O31" s="44" t="n"/>
    </row>
    <row r="32" ht="21.75" customHeight="1" s="98">
      <c r="B32" s="59" t="n"/>
      <c r="C32" s="8" t="n"/>
      <c r="D32" s="59" t="n"/>
      <c r="E32" s="44" t="n"/>
      <c r="F32" s="59" t="n"/>
      <c r="G32" s="44" t="n"/>
      <c r="H32" s="59" t="n"/>
      <c r="I32" s="44" t="n"/>
      <c r="J32" s="59" t="n"/>
      <c r="K32" s="44" t="n"/>
      <c r="L32" s="44" t="n"/>
      <c r="M32" s="59" t="n"/>
      <c r="N32" s="66" t="n"/>
    </row>
    <row r="33" ht="21.75" customHeight="1" s="98">
      <c r="B33" s="59" t="n"/>
      <c r="C33" s="8" t="n"/>
      <c r="D33" s="59" t="n"/>
      <c r="E33" s="44" t="n"/>
      <c r="F33" s="59" t="n"/>
      <c r="G33" s="44" t="n"/>
      <c r="H33" s="59" t="n"/>
      <c r="I33" s="44" t="n"/>
      <c r="J33" s="59" t="n"/>
      <c r="K33" s="44" t="n"/>
      <c r="L33" s="44" t="n"/>
      <c r="M33" s="59" t="n"/>
      <c r="N33" s="66" t="n"/>
    </row>
    <row r="34" ht="15.75" customHeight="1" s="98"/>
    <row r="35" ht="21.75" customHeight="1" s="98">
      <c r="B35" s="28" t="inlineStr">
        <is>
          <t>■ 進捗集計（自動計算）</t>
        </is>
      </c>
      <c r="C35" s="29" t="n"/>
      <c r="D35" s="29" t="n"/>
      <c r="E35" s="29" t="n"/>
      <c r="F35" s="29" t="n"/>
      <c r="G35" s="29" t="n"/>
    </row>
    <row r="36" ht="30" customHeight="1" s="98">
      <c r="B36" s="4" t="inlineStr">
        <is>
          <t>対象IF</t>
        </is>
      </c>
      <c r="C36" s="4" t="inlineStr">
        <is>
          <t>着手可</t>
        </is>
      </c>
      <c r="D36" s="4" t="inlineStr">
        <is>
          <t>詳細設計 完了</t>
        </is>
      </c>
      <c r="E36" s="4" t="inlineStr">
        <is>
          <t>レビュー 完了</t>
        </is>
      </c>
      <c r="F36" s="4" t="inlineStr">
        <is>
          <t>開発 完了</t>
        </is>
      </c>
      <c r="G36" s="4" t="inlineStr">
        <is>
          <t>単体 完了</t>
        </is>
      </c>
    </row>
    <row r="37" ht="15.75" customHeight="1" s="98">
      <c r="B37" s="31">
        <f>COUNTA(B6:B33)</f>
        <v/>
      </c>
      <c r="C37" s="31">
        <f>COUNTIF(E6:E33,"可")</f>
        <v/>
      </c>
      <c r="D37" s="31">
        <f>COUNTIF(J6:J33,"完了")</f>
        <v/>
      </c>
      <c r="E37" s="31">
        <f>COUNTIF(I6:I33,"完了")</f>
        <v/>
      </c>
      <c r="F37" s="31">
        <f>COUNTIF(K6:K33,"完了")</f>
        <v/>
      </c>
      <c r="G37" s="31">
        <f>COUNTIF(L6:L33,"完了")</f>
        <v/>
      </c>
    </row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dataValidations count="4">
    <dataValidation sqref="G6:G33 K6:L33" showDropDown="0" showInputMessage="0" showErrorMessage="0" allowBlank="1" type="list">
      <formula1>"未着手,作成中,レビュー中,完了"</formula1>
    </dataValidation>
    <dataValidation sqref="E6:E33" showDropDown="0" showInputMessage="0" showErrorMessage="0" allowBlank="1" type="list">
      <formula1>"可,不可,検討要,－"</formula1>
    </dataValidation>
    <dataValidation sqref="I6:I33" showDropDown="0" showInputMessage="0" showErrorMessage="0" allowBlank="1" type="list">
      <formula1>"未実施,実施中,指摘対応中,完了"</formula1>
    </dataValidation>
    <dataValidation sqref="J6:J33" showDropDown="0" showInputMessage="0" showErrorMessage="0" allowBlank="1" type="list">
      <formula1>"未,完了"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436"/>
  <sheetViews>
    <sheetView showGridLines="0" workbookViewId="0">
      <pane xSplit="18" ySplit="6" topLeftCell="S7" activePane="bottomRight" state="frozen"/>
      <selection pane="topRight"/>
      <selection pane="bottomLeft"/>
      <selection pane="bottomRight" activeCell="S1" sqref="S1"/>
      <selection pane="bottomLeft" activeCell="A7" sqref="A7"/>
      <selection pane="bottomRight" activeCell="S7" sqref="S7"/>
    </sheetView>
  </sheetViews>
  <sheetFormatPr baseColWidth="8" defaultColWidth="14.43" defaultRowHeight="15" customHeight="1" outlineLevelRow="1"/>
  <cols>
    <col width="2" customWidth="1" style="98" min="1" max="1"/>
    <col width="9" customWidth="1" style="98" min="2" max="2"/>
    <col width="18" customWidth="1" style="98" min="3" max="3"/>
    <col width="16" customWidth="1" style="98" min="4" max="4"/>
    <col width="45.43" customWidth="1" style="98" min="5" max="5"/>
    <col hidden="1" width="22" customWidth="1" style="98" min="6" max="6"/>
    <col width="8" customWidth="1" style="98" min="7" max="7"/>
    <col width="12" customWidth="1" style="98" min="8" max="8"/>
    <col hidden="1" width="10" customWidth="1" style="98" min="9" max="9"/>
    <col hidden="1" width="8" customWidth="1" style="98" min="10" max="10"/>
    <col width="12" customWidth="1" style="98" min="11" max="12"/>
    <col width="12" customWidth="1" style="98" min="12" max="12"/>
    <col width="12" customWidth="1" style="98" min="13" max="14"/>
    <col width="12" customWidth="1" style="98" min="14" max="14"/>
    <col width="14.29" customWidth="1" style="98" min="15" max="15"/>
    <col width="9.859999999999999" customWidth="1" style="98" min="16" max="16"/>
    <col width="12" customWidth="1" style="98" min="17" max="17"/>
    <col width="42" customWidth="1" style="98" min="18" max="18"/>
    <col width="2.86" customWidth="1" style="98" min="19" max="86"/>
    <col width="2.86" customWidth="1" style="98" min="20" max="20"/>
    <col width="2.86" customWidth="1" style="98" min="21" max="21"/>
    <col width="2.86" customWidth="1" style="98" min="22" max="22"/>
    <col width="2.86" customWidth="1" style="98" min="23" max="23"/>
    <col width="2.86" customWidth="1" style="98" min="24" max="24"/>
    <col width="2.86" customWidth="1" style="98" min="25" max="25"/>
    <col width="2.86" customWidth="1" style="98" min="26" max="26"/>
    <col width="2.86" customWidth="1" style="98" min="27" max="27"/>
    <col width="2.86" customWidth="1" style="98" min="28" max="28"/>
    <col width="2.86" customWidth="1" style="98" min="29" max="29"/>
    <col width="2.86" customWidth="1" style="98" min="30" max="30"/>
    <col width="2.86" customWidth="1" style="98" min="31" max="31"/>
    <col width="2.86" customWidth="1" style="98" min="32" max="32"/>
    <col width="2.86" customWidth="1" style="98" min="33" max="33"/>
    <col width="2.86" customWidth="1" style="98" min="34" max="34"/>
    <col width="2.86" customWidth="1" style="98" min="35" max="35"/>
    <col width="2.86" customWidth="1" style="98" min="36" max="36"/>
    <col width="2.86" customWidth="1" style="98" min="37" max="37"/>
    <col width="2.86" customWidth="1" style="98" min="38" max="38"/>
    <col width="2.86" customWidth="1" style="98" min="39" max="39"/>
    <col width="2.86" customWidth="1" style="98" min="40" max="40"/>
    <col width="2.86" customWidth="1" style="98" min="41" max="41"/>
    <col width="2.86" customWidth="1" style="98" min="42" max="42"/>
    <col width="2.86" customWidth="1" style="98" min="43" max="43"/>
    <col width="2.86" customWidth="1" style="98" min="44" max="44"/>
    <col width="2.86" customWidth="1" style="98" min="45" max="45"/>
    <col width="2.86" customWidth="1" style="98" min="46" max="46"/>
    <col width="2.86" customWidth="1" style="98" min="47" max="47"/>
    <col width="2.86" customWidth="1" style="98" min="48" max="48"/>
    <col width="2.86" customWidth="1" style="98" min="49" max="49"/>
    <col width="2.86" customWidth="1" style="98" min="50" max="50"/>
    <col width="2.86" customWidth="1" style="98" min="51" max="51"/>
    <col width="2.86" customWidth="1" style="98" min="52" max="52"/>
    <col width="2.86" customWidth="1" style="98" min="53" max="53"/>
    <col width="2.86" customWidth="1" style="98" min="54" max="54"/>
    <col width="2.86" customWidth="1" style="98" min="55" max="55"/>
    <col width="2.86" customWidth="1" style="98" min="56" max="56"/>
    <col width="2.86" customWidth="1" style="98" min="57" max="57"/>
    <col width="2.86" customWidth="1" style="98" min="58" max="58"/>
    <col width="2.86" customWidth="1" style="98" min="59" max="59"/>
    <col width="2.86" customWidth="1" style="98" min="60" max="60"/>
    <col width="2.86" customWidth="1" style="98" min="61" max="61"/>
    <col width="2.86" customWidth="1" style="98" min="62" max="62"/>
    <col width="2.86" customWidth="1" style="98" min="63" max="63"/>
    <col width="2.86" customWidth="1" style="98" min="64" max="64"/>
    <col width="2.86" customWidth="1" style="98" min="65" max="65"/>
    <col width="2.86" customWidth="1" style="98" min="66" max="66"/>
    <col width="2.86" customWidth="1" style="98" min="67" max="67"/>
    <col width="2.86" customWidth="1" style="98" min="68" max="68"/>
    <col width="2.86" customWidth="1" style="98" min="69" max="69"/>
    <col width="2.86" customWidth="1" style="98" min="70" max="70"/>
    <col width="2.86" customWidth="1" style="98" min="71" max="71"/>
    <col width="2.86" customWidth="1" style="98" min="72" max="72"/>
    <col width="2.86" customWidth="1" style="98" min="73" max="73"/>
    <col width="2.86" customWidth="1" style="98" min="74" max="74"/>
    <col width="2.86" customWidth="1" style="98" min="75" max="75"/>
    <col width="2.86" customWidth="1" style="98" min="76" max="76"/>
    <col width="2.86" customWidth="1" style="98" min="77" max="77"/>
    <col width="2.86" customWidth="1" style="98" min="78" max="78"/>
    <col width="2.86" customWidth="1" style="98" min="79" max="79"/>
    <col width="2.86" customWidth="1" style="98" min="80" max="80"/>
    <col width="2.86" customWidth="1" style="98" min="81" max="81"/>
    <col width="2.86" customWidth="1" style="98" min="82" max="82"/>
    <col width="2.86" customWidth="1" style="98" min="83" max="83"/>
    <col width="2.86" customWidth="1" style="98" min="84" max="84"/>
    <col width="2.86" customWidth="1" style="98" min="85" max="85"/>
    <col width="2.86" customWidth="1" style="98" min="86" max="86"/>
    <col width="2.86" customWidth="1" style="98" min="87" max="87"/>
    <col width="2.86" customWidth="1" style="98" min="88" max="88"/>
    <col width="2.86" customWidth="1" style="98" min="89" max="89"/>
    <col width="2.86" customWidth="1" style="98" min="90" max="90"/>
    <col width="2.86" customWidth="1" style="98" min="91" max="91"/>
    <col width="2.86" customWidth="1" style="98" min="92" max="92"/>
    <col width="2.86" customWidth="1" style="98" min="93" max="93"/>
  </cols>
  <sheetData>
    <row r="1">
      <c r="A1" s="5" t="n"/>
      <c r="B1" s="1" t="inlineStr">
        <is>
          <t>1. WBS（作業分解・日程）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</row>
    <row r="2" ht="13.5" customHeight="1" s="98">
      <c r="A2" s="5" t="n"/>
      <c r="B2" s="3" t="inlineStr">
        <is>
          <t>2026/10/12 〜 2026/12/25（封面の着手 10/12、実作業は 10/13。10/12はスポーツの日。出典の実作業窓は52営業日）　／　○＝開始　→＝作業中　▶＝終了　／　開発・単体の担当は未定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</row>
    <row r="3" ht="13.5" customHeight="1" s="98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</row>
    <row r="4" ht="13.5" customHeight="1" s="98">
      <c r="A4" s="5" t="n"/>
      <c r="B4" s="6" t="inlineStr">
        <is>
          <t>WBS No</t>
        </is>
      </c>
      <c r="C4" s="4" t="inlineStr">
        <is>
          <t>段階</t>
        </is>
      </c>
      <c r="D4" s="4" t="inlineStr">
        <is>
          <t>大分類</t>
        </is>
      </c>
      <c r="E4" s="4" t="inlineStr">
        <is>
          <t>小分類（作業）</t>
        </is>
      </c>
      <c r="F4" s="4" t="inlineStr">
        <is>
          <t>対象IF</t>
        </is>
      </c>
      <c r="G4" s="4" t="inlineStr">
        <is>
          <t>区分</t>
        </is>
      </c>
      <c r="H4" s="4" t="inlineStr">
        <is>
          <t>担当者</t>
        </is>
      </c>
      <c r="I4" s="4" t="inlineStr">
        <is>
          <t>計画工数</t>
        </is>
      </c>
      <c r="J4" s="4" t="inlineStr">
        <is>
          <t>難易度</t>
        </is>
      </c>
      <c r="K4" s="4" t="inlineStr">
        <is>
          <t>開始予定</t>
        </is>
      </c>
      <c r="L4" s="4" t="inlineStr">
        <is>
          <t>終了予定</t>
        </is>
      </c>
      <c r="M4" s="4" t="inlineStr">
        <is>
          <t>開始実績</t>
        </is>
      </c>
      <c r="N4" s="4" t="inlineStr">
        <is>
          <t>終了実績</t>
        </is>
      </c>
      <c r="O4" s="4" t="inlineStr">
        <is>
          <t>状態</t>
        </is>
      </c>
      <c r="P4" s="4" t="inlineStr">
        <is>
          <t>進捗率</t>
        </is>
      </c>
      <c r="Q4" s="4" t="inlineStr">
        <is>
          <t>前提ゲート</t>
        </is>
      </c>
      <c r="R4" s="4" t="inlineStr">
        <is>
          <t>備考</t>
        </is>
      </c>
      <c r="S4" s="103" t="inlineStr">
        <is>
          <t>2026年10月</t>
        </is>
      </c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4" t="n"/>
      <c r="AH4" s="104" t="n"/>
      <c r="AI4" s="104" t="n"/>
      <c r="AJ4" s="104" t="n"/>
      <c r="AK4" s="104" t="n"/>
      <c r="AL4" s="104" t="n"/>
      <c r="AM4" s="103" t="inlineStr">
        <is>
          <t>2026年11月</t>
        </is>
      </c>
      <c r="AN4" s="104" t="n"/>
      <c r="AO4" s="104" t="n"/>
      <c r="AP4" s="104" t="n"/>
      <c r="AQ4" s="104" t="n"/>
      <c r="AR4" s="104" t="n"/>
      <c r="AS4" s="104" t="n"/>
      <c r="AT4" s="104" t="n"/>
      <c r="AU4" s="104" t="n"/>
      <c r="AV4" s="104" t="n"/>
      <c r="AW4" s="104" t="n"/>
      <c r="AX4" s="104" t="n"/>
      <c r="AY4" s="104" t="n"/>
      <c r="AZ4" s="104" t="n"/>
      <c r="BA4" s="104" t="n"/>
      <c r="BB4" s="104" t="n"/>
      <c r="BC4" s="104" t="n"/>
      <c r="BD4" s="104" t="n"/>
      <c r="BE4" s="104" t="n"/>
      <c r="BF4" s="104" t="n"/>
      <c r="BG4" s="104" t="n"/>
      <c r="BH4" s="104" t="n"/>
      <c r="BI4" s="104" t="n"/>
      <c r="BJ4" s="104" t="n"/>
      <c r="BK4" s="104" t="n"/>
      <c r="BL4" s="104" t="n"/>
      <c r="BM4" s="104" t="n"/>
      <c r="BN4" s="104" t="n"/>
      <c r="BO4" s="104" t="n"/>
      <c r="BP4" s="104" t="n"/>
      <c r="BQ4" s="103" t="inlineStr">
        <is>
          <t>2026年12月</t>
        </is>
      </c>
      <c r="BR4" s="104" t="n"/>
      <c r="BS4" s="104" t="n"/>
      <c r="BT4" s="104" t="n"/>
      <c r="BU4" s="104" t="n"/>
      <c r="BV4" s="104" t="n"/>
      <c r="BW4" s="104" t="n"/>
      <c r="BX4" s="104" t="n"/>
      <c r="BY4" s="104" t="n"/>
      <c r="BZ4" s="104" t="n"/>
      <c r="CA4" s="104" t="n"/>
      <c r="CB4" s="104" t="n"/>
      <c r="CC4" s="104" t="n"/>
      <c r="CD4" s="104" t="n"/>
      <c r="CE4" s="104" t="n"/>
      <c r="CF4" s="104" t="n"/>
      <c r="CG4" s="104" t="n"/>
      <c r="CH4" s="104" t="n"/>
      <c r="CI4" s="104" t="n"/>
      <c r="CJ4" s="104" t="n"/>
      <c r="CK4" s="104" t="n"/>
      <c r="CL4" s="104" t="n"/>
      <c r="CM4" s="104" t="n"/>
      <c r="CN4" s="104" t="n"/>
      <c r="CO4" s="104" t="n"/>
    </row>
    <row r="5" ht="13.5" customHeight="1" s="98">
      <c r="A5" s="5" t="n"/>
      <c r="B5" s="105" t="n"/>
      <c r="C5" s="105" t="n"/>
      <c r="D5" s="105" t="n"/>
      <c r="E5" s="105" t="n"/>
      <c r="F5" s="105" t="n"/>
      <c r="G5" s="105" t="n"/>
      <c r="H5" s="105" t="n"/>
      <c r="I5" s="105" t="n"/>
      <c r="J5" s="105" t="n"/>
      <c r="K5" s="105" t="n"/>
      <c r="L5" s="105" t="n"/>
      <c r="M5" s="105" t="n"/>
      <c r="N5" s="105" t="n"/>
      <c r="O5" s="105" t="n"/>
      <c r="P5" s="105" t="n"/>
      <c r="Q5" s="105" t="n"/>
      <c r="R5" s="105" t="n"/>
      <c r="S5" s="106" t="n">
        <v>46307</v>
      </c>
      <c r="T5" s="106" t="n">
        <v>46308</v>
      </c>
      <c r="U5" s="106" t="n">
        <v>46309</v>
      </c>
      <c r="V5" s="106" t="n">
        <v>46310</v>
      </c>
      <c r="W5" s="106" t="n">
        <v>46311</v>
      </c>
      <c r="X5" s="106" t="n">
        <v>46312</v>
      </c>
      <c r="Y5" s="106" t="n">
        <v>46313</v>
      </c>
      <c r="Z5" s="106" t="n">
        <v>46314</v>
      </c>
      <c r="AA5" s="106" t="n">
        <v>46315</v>
      </c>
      <c r="AB5" s="106" t="n">
        <v>46316</v>
      </c>
      <c r="AC5" s="106" t="n">
        <v>46317</v>
      </c>
      <c r="AD5" s="106" t="n">
        <v>46318</v>
      </c>
      <c r="AE5" s="106" t="n">
        <v>46319</v>
      </c>
      <c r="AF5" s="106" t="n">
        <v>46320</v>
      </c>
      <c r="AG5" s="106" t="n">
        <v>46321</v>
      </c>
      <c r="AH5" s="106" t="n">
        <v>46322</v>
      </c>
      <c r="AI5" s="106" t="n">
        <v>46323</v>
      </c>
      <c r="AJ5" s="106" t="n">
        <v>46324</v>
      </c>
      <c r="AK5" s="106" t="n">
        <v>46325</v>
      </c>
      <c r="AL5" s="106" t="n">
        <v>46326</v>
      </c>
      <c r="AM5" s="106" t="n">
        <v>46327</v>
      </c>
      <c r="AN5" s="106" t="n">
        <v>46328</v>
      </c>
      <c r="AO5" s="106" t="n">
        <v>46329</v>
      </c>
      <c r="AP5" s="106" t="n">
        <v>46330</v>
      </c>
      <c r="AQ5" s="106" t="n">
        <v>46331</v>
      </c>
      <c r="AR5" s="106" t="n">
        <v>46332</v>
      </c>
      <c r="AS5" s="106" t="n">
        <v>46333</v>
      </c>
      <c r="AT5" s="106" t="n">
        <v>46334</v>
      </c>
      <c r="AU5" s="106" t="n">
        <v>46335</v>
      </c>
      <c r="AV5" s="106" t="n">
        <v>46336</v>
      </c>
      <c r="AW5" s="106" t="n">
        <v>46337</v>
      </c>
      <c r="AX5" s="106" t="n">
        <v>46338</v>
      </c>
      <c r="AY5" s="106" t="n">
        <v>46339</v>
      </c>
      <c r="AZ5" s="106" t="n">
        <v>46340</v>
      </c>
      <c r="BA5" s="106" t="n">
        <v>46341</v>
      </c>
      <c r="BB5" s="106" t="n">
        <v>46342</v>
      </c>
      <c r="BC5" s="106" t="n">
        <v>46343</v>
      </c>
      <c r="BD5" s="106" t="n">
        <v>46344</v>
      </c>
      <c r="BE5" s="106" t="n">
        <v>46345</v>
      </c>
      <c r="BF5" s="106" t="n">
        <v>46346</v>
      </c>
      <c r="BG5" s="106" t="n">
        <v>46347</v>
      </c>
      <c r="BH5" s="106" t="n">
        <v>46348</v>
      </c>
      <c r="BI5" s="106" t="n">
        <v>46349</v>
      </c>
      <c r="BJ5" s="106" t="n">
        <v>46350</v>
      </c>
      <c r="BK5" s="106" t="n">
        <v>46351</v>
      </c>
      <c r="BL5" s="106" t="n">
        <v>46352</v>
      </c>
      <c r="BM5" s="106" t="n">
        <v>46353</v>
      </c>
      <c r="BN5" s="106" t="n">
        <v>46354</v>
      </c>
      <c r="BO5" s="106" t="n">
        <v>46355</v>
      </c>
      <c r="BP5" s="106" t="n">
        <v>46356</v>
      </c>
      <c r="BQ5" s="106" t="n">
        <v>46357</v>
      </c>
      <c r="BR5" s="106" t="n">
        <v>46358</v>
      </c>
      <c r="BS5" s="106" t="n">
        <v>46359</v>
      </c>
      <c r="BT5" s="106" t="n">
        <v>46360</v>
      </c>
      <c r="BU5" s="106" t="n">
        <v>46361</v>
      </c>
      <c r="BV5" s="106" t="n">
        <v>46362</v>
      </c>
      <c r="BW5" s="106" t="n">
        <v>46363</v>
      </c>
      <c r="BX5" s="106" t="n">
        <v>46364</v>
      </c>
      <c r="BY5" s="106" t="n">
        <v>46365</v>
      </c>
      <c r="BZ5" s="106" t="n">
        <v>46366</v>
      </c>
      <c r="CA5" s="106" t="n">
        <v>46367</v>
      </c>
      <c r="CB5" s="106" t="n">
        <v>46368</v>
      </c>
      <c r="CC5" s="106" t="n">
        <v>46369</v>
      </c>
      <c r="CD5" s="106" t="n">
        <v>46370</v>
      </c>
      <c r="CE5" s="106" t="n">
        <v>46371</v>
      </c>
      <c r="CF5" s="106" t="n">
        <v>46372</v>
      </c>
      <c r="CG5" s="106" t="n">
        <v>46373</v>
      </c>
      <c r="CH5" s="106" t="n">
        <v>46374</v>
      </c>
      <c r="CI5" s="106" t="n">
        <v>46375</v>
      </c>
      <c r="CJ5" s="106" t="n">
        <v>46376</v>
      </c>
      <c r="CK5" s="106" t="n">
        <v>46377</v>
      </c>
      <c r="CL5" s="106" t="n">
        <v>46378</v>
      </c>
      <c r="CM5" s="106" t="n">
        <v>46379</v>
      </c>
      <c r="CN5" s="106" t="n">
        <v>46380</v>
      </c>
      <c r="CO5" s="106" t="n">
        <v>46381</v>
      </c>
    </row>
    <row r="6" ht="13.5" customHeight="1" s="98">
      <c r="A6" s="5" t="n"/>
      <c r="B6" s="107" t="n"/>
      <c r="C6" s="107" t="n"/>
      <c r="D6" s="107" t="n"/>
      <c r="E6" s="107" t="n"/>
      <c r="F6" s="107" t="n"/>
      <c r="G6" s="107" t="n"/>
      <c r="H6" s="107" t="n"/>
      <c r="I6" s="107" t="n"/>
      <c r="J6" s="107" t="n"/>
      <c r="K6" s="107" t="n"/>
      <c r="L6" s="107" t="n"/>
      <c r="M6" s="107" t="n"/>
      <c r="N6" s="107" t="n"/>
      <c r="O6" s="107" t="n"/>
      <c r="P6" s="107" t="n"/>
      <c r="Q6" s="107" t="n"/>
      <c r="R6" s="107" t="n"/>
      <c r="S6" s="108">
        <f>S$5</f>
        <v/>
      </c>
      <c r="T6" s="108">
        <f>T$5</f>
        <v/>
      </c>
      <c r="U6" s="108">
        <f>U$5</f>
        <v/>
      </c>
      <c r="V6" s="108">
        <f>V$5</f>
        <v/>
      </c>
      <c r="W6" s="108">
        <f>W$5</f>
        <v/>
      </c>
      <c r="X6" s="108">
        <f>X$5</f>
        <v/>
      </c>
      <c r="Y6" s="108">
        <f>Y$5</f>
        <v/>
      </c>
      <c r="Z6" s="108">
        <f>Z$5</f>
        <v/>
      </c>
      <c r="AA6" s="108">
        <f>AA$5</f>
        <v/>
      </c>
      <c r="AB6" s="108">
        <f>AB$5</f>
        <v/>
      </c>
      <c r="AC6" s="108">
        <f>AC$5</f>
        <v/>
      </c>
      <c r="AD6" s="108">
        <f>AD$5</f>
        <v/>
      </c>
      <c r="AE6" s="108">
        <f>AE$5</f>
        <v/>
      </c>
      <c r="AF6" s="108">
        <f>AF$5</f>
        <v/>
      </c>
      <c r="AG6" s="108">
        <f>AG$5</f>
        <v/>
      </c>
      <c r="AH6" s="108">
        <f>AH$5</f>
        <v/>
      </c>
      <c r="AI6" s="108">
        <f>AI$5</f>
        <v/>
      </c>
      <c r="AJ6" s="108">
        <f>AJ$5</f>
        <v/>
      </c>
      <c r="AK6" s="108">
        <f>AK$5</f>
        <v/>
      </c>
      <c r="AL6" s="108">
        <f>AL$5</f>
        <v/>
      </c>
      <c r="AM6" s="108">
        <f>AM$5</f>
        <v/>
      </c>
      <c r="AN6" s="108">
        <f>AN$5</f>
        <v/>
      </c>
      <c r="AO6" s="108">
        <f>AO$5</f>
        <v/>
      </c>
      <c r="AP6" s="108">
        <f>AP$5</f>
        <v/>
      </c>
      <c r="AQ6" s="108">
        <f>AQ$5</f>
        <v/>
      </c>
      <c r="AR6" s="108">
        <f>AR$5</f>
        <v/>
      </c>
      <c r="AS6" s="108">
        <f>AS$5</f>
        <v/>
      </c>
      <c r="AT6" s="108">
        <f>AT$5</f>
        <v/>
      </c>
      <c r="AU6" s="108">
        <f>AU$5</f>
        <v/>
      </c>
      <c r="AV6" s="108">
        <f>AV$5</f>
        <v/>
      </c>
      <c r="AW6" s="108">
        <f>AW$5</f>
        <v/>
      </c>
      <c r="AX6" s="108">
        <f>AX$5</f>
        <v/>
      </c>
      <c r="AY6" s="108">
        <f>AY$5</f>
        <v/>
      </c>
      <c r="AZ6" s="108">
        <f>AZ$5</f>
        <v/>
      </c>
      <c r="BA6" s="108">
        <f>BA$5</f>
        <v/>
      </c>
      <c r="BB6" s="108">
        <f>BB$5</f>
        <v/>
      </c>
      <c r="BC6" s="108">
        <f>BC$5</f>
        <v/>
      </c>
      <c r="BD6" s="108">
        <f>BD$5</f>
        <v/>
      </c>
      <c r="BE6" s="108">
        <f>BE$5</f>
        <v/>
      </c>
      <c r="BF6" s="108">
        <f>BF$5</f>
        <v/>
      </c>
      <c r="BG6" s="108">
        <f>BG$5</f>
        <v/>
      </c>
      <c r="BH6" s="108">
        <f>BH$5</f>
        <v/>
      </c>
      <c r="BI6" s="108">
        <f>BI$5</f>
        <v/>
      </c>
      <c r="BJ6" s="108">
        <f>BJ$5</f>
        <v/>
      </c>
      <c r="BK6" s="108">
        <f>BK$5</f>
        <v/>
      </c>
      <c r="BL6" s="108">
        <f>BL$5</f>
        <v/>
      </c>
      <c r="BM6" s="108">
        <f>BM$5</f>
        <v/>
      </c>
      <c r="BN6" s="108">
        <f>BN$5</f>
        <v/>
      </c>
      <c r="BO6" s="108">
        <f>BO$5</f>
        <v/>
      </c>
      <c r="BP6" s="108">
        <f>BP$5</f>
        <v/>
      </c>
      <c r="BQ6" s="108">
        <f>BQ$5</f>
        <v/>
      </c>
      <c r="BR6" s="108">
        <f>BR$5</f>
        <v/>
      </c>
      <c r="BS6" s="108">
        <f>BS$5</f>
        <v/>
      </c>
      <c r="BT6" s="108">
        <f>BT$5</f>
        <v/>
      </c>
      <c r="BU6" s="108">
        <f>BU$5</f>
        <v/>
      </c>
      <c r="BV6" s="108">
        <f>BV$5</f>
        <v/>
      </c>
      <c r="BW6" s="108">
        <f>BW$5</f>
        <v/>
      </c>
      <c r="BX6" s="108">
        <f>BX$5</f>
        <v/>
      </c>
      <c r="BY6" s="108">
        <f>BY$5</f>
        <v/>
      </c>
      <c r="BZ6" s="108">
        <f>BZ$5</f>
        <v/>
      </c>
      <c r="CA6" s="108">
        <f>CA$5</f>
        <v/>
      </c>
      <c r="CB6" s="108">
        <f>CB$5</f>
        <v/>
      </c>
      <c r="CC6" s="108">
        <f>CC$5</f>
        <v/>
      </c>
      <c r="CD6" s="108">
        <f>CD$5</f>
        <v/>
      </c>
      <c r="CE6" s="108">
        <f>CE$5</f>
        <v/>
      </c>
      <c r="CF6" s="108">
        <f>CF$5</f>
        <v/>
      </c>
      <c r="CG6" s="108">
        <f>CG$5</f>
        <v/>
      </c>
      <c r="CH6" s="108">
        <f>CH$5</f>
        <v/>
      </c>
      <c r="CI6" s="108">
        <f>CI$5</f>
        <v/>
      </c>
      <c r="CJ6" s="108">
        <f>CJ$5</f>
        <v/>
      </c>
      <c r="CK6" s="108">
        <f>CK$5</f>
        <v/>
      </c>
      <c r="CL6" s="108">
        <f>CL$5</f>
        <v/>
      </c>
      <c r="CM6" s="108">
        <f>CM$5</f>
        <v/>
      </c>
      <c r="CN6" s="108">
        <f>CN$5</f>
        <v/>
      </c>
      <c r="CO6" s="108">
        <f>CO$5</f>
        <v/>
      </c>
    </row>
    <row r="7" ht="19.5" customHeight="1" s="98">
      <c r="A7" s="5" t="n"/>
      <c r="B7" s="109" t="inlineStr">
        <is>
          <t>1</t>
        </is>
      </c>
      <c r="C7" s="110" t="inlineStr">
        <is>
          <t>調査・Mapping・B1（流用確認と残件）</t>
        </is>
      </c>
      <c r="D7" s="111" t="n"/>
      <c r="E7" s="111" t="n"/>
      <c r="F7" s="111" t="n"/>
      <c r="G7" s="111" t="n"/>
      <c r="H7" s="111" t="n"/>
      <c r="I7" s="111" t="n"/>
      <c r="J7" s="111" t="n"/>
      <c r="K7" s="112" t="n"/>
      <c r="L7" s="112" t="n"/>
      <c r="M7" s="112" t="n"/>
      <c r="N7" s="112" t="n"/>
      <c r="O7" s="111" t="n"/>
      <c r="P7" s="111" t="n"/>
      <c r="Q7" s="111" t="n"/>
      <c r="R7" s="111" t="n"/>
      <c r="S7" s="61" t="n"/>
      <c r="T7" s="61" t="n"/>
      <c r="U7" s="61" t="n"/>
      <c r="V7" s="61" t="n"/>
      <c r="W7" s="61" t="n"/>
      <c r="X7" s="61" t="n"/>
      <c r="Y7" s="61" t="n"/>
      <c r="Z7" s="61" t="n"/>
      <c r="AA7" s="61" t="n"/>
      <c r="AB7" s="61" t="n"/>
      <c r="AC7" s="61" t="n"/>
      <c r="AD7" s="61" t="n"/>
      <c r="AE7" s="61" t="n"/>
      <c r="AF7" s="61" t="n"/>
      <c r="AG7" s="61" t="n"/>
      <c r="AH7" s="61" t="n"/>
      <c r="AI7" s="61" t="n"/>
      <c r="AJ7" s="61" t="n"/>
      <c r="AK7" s="61" t="n"/>
      <c r="AL7" s="61" t="n"/>
      <c r="AM7" s="61" t="n"/>
      <c r="AN7" s="61" t="n"/>
      <c r="AO7" s="61" t="n"/>
      <c r="AP7" s="61" t="n"/>
      <c r="AQ7" s="61" t="n"/>
      <c r="AR7" s="61" t="n"/>
      <c r="AS7" s="61" t="n"/>
      <c r="AT7" s="61" t="n"/>
      <c r="AU7" s="61" t="n"/>
      <c r="AV7" s="61" t="n"/>
      <c r="AW7" s="61" t="n"/>
      <c r="AX7" s="61" t="n"/>
      <c r="AY7" s="61" t="n"/>
      <c r="AZ7" s="61" t="n"/>
      <c r="BA7" s="61" t="n"/>
      <c r="BB7" s="61" t="n"/>
      <c r="BC7" s="61" t="n"/>
      <c r="BD7" s="61" t="n"/>
      <c r="BE7" s="61" t="n"/>
      <c r="BF7" s="61" t="n"/>
      <c r="BG7" s="61" t="n"/>
      <c r="BH7" s="61" t="n"/>
      <c r="BI7" s="61" t="n"/>
      <c r="BJ7" s="61" t="n"/>
      <c r="BK7" s="61" t="n"/>
      <c r="BL7" s="61" t="n"/>
      <c r="BM7" s="61" t="n"/>
      <c r="BN7" s="61" t="n"/>
      <c r="BO7" s="61" t="n"/>
      <c r="BP7" s="61" t="n"/>
      <c r="BQ7" s="61" t="n"/>
      <c r="BR7" s="61" t="n"/>
      <c r="BS7" s="61" t="n"/>
      <c r="BT7" s="61" t="n"/>
      <c r="BU7" s="61" t="n"/>
      <c r="BV7" s="61" t="n"/>
      <c r="BW7" s="61" t="n"/>
      <c r="BX7" s="61" t="n"/>
      <c r="BY7" s="61" t="n"/>
      <c r="BZ7" s="61" t="n"/>
      <c r="CA7" s="61" t="n"/>
      <c r="CB7" s="61" t="n"/>
      <c r="CC7" s="61" t="n"/>
      <c r="CD7" s="61" t="n"/>
      <c r="CE7" s="61" t="n"/>
      <c r="CF7" s="61" t="n"/>
      <c r="CG7" s="61" t="n"/>
      <c r="CH7" s="61" t="n"/>
    </row>
    <row r="8" ht="32" customHeight="1" s="98">
      <c r="A8" s="5" t="n"/>
      <c r="B8" s="100" t="inlineStr">
        <is>
          <t>1.1</t>
        </is>
      </c>
      <c r="C8" s="101" t="inlineStr">
        <is>
          <t>調査・Mapping</t>
        </is>
      </c>
      <c r="D8" s="101" t="inlineStr">
        <is>
          <t>調査・Mapping</t>
        </is>
      </c>
      <c r="E8" s="101" t="inlineStr">
        <is>
          <t>生鮮発注勧告（当日分）　調査・Mapping</t>
        </is>
      </c>
      <c r="F8" s="101" t="inlineStr">
        <is>
          <t>生鮮発注勧告（当日分）</t>
        </is>
      </c>
      <c r="G8" s="100" t="inlineStr">
        <is>
          <t>新規</t>
        </is>
      </c>
      <c r="H8" s="100" t="inlineStr">
        <is>
          <t>臧鹏仕</t>
        </is>
      </c>
      <c r="I8" s="113" t="n">
        <v>5</v>
      </c>
      <c r="J8" s="100" t="inlineStr">
        <is>
          <t>高</t>
        </is>
      </c>
      <c r="K8" s="114" t="n">
        <v>46308</v>
      </c>
      <c r="L8" s="114" t="n">
        <v>46317</v>
      </c>
      <c r="M8" s="114" t="n"/>
      <c r="N8" s="114" t="n"/>
      <c r="O8" s="100" t="inlineStr">
        <is>
          <t>未着手</t>
        </is>
      </c>
      <c r="P8" s="115" t="n">
        <v>0</v>
      </c>
      <c r="Q8" s="100" t="inlineStr">
        <is>
          <t>－</t>
        </is>
      </c>
      <c r="R8" s="101" t="inlineStr">
        <is>
          <t>10/22に調査を閉じ、同日から詳細設計。2ファイルの日程は出典で分離されていない</t>
        </is>
      </c>
      <c r="S8" s="116">
        <f>IF(OR($K8="",$L8=""),"",IF(NETWORKDAYS(S$5,S$5,休日)=0,"",IF(AND(S$5&gt;=$K8,S$5&lt;=$L8),IF(NETWORKDAYS($K8,S$5,休日)=1,"○",IF(NETWORKDAYS(S$5,$L8,休日)=1,"▶","→")),"")))</f>
        <v/>
      </c>
      <c r="T8" s="116">
        <f>IF(OR($K8="",$L8=""),"",IF(NETWORKDAYS(T$5,T$5,休日)=0,"",IF(AND(T$5&gt;=$K8,T$5&lt;=$L8),IF(NETWORKDAYS($K8,T$5,休日)=1,"○",IF(NETWORKDAYS(T$5,$L8,休日)=1,"▶","→")),"")))</f>
        <v/>
      </c>
      <c r="U8" s="116">
        <f>IF(OR($K8="",$L8=""),"",IF(NETWORKDAYS(U$5,U$5,休日)=0,"",IF(AND(U$5&gt;=$K8,U$5&lt;=$L8),IF(NETWORKDAYS($K8,U$5,休日)=1,"○",IF(NETWORKDAYS(U$5,$L8,休日)=1,"▶","→")),"")))</f>
        <v/>
      </c>
      <c r="V8" s="116">
        <f>IF(OR($K8="",$L8=""),"",IF(NETWORKDAYS(V$5,V$5,休日)=0,"",IF(AND(V$5&gt;=$K8,V$5&lt;=$L8),IF(NETWORKDAYS($K8,V$5,休日)=1,"○",IF(NETWORKDAYS(V$5,$L8,休日)=1,"▶","→")),"")))</f>
        <v/>
      </c>
      <c r="W8" s="116">
        <f>IF(OR($K8="",$L8=""),"",IF(NETWORKDAYS(W$5,W$5,休日)=0,"",IF(AND(W$5&gt;=$K8,W$5&lt;=$L8),IF(NETWORKDAYS($K8,W$5,休日)=1,"○",IF(NETWORKDAYS(W$5,$L8,休日)=1,"▶","→")),"")))</f>
        <v/>
      </c>
      <c r="X8" s="116">
        <f>IF(OR($K8="",$L8=""),"",IF(NETWORKDAYS(X$5,X$5,休日)=0,"",IF(AND(X$5&gt;=$K8,X$5&lt;=$L8),IF(NETWORKDAYS($K8,X$5,休日)=1,"○",IF(NETWORKDAYS(X$5,$L8,休日)=1,"▶","→")),"")))</f>
        <v/>
      </c>
      <c r="Y8" s="116">
        <f>IF(OR($K8="",$L8=""),"",IF(NETWORKDAYS(Y$5,Y$5,休日)=0,"",IF(AND(Y$5&gt;=$K8,Y$5&lt;=$L8),IF(NETWORKDAYS($K8,Y$5,休日)=1,"○",IF(NETWORKDAYS(Y$5,$L8,休日)=1,"▶","→")),"")))</f>
        <v/>
      </c>
      <c r="Z8" s="116">
        <f>IF(OR($K8="",$L8=""),"",IF(NETWORKDAYS(Z$5,Z$5,休日)=0,"",IF(AND(Z$5&gt;=$K8,Z$5&lt;=$L8),IF(NETWORKDAYS($K8,Z$5,休日)=1,"○",IF(NETWORKDAYS(Z$5,$L8,休日)=1,"▶","→")),"")))</f>
        <v/>
      </c>
      <c r="AA8" s="116">
        <f>IF(OR($K8="",$L8=""),"",IF(NETWORKDAYS(AA$5,AA$5,休日)=0,"",IF(AND(AA$5&gt;=$K8,AA$5&lt;=$L8),IF(NETWORKDAYS($K8,AA$5,休日)=1,"○",IF(NETWORKDAYS(AA$5,$L8,休日)=1,"▶","→")),"")))</f>
        <v/>
      </c>
      <c r="AB8" s="116">
        <f>IF(OR($K8="",$L8=""),"",IF(NETWORKDAYS(AB$5,AB$5,休日)=0,"",IF(AND(AB$5&gt;=$K8,AB$5&lt;=$L8),IF(NETWORKDAYS($K8,AB$5,休日)=1,"○",IF(NETWORKDAYS(AB$5,$L8,休日)=1,"▶","→")),"")))</f>
        <v/>
      </c>
      <c r="AC8" s="116">
        <f>IF(OR($K8="",$L8=""),"",IF(NETWORKDAYS(AC$5,AC$5,休日)=0,"",IF(AND(AC$5&gt;=$K8,AC$5&lt;=$L8),IF(NETWORKDAYS($K8,AC$5,休日)=1,"○",IF(NETWORKDAYS(AC$5,$L8,休日)=1,"▶","→")),"")))</f>
        <v/>
      </c>
      <c r="AD8" s="116">
        <f>IF(OR($K8="",$L8=""),"",IF(NETWORKDAYS(AD$5,AD$5,休日)=0,"",IF(AND(AD$5&gt;=$K8,AD$5&lt;=$L8),IF(NETWORKDAYS($K8,AD$5,休日)=1,"○",IF(NETWORKDAYS(AD$5,$L8,休日)=1,"▶","→")),"")))</f>
        <v/>
      </c>
      <c r="AE8" s="116">
        <f>IF(OR($K8="",$L8=""),"",IF(NETWORKDAYS(AE$5,AE$5,休日)=0,"",IF(AND(AE$5&gt;=$K8,AE$5&lt;=$L8),IF(NETWORKDAYS($K8,AE$5,休日)=1,"○",IF(NETWORKDAYS(AE$5,$L8,休日)=1,"▶","→")),"")))</f>
        <v/>
      </c>
      <c r="AF8" s="116">
        <f>IF(OR($K8="",$L8=""),"",IF(NETWORKDAYS(AF$5,AF$5,休日)=0,"",IF(AND(AF$5&gt;=$K8,AF$5&lt;=$L8),IF(NETWORKDAYS($K8,AF$5,休日)=1,"○",IF(NETWORKDAYS(AF$5,$L8,休日)=1,"▶","→")),"")))</f>
        <v/>
      </c>
      <c r="AG8" s="116">
        <f>IF(OR($K8="",$L8=""),"",IF(NETWORKDAYS(AG$5,AG$5,休日)=0,"",IF(AND(AG$5&gt;=$K8,AG$5&lt;=$L8),IF(NETWORKDAYS($K8,AG$5,休日)=1,"○",IF(NETWORKDAYS(AG$5,$L8,休日)=1,"▶","→")),"")))</f>
        <v/>
      </c>
      <c r="AH8" s="116">
        <f>IF(OR($K8="",$L8=""),"",IF(NETWORKDAYS(AH$5,AH$5,休日)=0,"",IF(AND(AH$5&gt;=$K8,AH$5&lt;=$L8),IF(NETWORKDAYS($K8,AH$5,休日)=1,"○",IF(NETWORKDAYS(AH$5,$L8,休日)=1,"▶","→")),"")))</f>
        <v/>
      </c>
      <c r="AI8" s="116">
        <f>IF(OR($K8="",$L8=""),"",IF(NETWORKDAYS(AI$5,AI$5,休日)=0,"",IF(AND(AI$5&gt;=$K8,AI$5&lt;=$L8),IF(NETWORKDAYS($K8,AI$5,休日)=1,"○",IF(NETWORKDAYS(AI$5,$L8,休日)=1,"▶","→")),"")))</f>
        <v/>
      </c>
      <c r="AJ8" s="116">
        <f>IF(OR($K8="",$L8=""),"",IF(NETWORKDAYS(AJ$5,AJ$5,休日)=0,"",IF(AND(AJ$5&gt;=$K8,AJ$5&lt;=$L8),IF(NETWORKDAYS($K8,AJ$5,休日)=1,"○",IF(NETWORKDAYS(AJ$5,$L8,休日)=1,"▶","→")),"")))</f>
        <v/>
      </c>
      <c r="AK8" s="116">
        <f>IF(OR($K8="",$L8=""),"",IF(NETWORKDAYS(AK$5,AK$5,休日)=0,"",IF(AND(AK$5&gt;=$K8,AK$5&lt;=$L8),IF(NETWORKDAYS($K8,AK$5,休日)=1,"○",IF(NETWORKDAYS(AK$5,$L8,休日)=1,"▶","→")),"")))</f>
        <v/>
      </c>
      <c r="AL8" s="116">
        <f>IF(OR($K8="",$L8=""),"",IF(NETWORKDAYS(AL$5,AL$5,休日)=0,"",IF(AND(AL$5&gt;=$K8,AL$5&lt;=$L8),IF(NETWORKDAYS($K8,AL$5,休日)=1,"○",IF(NETWORKDAYS(AL$5,$L8,休日)=1,"▶","→")),"")))</f>
        <v/>
      </c>
      <c r="AM8" s="116">
        <f>IF(OR($K8="",$L8=""),"",IF(NETWORKDAYS(AM$5,AM$5,休日)=0,"",IF(AND(AM$5&gt;=$K8,AM$5&lt;=$L8),IF(NETWORKDAYS($K8,AM$5,休日)=1,"○",IF(NETWORKDAYS(AM$5,$L8,休日)=1,"▶","→")),"")))</f>
        <v/>
      </c>
      <c r="AN8" s="116">
        <f>IF(OR($K8="",$L8=""),"",IF(NETWORKDAYS(AN$5,AN$5,休日)=0,"",IF(AND(AN$5&gt;=$K8,AN$5&lt;=$L8),IF(NETWORKDAYS($K8,AN$5,休日)=1,"○",IF(NETWORKDAYS(AN$5,$L8,休日)=1,"▶","→")),"")))</f>
        <v/>
      </c>
      <c r="AO8" s="116">
        <f>IF(OR($K8="",$L8=""),"",IF(NETWORKDAYS(AO$5,AO$5,休日)=0,"",IF(AND(AO$5&gt;=$K8,AO$5&lt;=$L8),IF(NETWORKDAYS($K8,AO$5,休日)=1,"○",IF(NETWORKDAYS(AO$5,$L8,休日)=1,"▶","→")),"")))</f>
        <v/>
      </c>
      <c r="AP8" s="116">
        <f>IF(OR($K8="",$L8=""),"",IF(NETWORKDAYS(AP$5,AP$5,休日)=0,"",IF(AND(AP$5&gt;=$K8,AP$5&lt;=$L8),IF(NETWORKDAYS($K8,AP$5,休日)=1,"○",IF(NETWORKDAYS(AP$5,$L8,休日)=1,"▶","→")),"")))</f>
        <v/>
      </c>
      <c r="AQ8" s="116">
        <f>IF(OR($K8="",$L8=""),"",IF(NETWORKDAYS(AQ$5,AQ$5,休日)=0,"",IF(AND(AQ$5&gt;=$K8,AQ$5&lt;=$L8),IF(NETWORKDAYS($K8,AQ$5,休日)=1,"○",IF(NETWORKDAYS(AQ$5,$L8,休日)=1,"▶","→")),"")))</f>
        <v/>
      </c>
      <c r="AR8" s="116">
        <f>IF(OR($K8="",$L8=""),"",IF(NETWORKDAYS(AR$5,AR$5,休日)=0,"",IF(AND(AR$5&gt;=$K8,AR$5&lt;=$L8),IF(NETWORKDAYS($K8,AR$5,休日)=1,"○",IF(NETWORKDAYS(AR$5,$L8,休日)=1,"▶","→")),"")))</f>
        <v/>
      </c>
      <c r="AS8" s="116">
        <f>IF(OR($K8="",$L8=""),"",IF(NETWORKDAYS(AS$5,AS$5,休日)=0,"",IF(AND(AS$5&gt;=$K8,AS$5&lt;=$L8),IF(NETWORKDAYS($K8,AS$5,休日)=1,"○",IF(NETWORKDAYS(AS$5,$L8,休日)=1,"▶","→")),"")))</f>
        <v/>
      </c>
      <c r="AT8" s="116">
        <f>IF(OR($K8="",$L8=""),"",IF(NETWORKDAYS(AT$5,AT$5,休日)=0,"",IF(AND(AT$5&gt;=$K8,AT$5&lt;=$L8),IF(NETWORKDAYS($K8,AT$5,休日)=1,"○",IF(NETWORKDAYS(AT$5,$L8,休日)=1,"▶","→")),"")))</f>
        <v/>
      </c>
      <c r="AU8" s="116">
        <f>IF(OR($K8="",$L8=""),"",IF(NETWORKDAYS(AU$5,AU$5,休日)=0,"",IF(AND(AU$5&gt;=$K8,AU$5&lt;=$L8),IF(NETWORKDAYS($K8,AU$5,休日)=1,"○",IF(NETWORKDAYS(AU$5,$L8,休日)=1,"▶","→")),"")))</f>
        <v/>
      </c>
      <c r="AV8" s="116">
        <f>IF(OR($K8="",$L8=""),"",IF(NETWORKDAYS(AV$5,AV$5,休日)=0,"",IF(AND(AV$5&gt;=$K8,AV$5&lt;=$L8),IF(NETWORKDAYS($K8,AV$5,休日)=1,"○",IF(NETWORKDAYS(AV$5,$L8,休日)=1,"▶","→")),"")))</f>
        <v/>
      </c>
      <c r="AW8" s="116">
        <f>IF(OR($K8="",$L8=""),"",IF(NETWORKDAYS(AW$5,AW$5,休日)=0,"",IF(AND(AW$5&gt;=$K8,AW$5&lt;=$L8),IF(NETWORKDAYS($K8,AW$5,休日)=1,"○",IF(NETWORKDAYS(AW$5,$L8,休日)=1,"▶","→")),"")))</f>
        <v/>
      </c>
      <c r="AX8" s="116">
        <f>IF(OR($K8="",$L8=""),"",IF(NETWORKDAYS(AX$5,AX$5,休日)=0,"",IF(AND(AX$5&gt;=$K8,AX$5&lt;=$L8),IF(NETWORKDAYS($K8,AX$5,休日)=1,"○",IF(NETWORKDAYS(AX$5,$L8,休日)=1,"▶","→")),"")))</f>
        <v/>
      </c>
      <c r="AY8" s="116">
        <f>IF(OR($K8="",$L8=""),"",IF(NETWORKDAYS(AY$5,AY$5,休日)=0,"",IF(AND(AY$5&gt;=$K8,AY$5&lt;=$L8),IF(NETWORKDAYS($K8,AY$5,休日)=1,"○",IF(NETWORKDAYS(AY$5,$L8,休日)=1,"▶","→")),"")))</f>
        <v/>
      </c>
      <c r="AZ8" s="116">
        <f>IF(OR($K8="",$L8=""),"",IF(NETWORKDAYS(AZ$5,AZ$5,休日)=0,"",IF(AND(AZ$5&gt;=$K8,AZ$5&lt;=$L8),IF(NETWORKDAYS($K8,AZ$5,休日)=1,"○",IF(NETWORKDAYS(AZ$5,$L8,休日)=1,"▶","→")),"")))</f>
        <v/>
      </c>
      <c r="BA8" s="116">
        <f>IF(OR($K8="",$L8=""),"",IF(NETWORKDAYS(BA$5,BA$5,休日)=0,"",IF(AND(BA$5&gt;=$K8,BA$5&lt;=$L8),IF(NETWORKDAYS($K8,BA$5,休日)=1,"○",IF(NETWORKDAYS(BA$5,$L8,休日)=1,"▶","→")),"")))</f>
        <v/>
      </c>
      <c r="BB8" s="116">
        <f>IF(OR($K8="",$L8=""),"",IF(NETWORKDAYS(BB$5,BB$5,休日)=0,"",IF(AND(BB$5&gt;=$K8,BB$5&lt;=$L8),IF(NETWORKDAYS($K8,BB$5,休日)=1,"○",IF(NETWORKDAYS(BB$5,$L8,休日)=1,"▶","→")),"")))</f>
        <v/>
      </c>
      <c r="BC8" s="116">
        <f>IF(OR($K8="",$L8=""),"",IF(NETWORKDAYS(BC$5,BC$5,休日)=0,"",IF(AND(BC$5&gt;=$K8,BC$5&lt;=$L8),IF(NETWORKDAYS($K8,BC$5,休日)=1,"○",IF(NETWORKDAYS(BC$5,$L8,休日)=1,"▶","→")),"")))</f>
        <v/>
      </c>
      <c r="BD8" s="116">
        <f>IF(OR($K8="",$L8=""),"",IF(NETWORKDAYS(BD$5,BD$5,休日)=0,"",IF(AND(BD$5&gt;=$K8,BD$5&lt;=$L8),IF(NETWORKDAYS($K8,BD$5,休日)=1,"○",IF(NETWORKDAYS(BD$5,$L8,休日)=1,"▶","→")),"")))</f>
        <v/>
      </c>
      <c r="BE8" s="116">
        <f>IF(OR($K8="",$L8=""),"",IF(NETWORKDAYS(BE$5,BE$5,休日)=0,"",IF(AND(BE$5&gt;=$K8,BE$5&lt;=$L8),IF(NETWORKDAYS($K8,BE$5,休日)=1,"○",IF(NETWORKDAYS(BE$5,$L8,休日)=1,"▶","→")),"")))</f>
        <v/>
      </c>
      <c r="BF8" s="116">
        <f>IF(OR($K8="",$L8=""),"",IF(NETWORKDAYS(BF$5,BF$5,休日)=0,"",IF(AND(BF$5&gt;=$K8,BF$5&lt;=$L8),IF(NETWORKDAYS($K8,BF$5,休日)=1,"○",IF(NETWORKDAYS(BF$5,$L8,休日)=1,"▶","→")),"")))</f>
        <v/>
      </c>
      <c r="BG8" s="116">
        <f>IF(OR($K8="",$L8=""),"",IF(NETWORKDAYS(BG$5,BG$5,休日)=0,"",IF(AND(BG$5&gt;=$K8,BG$5&lt;=$L8),IF(NETWORKDAYS($K8,BG$5,休日)=1,"○",IF(NETWORKDAYS(BG$5,$L8,休日)=1,"▶","→")),"")))</f>
        <v/>
      </c>
      <c r="BH8" s="116">
        <f>IF(OR($K8="",$L8=""),"",IF(NETWORKDAYS(BH$5,BH$5,休日)=0,"",IF(AND(BH$5&gt;=$K8,BH$5&lt;=$L8),IF(NETWORKDAYS($K8,BH$5,休日)=1,"○",IF(NETWORKDAYS(BH$5,$L8,休日)=1,"▶","→")),"")))</f>
        <v/>
      </c>
      <c r="BI8" s="116">
        <f>IF(OR($K8="",$L8=""),"",IF(NETWORKDAYS(BI$5,BI$5,休日)=0,"",IF(AND(BI$5&gt;=$K8,BI$5&lt;=$L8),IF(NETWORKDAYS($K8,BI$5,休日)=1,"○",IF(NETWORKDAYS(BI$5,$L8,休日)=1,"▶","→")),"")))</f>
        <v/>
      </c>
      <c r="BJ8" s="116">
        <f>IF(OR($K8="",$L8=""),"",IF(NETWORKDAYS(BJ$5,BJ$5,休日)=0,"",IF(AND(BJ$5&gt;=$K8,BJ$5&lt;=$L8),IF(NETWORKDAYS($K8,BJ$5,休日)=1,"○",IF(NETWORKDAYS(BJ$5,$L8,休日)=1,"▶","→")),"")))</f>
        <v/>
      </c>
      <c r="BK8" s="116">
        <f>IF(OR($K8="",$L8=""),"",IF(NETWORKDAYS(BK$5,BK$5,休日)=0,"",IF(AND(BK$5&gt;=$K8,BK$5&lt;=$L8),IF(NETWORKDAYS($K8,BK$5,休日)=1,"○",IF(NETWORKDAYS(BK$5,$L8,休日)=1,"▶","→")),"")))</f>
        <v/>
      </c>
      <c r="BL8" s="116">
        <f>IF(OR($K8="",$L8=""),"",IF(NETWORKDAYS(BL$5,BL$5,休日)=0,"",IF(AND(BL$5&gt;=$K8,BL$5&lt;=$L8),IF(NETWORKDAYS($K8,BL$5,休日)=1,"○",IF(NETWORKDAYS(BL$5,$L8,休日)=1,"▶","→")),"")))</f>
        <v/>
      </c>
      <c r="BM8" s="116">
        <f>IF(OR($K8="",$L8=""),"",IF(NETWORKDAYS(BM$5,BM$5,休日)=0,"",IF(AND(BM$5&gt;=$K8,BM$5&lt;=$L8),IF(NETWORKDAYS($K8,BM$5,休日)=1,"○",IF(NETWORKDAYS(BM$5,$L8,休日)=1,"▶","→")),"")))</f>
        <v/>
      </c>
      <c r="BN8" s="116">
        <f>IF(OR($K8="",$L8=""),"",IF(NETWORKDAYS(BN$5,BN$5,休日)=0,"",IF(AND(BN$5&gt;=$K8,BN$5&lt;=$L8),IF(NETWORKDAYS($K8,BN$5,休日)=1,"○",IF(NETWORKDAYS(BN$5,$L8,休日)=1,"▶","→")),"")))</f>
        <v/>
      </c>
      <c r="BO8" s="116">
        <f>IF(OR($K8="",$L8=""),"",IF(NETWORKDAYS(BO$5,BO$5,休日)=0,"",IF(AND(BO$5&gt;=$K8,BO$5&lt;=$L8),IF(NETWORKDAYS($K8,BO$5,休日)=1,"○",IF(NETWORKDAYS(BO$5,$L8,休日)=1,"▶","→")),"")))</f>
        <v/>
      </c>
      <c r="BP8" s="116">
        <f>IF(OR($K8="",$L8=""),"",IF(NETWORKDAYS(BP$5,BP$5,休日)=0,"",IF(AND(BP$5&gt;=$K8,BP$5&lt;=$L8),IF(NETWORKDAYS($K8,BP$5,休日)=1,"○",IF(NETWORKDAYS(BP$5,$L8,休日)=1,"▶","→")),"")))</f>
        <v/>
      </c>
      <c r="BQ8" s="116">
        <f>IF(OR($K8="",$L8=""),"",IF(NETWORKDAYS(BQ$5,BQ$5,休日)=0,"",IF(AND(BQ$5&gt;=$K8,BQ$5&lt;=$L8),IF(NETWORKDAYS($K8,BQ$5,休日)=1,"○",IF(NETWORKDAYS(BQ$5,$L8,休日)=1,"▶","→")),"")))</f>
        <v/>
      </c>
      <c r="BR8" s="116">
        <f>IF(OR($K8="",$L8=""),"",IF(NETWORKDAYS(BR$5,BR$5,休日)=0,"",IF(AND(BR$5&gt;=$K8,BR$5&lt;=$L8),IF(NETWORKDAYS($K8,BR$5,休日)=1,"○",IF(NETWORKDAYS(BR$5,$L8,休日)=1,"▶","→")),"")))</f>
        <v/>
      </c>
      <c r="BS8" s="116">
        <f>IF(OR($K8="",$L8=""),"",IF(NETWORKDAYS(BS$5,BS$5,休日)=0,"",IF(AND(BS$5&gt;=$K8,BS$5&lt;=$L8),IF(NETWORKDAYS($K8,BS$5,休日)=1,"○",IF(NETWORKDAYS(BS$5,$L8,休日)=1,"▶","→")),"")))</f>
        <v/>
      </c>
      <c r="BT8" s="116">
        <f>IF(OR($K8="",$L8=""),"",IF(NETWORKDAYS(BT$5,BT$5,休日)=0,"",IF(AND(BT$5&gt;=$K8,BT$5&lt;=$L8),IF(NETWORKDAYS($K8,BT$5,休日)=1,"○",IF(NETWORKDAYS(BT$5,$L8,休日)=1,"▶","→")),"")))</f>
        <v/>
      </c>
      <c r="BU8" s="116">
        <f>IF(OR($K8="",$L8=""),"",IF(NETWORKDAYS(BU$5,BU$5,休日)=0,"",IF(AND(BU$5&gt;=$K8,BU$5&lt;=$L8),IF(NETWORKDAYS($K8,BU$5,休日)=1,"○",IF(NETWORKDAYS(BU$5,$L8,休日)=1,"▶","→")),"")))</f>
        <v/>
      </c>
      <c r="BV8" s="116">
        <f>IF(OR($K8="",$L8=""),"",IF(NETWORKDAYS(BV$5,BV$5,休日)=0,"",IF(AND(BV$5&gt;=$K8,BV$5&lt;=$L8),IF(NETWORKDAYS($K8,BV$5,休日)=1,"○",IF(NETWORKDAYS(BV$5,$L8,休日)=1,"▶","→")),"")))</f>
        <v/>
      </c>
      <c r="BW8" s="116">
        <f>IF(OR($K8="",$L8=""),"",IF(NETWORKDAYS(BW$5,BW$5,休日)=0,"",IF(AND(BW$5&gt;=$K8,BW$5&lt;=$L8),IF(NETWORKDAYS($K8,BW$5,休日)=1,"○",IF(NETWORKDAYS(BW$5,$L8,休日)=1,"▶","→")),"")))</f>
        <v/>
      </c>
      <c r="BX8" s="116">
        <f>IF(OR($K8="",$L8=""),"",IF(NETWORKDAYS(BX$5,BX$5,休日)=0,"",IF(AND(BX$5&gt;=$K8,BX$5&lt;=$L8),IF(NETWORKDAYS($K8,BX$5,休日)=1,"○",IF(NETWORKDAYS(BX$5,$L8,休日)=1,"▶","→")),"")))</f>
        <v/>
      </c>
      <c r="BY8" s="116">
        <f>IF(OR($K8="",$L8=""),"",IF(NETWORKDAYS(BY$5,BY$5,休日)=0,"",IF(AND(BY$5&gt;=$K8,BY$5&lt;=$L8),IF(NETWORKDAYS($K8,BY$5,休日)=1,"○",IF(NETWORKDAYS(BY$5,$L8,休日)=1,"▶","→")),"")))</f>
        <v/>
      </c>
      <c r="BZ8" s="116">
        <f>IF(OR($K8="",$L8=""),"",IF(NETWORKDAYS(BZ$5,BZ$5,休日)=0,"",IF(AND(BZ$5&gt;=$K8,BZ$5&lt;=$L8),IF(NETWORKDAYS($K8,BZ$5,休日)=1,"○",IF(NETWORKDAYS(BZ$5,$L8,休日)=1,"▶","→")),"")))</f>
        <v/>
      </c>
      <c r="CA8" s="116">
        <f>IF(OR($K8="",$L8=""),"",IF(NETWORKDAYS(CA$5,CA$5,休日)=0,"",IF(AND(CA$5&gt;=$K8,CA$5&lt;=$L8),IF(NETWORKDAYS($K8,CA$5,休日)=1,"○",IF(NETWORKDAYS(CA$5,$L8,休日)=1,"▶","→")),"")))</f>
        <v/>
      </c>
      <c r="CB8" s="116">
        <f>IF(OR($K8="",$L8=""),"",IF(NETWORKDAYS(CB$5,CB$5,休日)=0,"",IF(AND(CB$5&gt;=$K8,CB$5&lt;=$L8),IF(NETWORKDAYS($K8,CB$5,休日)=1,"○",IF(NETWORKDAYS(CB$5,$L8,休日)=1,"▶","→")),"")))</f>
        <v/>
      </c>
      <c r="CC8" s="116">
        <f>IF(OR($K8="",$L8=""),"",IF(NETWORKDAYS(CC$5,CC$5,休日)=0,"",IF(AND(CC$5&gt;=$K8,CC$5&lt;=$L8),IF(NETWORKDAYS($K8,CC$5,休日)=1,"○",IF(NETWORKDAYS(CC$5,$L8,休日)=1,"▶","→")),"")))</f>
        <v/>
      </c>
      <c r="CD8" s="116">
        <f>IF(OR($K8="",$L8=""),"",IF(NETWORKDAYS(CD$5,CD$5,休日)=0,"",IF(AND(CD$5&gt;=$K8,CD$5&lt;=$L8),IF(NETWORKDAYS($K8,CD$5,休日)=1,"○",IF(NETWORKDAYS(CD$5,$L8,休日)=1,"▶","→")),"")))</f>
        <v/>
      </c>
      <c r="CE8" s="116">
        <f>IF(OR($K8="",$L8=""),"",IF(NETWORKDAYS(CE$5,CE$5,休日)=0,"",IF(AND(CE$5&gt;=$K8,CE$5&lt;=$L8),IF(NETWORKDAYS($K8,CE$5,休日)=1,"○",IF(NETWORKDAYS(CE$5,$L8,休日)=1,"▶","→")),"")))</f>
        <v/>
      </c>
      <c r="CF8" s="116">
        <f>IF(OR($K8="",$L8=""),"",IF(NETWORKDAYS(CF$5,CF$5,休日)=0,"",IF(AND(CF$5&gt;=$K8,CF$5&lt;=$L8),IF(NETWORKDAYS($K8,CF$5,休日)=1,"○",IF(NETWORKDAYS(CF$5,$L8,休日)=1,"▶","→")),"")))</f>
        <v/>
      </c>
      <c r="CG8" s="116">
        <f>IF(OR($K8="",$L8=""),"",IF(NETWORKDAYS(CG$5,CG$5,休日)=0,"",IF(AND(CG$5&gt;=$K8,CG$5&lt;=$L8),IF(NETWORKDAYS($K8,CG$5,休日)=1,"○",IF(NETWORKDAYS(CG$5,$L8,休日)=1,"▶","→")),"")))</f>
        <v/>
      </c>
      <c r="CH8" s="116">
        <f>IF(OR($K8="",$L8=""),"",IF(NETWORKDAYS(CH$5,CH$5,休日)=0,"",IF(AND(CH$5&gt;=$K8,CH$5&lt;=$L8),IF(NETWORKDAYS($K8,CH$5,休日)=1,"○",IF(NETWORKDAYS(CH$5,$L8,休日)=1,"▶","→")),"")))</f>
        <v/>
      </c>
      <c r="CI8" s="116">
        <f>IF(OR($K8="",$L8=""),"",IF(NETWORKDAYS(CI$5,CI$5,休日)=0,"",IF(AND(CI$5&gt;=$K8,CI$5&lt;=$L8),IF(NETWORKDAYS($K8,CI$5,休日)=1,"○",IF(NETWORKDAYS(CI$5,$L8,休日)=1,"▶","→")),"")))</f>
        <v/>
      </c>
      <c r="CJ8" s="116">
        <f>IF(OR($K8="",$L8=""),"",IF(NETWORKDAYS(CJ$5,CJ$5,休日)=0,"",IF(AND(CJ$5&gt;=$K8,CJ$5&lt;=$L8),IF(NETWORKDAYS($K8,CJ$5,休日)=1,"○",IF(NETWORKDAYS(CJ$5,$L8,休日)=1,"▶","→")),"")))</f>
        <v/>
      </c>
      <c r="CK8" s="116">
        <f>IF(OR($K8="",$L8=""),"",IF(NETWORKDAYS(CK$5,CK$5,休日)=0,"",IF(AND(CK$5&gt;=$K8,CK$5&lt;=$L8),IF(NETWORKDAYS($K8,CK$5,休日)=1,"○",IF(NETWORKDAYS(CK$5,$L8,休日)=1,"▶","→")),"")))</f>
        <v/>
      </c>
      <c r="CL8" s="116">
        <f>IF(OR($K8="",$L8=""),"",IF(NETWORKDAYS(CL$5,CL$5,休日)=0,"",IF(AND(CL$5&gt;=$K8,CL$5&lt;=$L8),IF(NETWORKDAYS($K8,CL$5,休日)=1,"○",IF(NETWORKDAYS(CL$5,$L8,休日)=1,"▶","→")),"")))</f>
        <v/>
      </c>
      <c r="CM8" s="116">
        <f>IF(OR($K8="",$L8=""),"",IF(NETWORKDAYS(CM$5,CM$5,休日)=0,"",IF(AND(CM$5&gt;=$K8,CM$5&lt;=$L8),IF(NETWORKDAYS($K8,CM$5,休日)=1,"○",IF(NETWORKDAYS(CM$5,$L8,休日)=1,"▶","→")),"")))</f>
        <v/>
      </c>
      <c r="CN8" s="116">
        <f>IF(OR($K8="",$L8=""),"",IF(NETWORKDAYS(CN$5,CN$5,休日)=0,"",IF(AND(CN$5&gt;=$K8,CN$5&lt;=$L8),IF(NETWORKDAYS($K8,CN$5,休日)=1,"○",IF(NETWORKDAYS(CN$5,$L8,休日)=1,"▶","→")),"")))</f>
        <v/>
      </c>
      <c r="CO8" s="116">
        <f>IF(OR($K8="",$L8=""),"",IF(NETWORKDAYS(CO$5,CO$5,休日)=0,"",IF(AND(CO$5&gt;=$K8,CO$5&lt;=$L8),IF(NETWORKDAYS($K8,CO$5,休日)=1,"○",IF(NETWORKDAYS(CO$5,$L8,休日)=1,"▶","→")),"")))</f>
        <v/>
      </c>
    </row>
    <row r="9" hidden="1" outlineLevel="1" ht="32" customHeight="1" s="98">
      <c r="A9" s="5" t="n"/>
      <c r="B9" s="100" t="inlineStr">
        <is>
          <t>1.2</t>
        </is>
      </c>
      <c r="C9" s="101" t="inlineStr">
        <is>
          <t>調査・Mapping</t>
        </is>
      </c>
      <c r="D9" s="101" t="inlineStr">
        <is>
          <t>調査・Mapping</t>
        </is>
      </c>
      <c r="E9" s="101" t="inlineStr">
        <is>
          <t>生鮮発注勧告（翌日以降分）　調査・Mapping</t>
        </is>
      </c>
      <c r="F9" s="101" t="inlineStr">
        <is>
          <t>生鮮発注勧告（翌日以降分）</t>
        </is>
      </c>
      <c r="G9" s="100" t="inlineStr">
        <is>
          <t>新規</t>
        </is>
      </c>
      <c r="H9" s="100" t="inlineStr">
        <is>
          <t>臧鹏仕</t>
        </is>
      </c>
      <c r="I9" s="113" t="n">
        <v>2.5</v>
      </c>
      <c r="J9" s="100" t="inlineStr">
        <is>
          <t>高</t>
        </is>
      </c>
      <c r="K9" s="114" t="n">
        <v>46308</v>
      </c>
      <c r="L9" s="114" t="n">
        <v>46317</v>
      </c>
      <c r="M9" s="114" t="n"/>
      <c r="N9" s="114" t="n"/>
      <c r="O9" s="100" t="inlineStr">
        <is>
          <t>未着手</t>
        </is>
      </c>
      <c r="P9" s="115" t="n">
        <v>0</v>
      </c>
      <c r="Q9" s="100" t="inlineStr">
        <is>
          <t>－</t>
        </is>
      </c>
      <c r="R9" s="101" t="inlineStr">
        <is>
          <t>1.5本換算の0.5本。2ファイルの日程は出典で分離されていない</t>
        </is>
      </c>
      <c r="S9" s="116">
        <f>IF(OR($K9="",$L9=""),"",IF(NETWORKDAYS(S$5,S$5,休日)=0,"",IF(AND(S$5&gt;=$K9,S$5&lt;=$L9),IF(NETWORKDAYS($K9,S$5,休日)=1,"○",IF(NETWORKDAYS(S$5,$L9,休日)=1,"▶","→")),"")))</f>
        <v/>
      </c>
      <c r="T9" s="116">
        <f>IF(OR($K9="",$L9=""),"",IF(NETWORKDAYS(T$5,T$5,休日)=0,"",IF(AND(T$5&gt;=$K9,T$5&lt;=$L9),IF(NETWORKDAYS($K9,T$5,休日)=1,"○",IF(NETWORKDAYS(T$5,$L9,休日)=1,"▶","→")),"")))</f>
        <v/>
      </c>
      <c r="U9" s="116">
        <f>IF(OR($K9="",$L9=""),"",IF(NETWORKDAYS(U$5,U$5,休日)=0,"",IF(AND(U$5&gt;=$K9,U$5&lt;=$L9),IF(NETWORKDAYS($K9,U$5,休日)=1,"○",IF(NETWORKDAYS(U$5,$L9,休日)=1,"▶","→")),"")))</f>
        <v/>
      </c>
      <c r="V9" s="116">
        <f>IF(OR($K9="",$L9=""),"",IF(NETWORKDAYS(V$5,V$5,休日)=0,"",IF(AND(V$5&gt;=$K9,V$5&lt;=$L9),IF(NETWORKDAYS($K9,V$5,休日)=1,"○",IF(NETWORKDAYS(V$5,$L9,休日)=1,"▶","→")),"")))</f>
        <v/>
      </c>
      <c r="W9" s="116">
        <f>IF(OR($K9="",$L9=""),"",IF(NETWORKDAYS(W$5,W$5,休日)=0,"",IF(AND(W$5&gt;=$K9,W$5&lt;=$L9),IF(NETWORKDAYS($K9,W$5,休日)=1,"○",IF(NETWORKDAYS(W$5,$L9,休日)=1,"▶","→")),"")))</f>
        <v/>
      </c>
      <c r="X9" s="116">
        <f>IF(OR($K9="",$L9=""),"",IF(NETWORKDAYS(X$5,X$5,休日)=0,"",IF(AND(X$5&gt;=$K9,X$5&lt;=$L9),IF(NETWORKDAYS($K9,X$5,休日)=1,"○",IF(NETWORKDAYS(X$5,$L9,休日)=1,"▶","→")),"")))</f>
        <v/>
      </c>
      <c r="Y9" s="116">
        <f>IF(OR($K9="",$L9=""),"",IF(NETWORKDAYS(Y$5,Y$5,休日)=0,"",IF(AND(Y$5&gt;=$K9,Y$5&lt;=$L9),IF(NETWORKDAYS($K9,Y$5,休日)=1,"○",IF(NETWORKDAYS(Y$5,$L9,休日)=1,"▶","→")),"")))</f>
        <v/>
      </c>
      <c r="Z9" s="116">
        <f>IF(OR($K9="",$L9=""),"",IF(NETWORKDAYS(Z$5,Z$5,休日)=0,"",IF(AND(Z$5&gt;=$K9,Z$5&lt;=$L9),IF(NETWORKDAYS($K9,Z$5,休日)=1,"○",IF(NETWORKDAYS(Z$5,$L9,休日)=1,"▶","→")),"")))</f>
        <v/>
      </c>
      <c r="AA9" s="116">
        <f>IF(OR($K9="",$L9=""),"",IF(NETWORKDAYS(AA$5,AA$5,休日)=0,"",IF(AND(AA$5&gt;=$K9,AA$5&lt;=$L9),IF(NETWORKDAYS($K9,AA$5,休日)=1,"○",IF(NETWORKDAYS(AA$5,$L9,休日)=1,"▶","→")),"")))</f>
        <v/>
      </c>
      <c r="AB9" s="116">
        <f>IF(OR($K9="",$L9=""),"",IF(NETWORKDAYS(AB$5,AB$5,休日)=0,"",IF(AND(AB$5&gt;=$K9,AB$5&lt;=$L9),IF(NETWORKDAYS($K9,AB$5,休日)=1,"○",IF(NETWORKDAYS(AB$5,$L9,休日)=1,"▶","→")),"")))</f>
        <v/>
      </c>
      <c r="AC9" s="116">
        <f>IF(OR($K9="",$L9=""),"",IF(NETWORKDAYS(AC$5,AC$5,休日)=0,"",IF(AND(AC$5&gt;=$K9,AC$5&lt;=$L9),IF(NETWORKDAYS($K9,AC$5,休日)=1,"○",IF(NETWORKDAYS(AC$5,$L9,休日)=1,"▶","→")),"")))</f>
        <v/>
      </c>
      <c r="AD9" s="116">
        <f>IF(OR($K9="",$L9=""),"",IF(NETWORKDAYS(AD$5,AD$5,休日)=0,"",IF(AND(AD$5&gt;=$K9,AD$5&lt;=$L9),IF(NETWORKDAYS($K9,AD$5,休日)=1,"○",IF(NETWORKDAYS(AD$5,$L9,休日)=1,"▶","→")),"")))</f>
        <v/>
      </c>
      <c r="AE9" s="116">
        <f>IF(OR($K9="",$L9=""),"",IF(NETWORKDAYS(AE$5,AE$5,休日)=0,"",IF(AND(AE$5&gt;=$K9,AE$5&lt;=$L9),IF(NETWORKDAYS($K9,AE$5,休日)=1,"○",IF(NETWORKDAYS(AE$5,$L9,休日)=1,"▶","→")),"")))</f>
        <v/>
      </c>
      <c r="AF9" s="116">
        <f>IF(OR($K9="",$L9=""),"",IF(NETWORKDAYS(AF$5,AF$5,休日)=0,"",IF(AND(AF$5&gt;=$K9,AF$5&lt;=$L9),IF(NETWORKDAYS($K9,AF$5,休日)=1,"○",IF(NETWORKDAYS(AF$5,$L9,休日)=1,"▶","→")),"")))</f>
        <v/>
      </c>
      <c r="AG9" s="116">
        <f>IF(OR($K9="",$L9=""),"",IF(NETWORKDAYS(AG$5,AG$5,休日)=0,"",IF(AND(AG$5&gt;=$K9,AG$5&lt;=$L9),IF(NETWORKDAYS($K9,AG$5,休日)=1,"○",IF(NETWORKDAYS(AG$5,$L9,休日)=1,"▶","→")),"")))</f>
        <v/>
      </c>
      <c r="AH9" s="116">
        <f>IF(OR($K9="",$L9=""),"",IF(NETWORKDAYS(AH$5,AH$5,休日)=0,"",IF(AND(AH$5&gt;=$K9,AH$5&lt;=$L9),IF(NETWORKDAYS($K9,AH$5,休日)=1,"○",IF(NETWORKDAYS(AH$5,$L9,休日)=1,"▶","→")),"")))</f>
        <v/>
      </c>
      <c r="AI9" s="116">
        <f>IF(OR($K9="",$L9=""),"",IF(NETWORKDAYS(AI$5,AI$5,休日)=0,"",IF(AND(AI$5&gt;=$K9,AI$5&lt;=$L9),IF(NETWORKDAYS($K9,AI$5,休日)=1,"○",IF(NETWORKDAYS(AI$5,$L9,休日)=1,"▶","→")),"")))</f>
        <v/>
      </c>
      <c r="AJ9" s="116">
        <f>IF(OR($K9="",$L9=""),"",IF(NETWORKDAYS(AJ$5,AJ$5,休日)=0,"",IF(AND(AJ$5&gt;=$K9,AJ$5&lt;=$L9),IF(NETWORKDAYS($K9,AJ$5,休日)=1,"○",IF(NETWORKDAYS(AJ$5,$L9,休日)=1,"▶","→")),"")))</f>
        <v/>
      </c>
      <c r="AK9" s="116">
        <f>IF(OR($K9="",$L9=""),"",IF(NETWORKDAYS(AK$5,AK$5,休日)=0,"",IF(AND(AK$5&gt;=$K9,AK$5&lt;=$L9),IF(NETWORKDAYS($K9,AK$5,休日)=1,"○",IF(NETWORKDAYS(AK$5,$L9,休日)=1,"▶","→")),"")))</f>
        <v/>
      </c>
      <c r="AL9" s="116">
        <f>IF(OR($K9="",$L9=""),"",IF(NETWORKDAYS(AL$5,AL$5,休日)=0,"",IF(AND(AL$5&gt;=$K9,AL$5&lt;=$L9),IF(NETWORKDAYS($K9,AL$5,休日)=1,"○",IF(NETWORKDAYS(AL$5,$L9,休日)=1,"▶","→")),"")))</f>
        <v/>
      </c>
      <c r="AM9" s="116">
        <f>IF(OR($K9="",$L9=""),"",IF(NETWORKDAYS(AM$5,AM$5,休日)=0,"",IF(AND(AM$5&gt;=$K9,AM$5&lt;=$L9),IF(NETWORKDAYS($K9,AM$5,休日)=1,"○",IF(NETWORKDAYS(AM$5,$L9,休日)=1,"▶","→")),"")))</f>
        <v/>
      </c>
      <c r="AN9" s="116">
        <f>IF(OR($K9="",$L9=""),"",IF(NETWORKDAYS(AN$5,AN$5,休日)=0,"",IF(AND(AN$5&gt;=$K9,AN$5&lt;=$L9),IF(NETWORKDAYS($K9,AN$5,休日)=1,"○",IF(NETWORKDAYS(AN$5,$L9,休日)=1,"▶","→")),"")))</f>
        <v/>
      </c>
      <c r="AO9" s="116">
        <f>IF(OR($K9="",$L9=""),"",IF(NETWORKDAYS(AO$5,AO$5,休日)=0,"",IF(AND(AO$5&gt;=$K9,AO$5&lt;=$L9),IF(NETWORKDAYS($K9,AO$5,休日)=1,"○",IF(NETWORKDAYS(AO$5,$L9,休日)=1,"▶","→")),"")))</f>
        <v/>
      </c>
      <c r="AP9" s="116">
        <f>IF(OR($K9="",$L9=""),"",IF(NETWORKDAYS(AP$5,AP$5,休日)=0,"",IF(AND(AP$5&gt;=$K9,AP$5&lt;=$L9),IF(NETWORKDAYS($K9,AP$5,休日)=1,"○",IF(NETWORKDAYS(AP$5,$L9,休日)=1,"▶","→")),"")))</f>
        <v/>
      </c>
      <c r="AQ9" s="116">
        <f>IF(OR($K9="",$L9=""),"",IF(NETWORKDAYS(AQ$5,AQ$5,休日)=0,"",IF(AND(AQ$5&gt;=$K9,AQ$5&lt;=$L9),IF(NETWORKDAYS($K9,AQ$5,休日)=1,"○",IF(NETWORKDAYS(AQ$5,$L9,休日)=1,"▶","→")),"")))</f>
        <v/>
      </c>
      <c r="AR9" s="116">
        <f>IF(OR($K9="",$L9=""),"",IF(NETWORKDAYS(AR$5,AR$5,休日)=0,"",IF(AND(AR$5&gt;=$K9,AR$5&lt;=$L9),IF(NETWORKDAYS($K9,AR$5,休日)=1,"○",IF(NETWORKDAYS(AR$5,$L9,休日)=1,"▶","→")),"")))</f>
        <v/>
      </c>
      <c r="AS9" s="116">
        <f>IF(OR($K9="",$L9=""),"",IF(NETWORKDAYS(AS$5,AS$5,休日)=0,"",IF(AND(AS$5&gt;=$K9,AS$5&lt;=$L9),IF(NETWORKDAYS($K9,AS$5,休日)=1,"○",IF(NETWORKDAYS(AS$5,$L9,休日)=1,"▶","→")),"")))</f>
        <v/>
      </c>
      <c r="AT9" s="116">
        <f>IF(OR($K9="",$L9=""),"",IF(NETWORKDAYS(AT$5,AT$5,休日)=0,"",IF(AND(AT$5&gt;=$K9,AT$5&lt;=$L9),IF(NETWORKDAYS($K9,AT$5,休日)=1,"○",IF(NETWORKDAYS(AT$5,$L9,休日)=1,"▶","→")),"")))</f>
        <v/>
      </c>
      <c r="AU9" s="116">
        <f>IF(OR($K9="",$L9=""),"",IF(NETWORKDAYS(AU$5,AU$5,休日)=0,"",IF(AND(AU$5&gt;=$K9,AU$5&lt;=$L9),IF(NETWORKDAYS($K9,AU$5,休日)=1,"○",IF(NETWORKDAYS(AU$5,$L9,休日)=1,"▶","→")),"")))</f>
        <v/>
      </c>
      <c r="AV9" s="116">
        <f>IF(OR($K9="",$L9=""),"",IF(NETWORKDAYS(AV$5,AV$5,休日)=0,"",IF(AND(AV$5&gt;=$K9,AV$5&lt;=$L9),IF(NETWORKDAYS($K9,AV$5,休日)=1,"○",IF(NETWORKDAYS(AV$5,$L9,休日)=1,"▶","→")),"")))</f>
        <v/>
      </c>
      <c r="AW9" s="116">
        <f>IF(OR($K9="",$L9=""),"",IF(NETWORKDAYS(AW$5,AW$5,休日)=0,"",IF(AND(AW$5&gt;=$K9,AW$5&lt;=$L9),IF(NETWORKDAYS($K9,AW$5,休日)=1,"○",IF(NETWORKDAYS(AW$5,$L9,休日)=1,"▶","→")),"")))</f>
        <v/>
      </c>
      <c r="AX9" s="116">
        <f>IF(OR($K9="",$L9=""),"",IF(NETWORKDAYS(AX$5,AX$5,休日)=0,"",IF(AND(AX$5&gt;=$K9,AX$5&lt;=$L9),IF(NETWORKDAYS($K9,AX$5,休日)=1,"○",IF(NETWORKDAYS(AX$5,$L9,休日)=1,"▶","→")),"")))</f>
        <v/>
      </c>
      <c r="AY9" s="116">
        <f>IF(OR($K9="",$L9=""),"",IF(NETWORKDAYS(AY$5,AY$5,休日)=0,"",IF(AND(AY$5&gt;=$K9,AY$5&lt;=$L9),IF(NETWORKDAYS($K9,AY$5,休日)=1,"○",IF(NETWORKDAYS(AY$5,$L9,休日)=1,"▶","→")),"")))</f>
        <v/>
      </c>
      <c r="AZ9" s="116">
        <f>IF(OR($K9="",$L9=""),"",IF(NETWORKDAYS(AZ$5,AZ$5,休日)=0,"",IF(AND(AZ$5&gt;=$K9,AZ$5&lt;=$L9),IF(NETWORKDAYS($K9,AZ$5,休日)=1,"○",IF(NETWORKDAYS(AZ$5,$L9,休日)=1,"▶","→")),"")))</f>
        <v/>
      </c>
      <c r="BA9" s="116">
        <f>IF(OR($K9="",$L9=""),"",IF(NETWORKDAYS(BA$5,BA$5,休日)=0,"",IF(AND(BA$5&gt;=$K9,BA$5&lt;=$L9),IF(NETWORKDAYS($K9,BA$5,休日)=1,"○",IF(NETWORKDAYS(BA$5,$L9,休日)=1,"▶","→")),"")))</f>
        <v/>
      </c>
      <c r="BB9" s="116">
        <f>IF(OR($K9="",$L9=""),"",IF(NETWORKDAYS(BB$5,BB$5,休日)=0,"",IF(AND(BB$5&gt;=$K9,BB$5&lt;=$L9),IF(NETWORKDAYS($K9,BB$5,休日)=1,"○",IF(NETWORKDAYS(BB$5,$L9,休日)=1,"▶","→")),"")))</f>
        <v/>
      </c>
      <c r="BC9" s="116">
        <f>IF(OR($K9="",$L9=""),"",IF(NETWORKDAYS(BC$5,BC$5,休日)=0,"",IF(AND(BC$5&gt;=$K9,BC$5&lt;=$L9),IF(NETWORKDAYS($K9,BC$5,休日)=1,"○",IF(NETWORKDAYS(BC$5,$L9,休日)=1,"▶","→")),"")))</f>
        <v/>
      </c>
      <c r="BD9" s="116">
        <f>IF(OR($K9="",$L9=""),"",IF(NETWORKDAYS(BD$5,BD$5,休日)=0,"",IF(AND(BD$5&gt;=$K9,BD$5&lt;=$L9),IF(NETWORKDAYS($K9,BD$5,休日)=1,"○",IF(NETWORKDAYS(BD$5,$L9,休日)=1,"▶","→")),"")))</f>
        <v/>
      </c>
      <c r="BE9" s="116">
        <f>IF(OR($K9="",$L9=""),"",IF(NETWORKDAYS(BE$5,BE$5,休日)=0,"",IF(AND(BE$5&gt;=$K9,BE$5&lt;=$L9),IF(NETWORKDAYS($K9,BE$5,休日)=1,"○",IF(NETWORKDAYS(BE$5,$L9,休日)=1,"▶","→")),"")))</f>
        <v/>
      </c>
      <c r="BF9" s="116">
        <f>IF(OR($K9="",$L9=""),"",IF(NETWORKDAYS(BF$5,BF$5,休日)=0,"",IF(AND(BF$5&gt;=$K9,BF$5&lt;=$L9),IF(NETWORKDAYS($K9,BF$5,休日)=1,"○",IF(NETWORKDAYS(BF$5,$L9,休日)=1,"▶","→")),"")))</f>
        <v/>
      </c>
      <c r="BG9" s="116">
        <f>IF(OR($K9="",$L9=""),"",IF(NETWORKDAYS(BG$5,BG$5,休日)=0,"",IF(AND(BG$5&gt;=$K9,BG$5&lt;=$L9),IF(NETWORKDAYS($K9,BG$5,休日)=1,"○",IF(NETWORKDAYS(BG$5,$L9,休日)=1,"▶","→")),"")))</f>
        <v/>
      </c>
      <c r="BH9" s="116">
        <f>IF(OR($K9="",$L9=""),"",IF(NETWORKDAYS(BH$5,BH$5,休日)=0,"",IF(AND(BH$5&gt;=$K9,BH$5&lt;=$L9),IF(NETWORKDAYS($K9,BH$5,休日)=1,"○",IF(NETWORKDAYS(BH$5,$L9,休日)=1,"▶","→")),"")))</f>
        <v/>
      </c>
      <c r="BI9" s="116">
        <f>IF(OR($K9="",$L9=""),"",IF(NETWORKDAYS(BI$5,BI$5,休日)=0,"",IF(AND(BI$5&gt;=$K9,BI$5&lt;=$L9),IF(NETWORKDAYS($K9,BI$5,休日)=1,"○",IF(NETWORKDAYS(BI$5,$L9,休日)=1,"▶","→")),"")))</f>
        <v/>
      </c>
      <c r="BJ9" s="116">
        <f>IF(OR($K9="",$L9=""),"",IF(NETWORKDAYS(BJ$5,BJ$5,休日)=0,"",IF(AND(BJ$5&gt;=$K9,BJ$5&lt;=$L9),IF(NETWORKDAYS($K9,BJ$5,休日)=1,"○",IF(NETWORKDAYS(BJ$5,$L9,休日)=1,"▶","→")),"")))</f>
        <v/>
      </c>
      <c r="BK9" s="116">
        <f>IF(OR($K9="",$L9=""),"",IF(NETWORKDAYS(BK$5,BK$5,休日)=0,"",IF(AND(BK$5&gt;=$K9,BK$5&lt;=$L9),IF(NETWORKDAYS($K9,BK$5,休日)=1,"○",IF(NETWORKDAYS(BK$5,$L9,休日)=1,"▶","→")),"")))</f>
        <v/>
      </c>
      <c r="BL9" s="116">
        <f>IF(OR($K9="",$L9=""),"",IF(NETWORKDAYS(BL$5,BL$5,休日)=0,"",IF(AND(BL$5&gt;=$K9,BL$5&lt;=$L9),IF(NETWORKDAYS($K9,BL$5,休日)=1,"○",IF(NETWORKDAYS(BL$5,$L9,休日)=1,"▶","→")),"")))</f>
        <v/>
      </c>
      <c r="BM9" s="116">
        <f>IF(OR($K9="",$L9=""),"",IF(NETWORKDAYS(BM$5,BM$5,休日)=0,"",IF(AND(BM$5&gt;=$K9,BM$5&lt;=$L9),IF(NETWORKDAYS($K9,BM$5,休日)=1,"○",IF(NETWORKDAYS(BM$5,$L9,休日)=1,"▶","→")),"")))</f>
        <v/>
      </c>
      <c r="BN9" s="116">
        <f>IF(OR($K9="",$L9=""),"",IF(NETWORKDAYS(BN$5,BN$5,休日)=0,"",IF(AND(BN$5&gt;=$K9,BN$5&lt;=$L9),IF(NETWORKDAYS($K9,BN$5,休日)=1,"○",IF(NETWORKDAYS(BN$5,$L9,休日)=1,"▶","→")),"")))</f>
        <v/>
      </c>
      <c r="BO9" s="116">
        <f>IF(OR($K9="",$L9=""),"",IF(NETWORKDAYS(BO$5,BO$5,休日)=0,"",IF(AND(BO$5&gt;=$K9,BO$5&lt;=$L9),IF(NETWORKDAYS($K9,BO$5,休日)=1,"○",IF(NETWORKDAYS(BO$5,$L9,休日)=1,"▶","→")),"")))</f>
        <v/>
      </c>
      <c r="BP9" s="116">
        <f>IF(OR($K9="",$L9=""),"",IF(NETWORKDAYS(BP$5,BP$5,休日)=0,"",IF(AND(BP$5&gt;=$K9,BP$5&lt;=$L9),IF(NETWORKDAYS($K9,BP$5,休日)=1,"○",IF(NETWORKDAYS(BP$5,$L9,休日)=1,"▶","→")),"")))</f>
        <v/>
      </c>
      <c r="BQ9" s="116">
        <f>IF(OR($K9="",$L9=""),"",IF(NETWORKDAYS(BQ$5,BQ$5,休日)=0,"",IF(AND(BQ$5&gt;=$K9,BQ$5&lt;=$L9),IF(NETWORKDAYS($K9,BQ$5,休日)=1,"○",IF(NETWORKDAYS(BQ$5,$L9,休日)=1,"▶","→")),"")))</f>
        <v/>
      </c>
      <c r="BR9" s="116">
        <f>IF(OR($K9="",$L9=""),"",IF(NETWORKDAYS(BR$5,BR$5,休日)=0,"",IF(AND(BR$5&gt;=$K9,BR$5&lt;=$L9),IF(NETWORKDAYS($K9,BR$5,休日)=1,"○",IF(NETWORKDAYS(BR$5,$L9,休日)=1,"▶","→")),"")))</f>
        <v/>
      </c>
      <c r="BS9" s="116">
        <f>IF(OR($K9="",$L9=""),"",IF(NETWORKDAYS(BS$5,BS$5,休日)=0,"",IF(AND(BS$5&gt;=$K9,BS$5&lt;=$L9),IF(NETWORKDAYS($K9,BS$5,休日)=1,"○",IF(NETWORKDAYS(BS$5,$L9,休日)=1,"▶","→")),"")))</f>
        <v/>
      </c>
      <c r="BT9" s="116">
        <f>IF(OR($K9="",$L9=""),"",IF(NETWORKDAYS(BT$5,BT$5,休日)=0,"",IF(AND(BT$5&gt;=$K9,BT$5&lt;=$L9),IF(NETWORKDAYS($K9,BT$5,休日)=1,"○",IF(NETWORKDAYS(BT$5,$L9,休日)=1,"▶","→")),"")))</f>
        <v/>
      </c>
      <c r="BU9" s="116">
        <f>IF(OR($K9="",$L9=""),"",IF(NETWORKDAYS(BU$5,BU$5,休日)=0,"",IF(AND(BU$5&gt;=$K9,BU$5&lt;=$L9),IF(NETWORKDAYS($K9,BU$5,休日)=1,"○",IF(NETWORKDAYS(BU$5,$L9,休日)=1,"▶","→")),"")))</f>
        <v/>
      </c>
      <c r="BV9" s="116">
        <f>IF(OR($K9="",$L9=""),"",IF(NETWORKDAYS(BV$5,BV$5,休日)=0,"",IF(AND(BV$5&gt;=$K9,BV$5&lt;=$L9),IF(NETWORKDAYS($K9,BV$5,休日)=1,"○",IF(NETWORKDAYS(BV$5,$L9,休日)=1,"▶","→")),"")))</f>
        <v/>
      </c>
      <c r="BW9" s="116">
        <f>IF(OR($K9="",$L9=""),"",IF(NETWORKDAYS(BW$5,BW$5,休日)=0,"",IF(AND(BW$5&gt;=$K9,BW$5&lt;=$L9),IF(NETWORKDAYS($K9,BW$5,休日)=1,"○",IF(NETWORKDAYS(BW$5,$L9,休日)=1,"▶","→")),"")))</f>
        <v/>
      </c>
      <c r="BX9" s="116">
        <f>IF(OR($K9="",$L9=""),"",IF(NETWORKDAYS(BX$5,BX$5,休日)=0,"",IF(AND(BX$5&gt;=$K9,BX$5&lt;=$L9),IF(NETWORKDAYS($K9,BX$5,休日)=1,"○",IF(NETWORKDAYS(BX$5,$L9,休日)=1,"▶","→")),"")))</f>
        <v/>
      </c>
      <c r="BY9" s="116">
        <f>IF(OR($K9="",$L9=""),"",IF(NETWORKDAYS(BY$5,BY$5,休日)=0,"",IF(AND(BY$5&gt;=$K9,BY$5&lt;=$L9),IF(NETWORKDAYS($K9,BY$5,休日)=1,"○",IF(NETWORKDAYS(BY$5,$L9,休日)=1,"▶","→")),"")))</f>
        <v/>
      </c>
      <c r="BZ9" s="116">
        <f>IF(OR($K9="",$L9=""),"",IF(NETWORKDAYS(BZ$5,BZ$5,休日)=0,"",IF(AND(BZ$5&gt;=$K9,BZ$5&lt;=$L9),IF(NETWORKDAYS($K9,BZ$5,休日)=1,"○",IF(NETWORKDAYS(BZ$5,$L9,休日)=1,"▶","→")),"")))</f>
        <v/>
      </c>
      <c r="CA9" s="116">
        <f>IF(OR($K9="",$L9=""),"",IF(NETWORKDAYS(CA$5,CA$5,休日)=0,"",IF(AND(CA$5&gt;=$K9,CA$5&lt;=$L9),IF(NETWORKDAYS($K9,CA$5,休日)=1,"○",IF(NETWORKDAYS(CA$5,$L9,休日)=1,"▶","→")),"")))</f>
        <v/>
      </c>
      <c r="CB9" s="116">
        <f>IF(OR($K9="",$L9=""),"",IF(NETWORKDAYS(CB$5,CB$5,休日)=0,"",IF(AND(CB$5&gt;=$K9,CB$5&lt;=$L9),IF(NETWORKDAYS($K9,CB$5,休日)=1,"○",IF(NETWORKDAYS(CB$5,$L9,休日)=1,"▶","→")),"")))</f>
        <v/>
      </c>
      <c r="CC9" s="116">
        <f>IF(OR($K9="",$L9=""),"",IF(NETWORKDAYS(CC$5,CC$5,休日)=0,"",IF(AND(CC$5&gt;=$K9,CC$5&lt;=$L9),IF(NETWORKDAYS($K9,CC$5,休日)=1,"○",IF(NETWORKDAYS(CC$5,$L9,休日)=1,"▶","→")),"")))</f>
        <v/>
      </c>
      <c r="CD9" s="116">
        <f>IF(OR($K9="",$L9=""),"",IF(NETWORKDAYS(CD$5,CD$5,休日)=0,"",IF(AND(CD$5&gt;=$K9,CD$5&lt;=$L9),IF(NETWORKDAYS($K9,CD$5,休日)=1,"○",IF(NETWORKDAYS(CD$5,$L9,休日)=1,"▶","→")),"")))</f>
        <v/>
      </c>
      <c r="CE9" s="116">
        <f>IF(OR($K9="",$L9=""),"",IF(NETWORKDAYS(CE$5,CE$5,休日)=0,"",IF(AND(CE$5&gt;=$K9,CE$5&lt;=$L9),IF(NETWORKDAYS($K9,CE$5,休日)=1,"○",IF(NETWORKDAYS(CE$5,$L9,休日)=1,"▶","→")),"")))</f>
        <v/>
      </c>
      <c r="CF9" s="116">
        <f>IF(OR($K9="",$L9=""),"",IF(NETWORKDAYS(CF$5,CF$5,休日)=0,"",IF(AND(CF$5&gt;=$K9,CF$5&lt;=$L9),IF(NETWORKDAYS($K9,CF$5,休日)=1,"○",IF(NETWORKDAYS(CF$5,$L9,休日)=1,"▶","→")),"")))</f>
        <v/>
      </c>
      <c r="CG9" s="116">
        <f>IF(OR($K9="",$L9=""),"",IF(NETWORKDAYS(CG$5,CG$5,休日)=0,"",IF(AND(CG$5&gt;=$K9,CG$5&lt;=$L9),IF(NETWORKDAYS($K9,CG$5,休日)=1,"○",IF(NETWORKDAYS(CG$5,$L9,休日)=1,"▶","→")),"")))</f>
        <v/>
      </c>
      <c r="CH9" s="116">
        <f>IF(OR($K9="",$L9=""),"",IF(NETWORKDAYS(CH$5,CH$5,休日)=0,"",IF(AND(CH$5&gt;=$K9,CH$5&lt;=$L9),IF(NETWORKDAYS($K9,CH$5,休日)=1,"○",IF(NETWORKDAYS(CH$5,$L9,休日)=1,"▶","→")),"")))</f>
        <v/>
      </c>
      <c r="CI9" s="116">
        <f>IF(OR($K9="",$L9=""),"",IF(NETWORKDAYS(CI$5,CI$5,休日)=0,"",IF(AND(CI$5&gt;=$K9,CI$5&lt;=$L9),IF(NETWORKDAYS($K9,CI$5,休日)=1,"○",IF(NETWORKDAYS(CI$5,$L9,休日)=1,"▶","→")),"")))</f>
        <v/>
      </c>
      <c r="CJ9" s="116">
        <f>IF(OR($K9="",$L9=""),"",IF(NETWORKDAYS(CJ$5,CJ$5,休日)=0,"",IF(AND(CJ$5&gt;=$K9,CJ$5&lt;=$L9),IF(NETWORKDAYS($K9,CJ$5,休日)=1,"○",IF(NETWORKDAYS(CJ$5,$L9,休日)=1,"▶","→")),"")))</f>
        <v/>
      </c>
      <c r="CK9" s="116">
        <f>IF(OR($K9="",$L9=""),"",IF(NETWORKDAYS(CK$5,CK$5,休日)=0,"",IF(AND(CK$5&gt;=$K9,CK$5&lt;=$L9),IF(NETWORKDAYS($K9,CK$5,休日)=1,"○",IF(NETWORKDAYS(CK$5,$L9,休日)=1,"▶","→")),"")))</f>
        <v/>
      </c>
      <c r="CL9" s="116">
        <f>IF(OR($K9="",$L9=""),"",IF(NETWORKDAYS(CL$5,CL$5,休日)=0,"",IF(AND(CL$5&gt;=$K9,CL$5&lt;=$L9),IF(NETWORKDAYS($K9,CL$5,休日)=1,"○",IF(NETWORKDAYS(CL$5,$L9,休日)=1,"▶","→")),"")))</f>
        <v/>
      </c>
      <c r="CM9" s="116">
        <f>IF(OR($K9="",$L9=""),"",IF(NETWORKDAYS(CM$5,CM$5,休日)=0,"",IF(AND(CM$5&gt;=$K9,CM$5&lt;=$L9),IF(NETWORKDAYS($K9,CM$5,休日)=1,"○",IF(NETWORKDAYS(CM$5,$L9,休日)=1,"▶","→")),"")))</f>
        <v/>
      </c>
      <c r="CN9" s="116">
        <f>IF(OR($K9="",$L9=""),"",IF(NETWORKDAYS(CN$5,CN$5,休日)=0,"",IF(AND(CN$5&gt;=$K9,CN$5&lt;=$L9),IF(NETWORKDAYS($K9,CN$5,休日)=1,"○",IF(NETWORKDAYS(CN$5,$L9,休日)=1,"▶","→")),"")))</f>
        <v/>
      </c>
      <c r="CO9" s="116">
        <f>IF(OR($K9="",$L9=""),"",IF(NETWORKDAYS(CO$5,CO$5,休日)=0,"",IF(AND(CO$5&gt;=$K9,CO$5&lt;=$L9),IF(NETWORKDAYS($K9,CO$5,休日)=1,"○",IF(NETWORKDAYS(CO$5,$L9,休日)=1,"▶","→")),"")))</f>
        <v/>
      </c>
    </row>
    <row r="10" hidden="1" outlineLevel="1" ht="32" customHeight="1" s="98">
      <c r="A10" s="5" t="n"/>
      <c r="B10" s="100" t="inlineStr">
        <is>
          <t>1.3</t>
        </is>
      </c>
      <c r="C10" s="101" t="inlineStr">
        <is>
          <t>調査・Mapping</t>
        </is>
      </c>
      <c r="D10" s="101" t="inlineStr">
        <is>
          <t>調査・Mapping</t>
        </is>
      </c>
      <c r="E10" s="101" t="inlineStr">
        <is>
          <t>生鮮入荷予定　調査・Mapping</t>
        </is>
      </c>
      <c r="F10" s="101" t="inlineStr">
        <is>
          <t>生鮮入荷予定</t>
        </is>
      </c>
      <c r="G10" s="100" t="inlineStr">
        <is>
          <t>差分</t>
        </is>
      </c>
      <c r="H10" s="100" t="inlineStr">
        <is>
          <t>尹启林</t>
        </is>
      </c>
      <c r="I10" s="113" t="n">
        <v>5</v>
      </c>
      <c r="J10" s="100" t="inlineStr">
        <is>
          <t>高</t>
        </is>
      </c>
      <c r="K10" s="114" t="n">
        <v>46308</v>
      </c>
      <c r="L10" s="114" t="n">
        <v>46318</v>
      </c>
      <c r="M10" s="114" t="n"/>
      <c r="N10" s="114" t="n"/>
      <c r="O10" s="100" t="inlineStr">
        <is>
          <t>未着手</t>
        </is>
      </c>
      <c r="P10" s="115" t="n">
        <v>0</v>
      </c>
      <c r="Q10" s="100" t="inlineStr">
        <is>
          <t>－</t>
        </is>
      </c>
      <c r="R10" s="101" t="inlineStr">
        <is>
          <t>ファイル名の対照は nyuka_yotei.txt。PC/CKは別SQL（G②）</t>
        </is>
      </c>
      <c r="S10" s="116">
        <f>IF(OR($K10="",$L10=""),"",IF(NETWORKDAYS(S$5,S$5,休日)=0,"",IF(AND(S$5&gt;=$K10,S$5&lt;=$L10),IF(NETWORKDAYS($K10,S$5,休日)=1,"○",IF(NETWORKDAYS(S$5,$L10,休日)=1,"▶","→")),"")))</f>
        <v/>
      </c>
      <c r="T10" s="116">
        <f>IF(OR($K10="",$L10=""),"",IF(NETWORKDAYS(T$5,T$5,休日)=0,"",IF(AND(T$5&gt;=$K10,T$5&lt;=$L10),IF(NETWORKDAYS($K10,T$5,休日)=1,"○",IF(NETWORKDAYS(T$5,$L10,休日)=1,"▶","→")),"")))</f>
        <v/>
      </c>
      <c r="U10" s="116">
        <f>IF(OR($K10="",$L10=""),"",IF(NETWORKDAYS(U$5,U$5,休日)=0,"",IF(AND(U$5&gt;=$K10,U$5&lt;=$L10),IF(NETWORKDAYS($K10,U$5,休日)=1,"○",IF(NETWORKDAYS(U$5,$L10,休日)=1,"▶","→")),"")))</f>
        <v/>
      </c>
      <c r="V10" s="116">
        <f>IF(OR($K10="",$L10=""),"",IF(NETWORKDAYS(V$5,V$5,休日)=0,"",IF(AND(V$5&gt;=$K10,V$5&lt;=$L10),IF(NETWORKDAYS($K10,V$5,休日)=1,"○",IF(NETWORKDAYS(V$5,$L10,休日)=1,"▶","→")),"")))</f>
        <v/>
      </c>
      <c r="W10" s="116">
        <f>IF(OR($K10="",$L10=""),"",IF(NETWORKDAYS(W$5,W$5,休日)=0,"",IF(AND(W$5&gt;=$K10,W$5&lt;=$L10),IF(NETWORKDAYS($K10,W$5,休日)=1,"○",IF(NETWORKDAYS(W$5,$L10,休日)=1,"▶","→")),"")))</f>
        <v/>
      </c>
      <c r="X10" s="116">
        <f>IF(OR($K10="",$L10=""),"",IF(NETWORKDAYS(X$5,X$5,休日)=0,"",IF(AND(X$5&gt;=$K10,X$5&lt;=$L10),IF(NETWORKDAYS($K10,X$5,休日)=1,"○",IF(NETWORKDAYS(X$5,$L10,休日)=1,"▶","→")),"")))</f>
        <v/>
      </c>
      <c r="Y10" s="116">
        <f>IF(OR($K10="",$L10=""),"",IF(NETWORKDAYS(Y$5,Y$5,休日)=0,"",IF(AND(Y$5&gt;=$K10,Y$5&lt;=$L10),IF(NETWORKDAYS($K10,Y$5,休日)=1,"○",IF(NETWORKDAYS(Y$5,$L10,休日)=1,"▶","→")),"")))</f>
        <v/>
      </c>
      <c r="Z10" s="116">
        <f>IF(OR($K10="",$L10=""),"",IF(NETWORKDAYS(Z$5,Z$5,休日)=0,"",IF(AND(Z$5&gt;=$K10,Z$5&lt;=$L10),IF(NETWORKDAYS($K10,Z$5,休日)=1,"○",IF(NETWORKDAYS(Z$5,$L10,休日)=1,"▶","→")),"")))</f>
        <v/>
      </c>
      <c r="AA10" s="116">
        <f>IF(OR($K10="",$L10=""),"",IF(NETWORKDAYS(AA$5,AA$5,休日)=0,"",IF(AND(AA$5&gt;=$K10,AA$5&lt;=$L10),IF(NETWORKDAYS($K10,AA$5,休日)=1,"○",IF(NETWORKDAYS(AA$5,$L10,休日)=1,"▶","→")),"")))</f>
        <v/>
      </c>
      <c r="AB10" s="116">
        <f>IF(OR($K10="",$L10=""),"",IF(NETWORKDAYS(AB$5,AB$5,休日)=0,"",IF(AND(AB$5&gt;=$K10,AB$5&lt;=$L10),IF(NETWORKDAYS($K10,AB$5,休日)=1,"○",IF(NETWORKDAYS(AB$5,$L10,休日)=1,"▶","→")),"")))</f>
        <v/>
      </c>
      <c r="AC10" s="116">
        <f>IF(OR($K10="",$L10=""),"",IF(NETWORKDAYS(AC$5,AC$5,休日)=0,"",IF(AND(AC$5&gt;=$K10,AC$5&lt;=$L10),IF(NETWORKDAYS($K10,AC$5,休日)=1,"○",IF(NETWORKDAYS(AC$5,$L10,休日)=1,"▶","→")),"")))</f>
        <v/>
      </c>
      <c r="AD10" s="116">
        <f>IF(OR($K10="",$L10=""),"",IF(NETWORKDAYS(AD$5,AD$5,休日)=0,"",IF(AND(AD$5&gt;=$K10,AD$5&lt;=$L10),IF(NETWORKDAYS($K10,AD$5,休日)=1,"○",IF(NETWORKDAYS(AD$5,$L10,休日)=1,"▶","→")),"")))</f>
        <v/>
      </c>
      <c r="AE10" s="116">
        <f>IF(OR($K10="",$L10=""),"",IF(NETWORKDAYS(AE$5,AE$5,休日)=0,"",IF(AND(AE$5&gt;=$K10,AE$5&lt;=$L10),IF(NETWORKDAYS($K10,AE$5,休日)=1,"○",IF(NETWORKDAYS(AE$5,$L10,休日)=1,"▶","→")),"")))</f>
        <v/>
      </c>
      <c r="AF10" s="116">
        <f>IF(OR($K10="",$L10=""),"",IF(NETWORKDAYS(AF$5,AF$5,休日)=0,"",IF(AND(AF$5&gt;=$K10,AF$5&lt;=$L10),IF(NETWORKDAYS($K10,AF$5,休日)=1,"○",IF(NETWORKDAYS(AF$5,$L10,休日)=1,"▶","→")),"")))</f>
        <v/>
      </c>
      <c r="AG10" s="116">
        <f>IF(OR($K10="",$L10=""),"",IF(NETWORKDAYS(AG$5,AG$5,休日)=0,"",IF(AND(AG$5&gt;=$K10,AG$5&lt;=$L10),IF(NETWORKDAYS($K10,AG$5,休日)=1,"○",IF(NETWORKDAYS(AG$5,$L10,休日)=1,"▶","→")),"")))</f>
        <v/>
      </c>
      <c r="AH10" s="116">
        <f>IF(OR($K10="",$L10=""),"",IF(NETWORKDAYS(AH$5,AH$5,休日)=0,"",IF(AND(AH$5&gt;=$K10,AH$5&lt;=$L10),IF(NETWORKDAYS($K10,AH$5,休日)=1,"○",IF(NETWORKDAYS(AH$5,$L10,休日)=1,"▶","→")),"")))</f>
        <v/>
      </c>
      <c r="AI10" s="116">
        <f>IF(OR($K10="",$L10=""),"",IF(NETWORKDAYS(AI$5,AI$5,休日)=0,"",IF(AND(AI$5&gt;=$K10,AI$5&lt;=$L10),IF(NETWORKDAYS($K10,AI$5,休日)=1,"○",IF(NETWORKDAYS(AI$5,$L10,休日)=1,"▶","→")),"")))</f>
        <v/>
      </c>
      <c r="AJ10" s="116">
        <f>IF(OR($K10="",$L10=""),"",IF(NETWORKDAYS(AJ$5,AJ$5,休日)=0,"",IF(AND(AJ$5&gt;=$K10,AJ$5&lt;=$L10),IF(NETWORKDAYS($K10,AJ$5,休日)=1,"○",IF(NETWORKDAYS(AJ$5,$L10,休日)=1,"▶","→")),"")))</f>
        <v/>
      </c>
      <c r="AK10" s="116">
        <f>IF(OR($K10="",$L10=""),"",IF(NETWORKDAYS(AK$5,AK$5,休日)=0,"",IF(AND(AK$5&gt;=$K10,AK$5&lt;=$L10),IF(NETWORKDAYS($K10,AK$5,休日)=1,"○",IF(NETWORKDAYS(AK$5,$L10,休日)=1,"▶","→")),"")))</f>
        <v/>
      </c>
      <c r="AL10" s="116">
        <f>IF(OR($K10="",$L10=""),"",IF(NETWORKDAYS(AL$5,AL$5,休日)=0,"",IF(AND(AL$5&gt;=$K10,AL$5&lt;=$L10),IF(NETWORKDAYS($K10,AL$5,休日)=1,"○",IF(NETWORKDAYS(AL$5,$L10,休日)=1,"▶","→")),"")))</f>
        <v/>
      </c>
      <c r="AM10" s="116">
        <f>IF(OR($K10="",$L10=""),"",IF(NETWORKDAYS(AM$5,AM$5,休日)=0,"",IF(AND(AM$5&gt;=$K10,AM$5&lt;=$L10),IF(NETWORKDAYS($K10,AM$5,休日)=1,"○",IF(NETWORKDAYS(AM$5,$L10,休日)=1,"▶","→")),"")))</f>
        <v/>
      </c>
      <c r="AN10" s="116">
        <f>IF(OR($K10="",$L10=""),"",IF(NETWORKDAYS(AN$5,AN$5,休日)=0,"",IF(AND(AN$5&gt;=$K10,AN$5&lt;=$L10),IF(NETWORKDAYS($K10,AN$5,休日)=1,"○",IF(NETWORKDAYS(AN$5,$L10,休日)=1,"▶","→")),"")))</f>
        <v/>
      </c>
      <c r="AO10" s="116">
        <f>IF(OR($K10="",$L10=""),"",IF(NETWORKDAYS(AO$5,AO$5,休日)=0,"",IF(AND(AO$5&gt;=$K10,AO$5&lt;=$L10),IF(NETWORKDAYS($K10,AO$5,休日)=1,"○",IF(NETWORKDAYS(AO$5,$L10,休日)=1,"▶","→")),"")))</f>
        <v/>
      </c>
      <c r="AP10" s="116">
        <f>IF(OR($K10="",$L10=""),"",IF(NETWORKDAYS(AP$5,AP$5,休日)=0,"",IF(AND(AP$5&gt;=$K10,AP$5&lt;=$L10),IF(NETWORKDAYS($K10,AP$5,休日)=1,"○",IF(NETWORKDAYS(AP$5,$L10,休日)=1,"▶","→")),"")))</f>
        <v/>
      </c>
      <c r="AQ10" s="116">
        <f>IF(OR($K10="",$L10=""),"",IF(NETWORKDAYS(AQ$5,AQ$5,休日)=0,"",IF(AND(AQ$5&gt;=$K10,AQ$5&lt;=$L10),IF(NETWORKDAYS($K10,AQ$5,休日)=1,"○",IF(NETWORKDAYS(AQ$5,$L10,休日)=1,"▶","→")),"")))</f>
        <v/>
      </c>
      <c r="AR10" s="116">
        <f>IF(OR($K10="",$L10=""),"",IF(NETWORKDAYS(AR$5,AR$5,休日)=0,"",IF(AND(AR$5&gt;=$K10,AR$5&lt;=$L10),IF(NETWORKDAYS($K10,AR$5,休日)=1,"○",IF(NETWORKDAYS(AR$5,$L10,休日)=1,"▶","→")),"")))</f>
        <v/>
      </c>
      <c r="AS10" s="116">
        <f>IF(OR($K10="",$L10=""),"",IF(NETWORKDAYS(AS$5,AS$5,休日)=0,"",IF(AND(AS$5&gt;=$K10,AS$5&lt;=$L10),IF(NETWORKDAYS($K10,AS$5,休日)=1,"○",IF(NETWORKDAYS(AS$5,$L10,休日)=1,"▶","→")),"")))</f>
        <v/>
      </c>
      <c r="AT10" s="116">
        <f>IF(OR($K10="",$L10=""),"",IF(NETWORKDAYS(AT$5,AT$5,休日)=0,"",IF(AND(AT$5&gt;=$K10,AT$5&lt;=$L10),IF(NETWORKDAYS($K10,AT$5,休日)=1,"○",IF(NETWORKDAYS(AT$5,$L10,休日)=1,"▶","→")),"")))</f>
        <v/>
      </c>
      <c r="AU10" s="116">
        <f>IF(OR($K10="",$L10=""),"",IF(NETWORKDAYS(AU$5,AU$5,休日)=0,"",IF(AND(AU$5&gt;=$K10,AU$5&lt;=$L10),IF(NETWORKDAYS($K10,AU$5,休日)=1,"○",IF(NETWORKDAYS(AU$5,$L10,休日)=1,"▶","→")),"")))</f>
        <v/>
      </c>
      <c r="AV10" s="116">
        <f>IF(OR($K10="",$L10=""),"",IF(NETWORKDAYS(AV$5,AV$5,休日)=0,"",IF(AND(AV$5&gt;=$K10,AV$5&lt;=$L10),IF(NETWORKDAYS($K10,AV$5,休日)=1,"○",IF(NETWORKDAYS(AV$5,$L10,休日)=1,"▶","→")),"")))</f>
        <v/>
      </c>
      <c r="AW10" s="116">
        <f>IF(OR($K10="",$L10=""),"",IF(NETWORKDAYS(AW$5,AW$5,休日)=0,"",IF(AND(AW$5&gt;=$K10,AW$5&lt;=$L10),IF(NETWORKDAYS($K10,AW$5,休日)=1,"○",IF(NETWORKDAYS(AW$5,$L10,休日)=1,"▶","→")),"")))</f>
        <v/>
      </c>
      <c r="AX10" s="116">
        <f>IF(OR($K10="",$L10=""),"",IF(NETWORKDAYS(AX$5,AX$5,休日)=0,"",IF(AND(AX$5&gt;=$K10,AX$5&lt;=$L10),IF(NETWORKDAYS($K10,AX$5,休日)=1,"○",IF(NETWORKDAYS(AX$5,$L10,休日)=1,"▶","→")),"")))</f>
        <v/>
      </c>
      <c r="AY10" s="116">
        <f>IF(OR($K10="",$L10=""),"",IF(NETWORKDAYS(AY$5,AY$5,休日)=0,"",IF(AND(AY$5&gt;=$K10,AY$5&lt;=$L10),IF(NETWORKDAYS($K10,AY$5,休日)=1,"○",IF(NETWORKDAYS(AY$5,$L10,休日)=1,"▶","→")),"")))</f>
        <v/>
      </c>
      <c r="AZ10" s="116">
        <f>IF(OR($K10="",$L10=""),"",IF(NETWORKDAYS(AZ$5,AZ$5,休日)=0,"",IF(AND(AZ$5&gt;=$K10,AZ$5&lt;=$L10),IF(NETWORKDAYS($K10,AZ$5,休日)=1,"○",IF(NETWORKDAYS(AZ$5,$L10,休日)=1,"▶","→")),"")))</f>
        <v/>
      </c>
      <c r="BA10" s="116">
        <f>IF(OR($K10="",$L10=""),"",IF(NETWORKDAYS(BA$5,BA$5,休日)=0,"",IF(AND(BA$5&gt;=$K10,BA$5&lt;=$L10),IF(NETWORKDAYS($K10,BA$5,休日)=1,"○",IF(NETWORKDAYS(BA$5,$L10,休日)=1,"▶","→")),"")))</f>
        <v/>
      </c>
      <c r="BB10" s="116">
        <f>IF(OR($K10="",$L10=""),"",IF(NETWORKDAYS(BB$5,BB$5,休日)=0,"",IF(AND(BB$5&gt;=$K10,BB$5&lt;=$L10),IF(NETWORKDAYS($K10,BB$5,休日)=1,"○",IF(NETWORKDAYS(BB$5,$L10,休日)=1,"▶","→")),"")))</f>
        <v/>
      </c>
      <c r="BC10" s="116">
        <f>IF(OR($K10="",$L10=""),"",IF(NETWORKDAYS(BC$5,BC$5,休日)=0,"",IF(AND(BC$5&gt;=$K10,BC$5&lt;=$L10),IF(NETWORKDAYS($K10,BC$5,休日)=1,"○",IF(NETWORKDAYS(BC$5,$L10,休日)=1,"▶","→")),"")))</f>
        <v/>
      </c>
      <c r="BD10" s="116">
        <f>IF(OR($K10="",$L10=""),"",IF(NETWORKDAYS(BD$5,BD$5,休日)=0,"",IF(AND(BD$5&gt;=$K10,BD$5&lt;=$L10),IF(NETWORKDAYS($K10,BD$5,休日)=1,"○",IF(NETWORKDAYS(BD$5,$L10,休日)=1,"▶","→")),"")))</f>
        <v/>
      </c>
      <c r="BE10" s="116">
        <f>IF(OR($K10="",$L10=""),"",IF(NETWORKDAYS(BE$5,BE$5,休日)=0,"",IF(AND(BE$5&gt;=$K10,BE$5&lt;=$L10),IF(NETWORKDAYS($K10,BE$5,休日)=1,"○",IF(NETWORKDAYS(BE$5,$L10,休日)=1,"▶","→")),"")))</f>
        <v/>
      </c>
      <c r="BF10" s="116">
        <f>IF(OR($K10="",$L10=""),"",IF(NETWORKDAYS(BF$5,BF$5,休日)=0,"",IF(AND(BF$5&gt;=$K10,BF$5&lt;=$L10),IF(NETWORKDAYS($K10,BF$5,休日)=1,"○",IF(NETWORKDAYS(BF$5,$L10,休日)=1,"▶","→")),"")))</f>
        <v/>
      </c>
      <c r="BG10" s="116">
        <f>IF(OR($K10="",$L10=""),"",IF(NETWORKDAYS(BG$5,BG$5,休日)=0,"",IF(AND(BG$5&gt;=$K10,BG$5&lt;=$L10),IF(NETWORKDAYS($K10,BG$5,休日)=1,"○",IF(NETWORKDAYS(BG$5,$L10,休日)=1,"▶","→")),"")))</f>
        <v/>
      </c>
      <c r="BH10" s="116">
        <f>IF(OR($K10="",$L10=""),"",IF(NETWORKDAYS(BH$5,BH$5,休日)=0,"",IF(AND(BH$5&gt;=$K10,BH$5&lt;=$L10),IF(NETWORKDAYS($K10,BH$5,休日)=1,"○",IF(NETWORKDAYS(BH$5,$L10,休日)=1,"▶","→")),"")))</f>
        <v/>
      </c>
      <c r="BI10" s="116">
        <f>IF(OR($K10="",$L10=""),"",IF(NETWORKDAYS(BI$5,BI$5,休日)=0,"",IF(AND(BI$5&gt;=$K10,BI$5&lt;=$L10),IF(NETWORKDAYS($K10,BI$5,休日)=1,"○",IF(NETWORKDAYS(BI$5,$L10,休日)=1,"▶","→")),"")))</f>
        <v/>
      </c>
      <c r="BJ10" s="116">
        <f>IF(OR($K10="",$L10=""),"",IF(NETWORKDAYS(BJ$5,BJ$5,休日)=0,"",IF(AND(BJ$5&gt;=$K10,BJ$5&lt;=$L10),IF(NETWORKDAYS($K10,BJ$5,休日)=1,"○",IF(NETWORKDAYS(BJ$5,$L10,休日)=1,"▶","→")),"")))</f>
        <v/>
      </c>
      <c r="BK10" s="116">
        <f>IF(OR($K10="",$L10=""),"",IF(NETWORKDAYS(BK$5,BK$5,休日)=0,"",IF(AND(BK$5&gt;=$K10,BK$5&lt;=$L10),IF(NETWORKDAYS($K10,BK$5,休日)=1,"○",IF(NETWORKDAYS(BK$5,$L10,休日)=1,"▶","→")),"")))</f>
        <v/>
      </c>
      <c r="BL10" s="116">
        <f>IF(OR($K10="",$L10=""),"",IF(NETWORKDAYS(BL$5,BL$5,休日)=0,"",IF(AND(BL$5&gt;=$K10,BL$5&lt;=$L10),IF(NETWORKDAYS($K10,BL$5,休日)=1,"○",IF(NETWORKDAYS(BL$5,$L10,休日)=1,"▶","→")),"")))</f>
        <v/>
      </c>
      <c r="BM10" s="116">
        <f>IF(OR($K10="",$L10=""),"",IF(NETWORKDAYS(BM$5,BM$5,休日)=0,"",IF(AND(BM$5&gt;=$K10,BM$5&lt;=$L10),IF(NETWORKDAYS($K10,BM$5,休日)=1,"○",IF(NETWORKDAYS(BM$5,$L10,休日)=1,"▶","→")),"")))</f>
        <v/>
      </c>
      <c r="BN10" s="116">
        <f>IF(OR($K10="",$L10=""),"",IF(NETWORKDAYS(BN$5,BN$5,休日)=0,"",IF(AND(BN$5&gt;=$K10,BN$5&lt;=$L10),IF(NETWORKDAYS($K10,BN$5,休日)=1,"○",IF(NETWORKDAYS(BN$5,$L10,休日)=1,"▶","→")),"")))</f>
        <v/>
      </c>
      <c r="BO10" s="116">
        <f>IF(OR($K10="",$L10=""),"",IF(NETWORKDAYS(BO$5,BO$5,休日)=0,"",IF(AND(BO$5&gt;=$K10,BO$5&lt;=$L10),IF(NETWORKDAYS($K10,BO$5,休日)=1,"○",IF(NETWORKDAYS(BO$5,$L10,休日)=1,"▶","→")),"")))</f>
        <v/>
      </c>
      <c r="BP10" s="116">
        <f>IF(OR($K10="",$L10=""),"",IF(NETWORKDAYS(BP$5,BP$5,休日)=0,"",IF(AND(BP$5&gt;=$K10,BP$5&lt;=$L10),IF(NETWORKDAYS($K10,BP$5,休日)=1,"○",IF(NETWORKDAYS(BP$5,$L10,休日)=1,"▶","→")),"")))</f>
        <v/>
      </c>
      <c r="BQ10" s="116">
        <f>IF(OR($K10="",$L10=""),"",IF(NETWORKDAYS(BQ$5,BQ$5,休日)=0,"",IF(AND(BQ$5&gt;=$K10,BQ$5&lt;=$L10),IF(NETWORKDAYS($K10,BQ$5,休日)=1,"○",IF(NETWORKDAYS(BQ$5,$L10,休日)=1,"▶","→")),"")))</f>
        <v/>
      </c>
      <c r="BR10" s="116">
        <f>IF(OR($K10="",$L10=""),"",IF(NETWORKDAYS(BR$5,BR$5,休日)=0,"",IF(AND(BR$5&gt;=$K10,BR$5&lt;=$L10),IF(NETWORKDAYS($K10,BR$5,休日)=1,"○",IF(NETWORKDAYS(BR$5,$L10,休日)=1,"▶","→")),"")))</f>
        <v/>
      </c>
      <c r="BS10" s="116">
        <f>IF(OR($K10="",$L10=""),"",IF(NETWORKDAYS(BS$5,BS$5,休日)=0,"",IF(AND(BS$5&gt;=$K10,BS$5&lt;=$L10),IF(NETWORKDAYS($K10,BS$5,休日)=1,"○",IF(NETWORKDAYS(BS$5,$L10,休日)=1,"▶","→")),"")))</f>
        <v/>
      </c>
      <c r="BT10" s="116">
        <f>IF(OR($K10="",$L10=""),"",IF(NETWORKDAYS(BT$5,BT$5,休日)=0,"",IF(AND(BT$5&gt;=$K10,BT$5&lt;=$L10),IF(NETWORKDAYS($K10,BT$5,休日)=1,"○",IF(NETWORKDAYS(BT$5,$L10,休日)=1,"▶","→")),"")))</f>
        <v/>
      </c>
      <c r="BU10" s="116">
        <f>IF(OR($K10="",$L10=""),"",IF(NETWORKDAYS(BU$5,BU$5,休日)=0,"",IF(AND(BU$5&gt;=$K10,BU$5&lt;=$L10),IF(NETWORKDAYS($K10,BU$5,休日)=1,"○",IF(NETWORKDAYS(BU$5,$L10,休日)=1,"▶","→")),"")))</f>
        <v/>
      </c>
      <c r="BV10" s="116">
        <f>IF(OR($K10="",$L10=""),"",IF(NETWORKDAYS(BV$5,BV$5,休日)=0,"",IF(AND(BV$5&gt;=$K10,BV$5&lt;=$L10),IF(NETWORKDAYS($K10,BV$5,休日)=1,"○",IF(NETWORKDAYS(BV$5,$L10,休日)=1,"▶","→")),"")))</f>
        <v/>
      </c>
      <c r="BW10" s="116">
        <f>IF(OR($K10="",$L10=""),"",IF(NETWORKDAYS(BW$5,BW$5,休日)=0,"",IF(AND(BW$5&gt;=$K10,BW$5&lt;=$L10),IF(NETWORKDAYS($K10,BW$5,休日)=1,"○",IF(NETWORKDAYS(BW$5,$L10,休日)=1,"▶","→")),"")))</f>
        <v/>
      </c>
      <c r="BX10" s="116">
        <f>IF(OR($K10="",$L10=""),"",IF(NETWORKDAYS(BX$5,BX$5,休日)=0,"",IF(AND(BX$5&gt;=$K10,BX$5&lt;=$L10),IF(NETWORKDAYS($K10,BX$5,休日)=1,"○",IF(NETWORKDAYS(BX$5,$L10,休日)=1,"▶","→")),"")))</f>
        <v/>
      </c>
      <c r="BY10" s="116">
        <f>IF(OR($K10="",$L10=""),"",IF(NETWORKDAYS(BY$5,BY$5,休日)=0,"",IF(AND(BY$5&gt;=$K10,BY$5&lt;=$L10),IF(NETWORKDAYS($K10,BY$5,休日)=1,"○",IF(NETWORKDAYS(BY$5,$L10,休日)=1,"▶","→")),"")))</f>
        <v/>
      </c>
      <c r="BZ10" s="116">
        <f>IF(OR($K10="",$L10=""),"",IF(NETWORKDAYS(BZ$5,BZ$5,休日)=0,"",IF(AND(BZ$5&gt;=$K10,BZ$5&lt;=$L10),IF(NETWORKDAYS($K10,BZ$5,休日)=1,"○",IF(NETWORKDAYS(BZ$5,$L10,休日)=1,"▶","→")),"")))</f>
        <v/>
      </c>
      <c r="CA10" s="116">
        <f>IF(OR($K10="",$L10=""),"",IF(NETWORKDAYS(CA$5,CA$5,休日)=0,"",IF(AND(CA$5&gt;=$K10,CA$5&lt;=$L10),IF(NETWORKDAYS($K10,CA$5,休日)=1,"○",IF(NETWORKDAYS(CA$5,$L10,休日)=1,"▶","→")),"")))</f>
        <v/>
      </c>
      <c r="CB10" s="116">
        <f>IF(OR($K10="",$L10=""),"",IF(NETWORKDAYS(CB$5,CB$5,休日)=0,"",IF(AND(CB$5&gt;=$K10,CB$5&lt;=$L10),IF(NETWORKDAYS($K10,CB$5,休日)=1,"○",IF(NETWORKDAYS(CB$5,$L10,休日)=1,"▶","→")),"")))</f>
        <v/>
      </c>
      <c r="CC10" s="116">
        <f>IF(OR($K10="",$L10=""),"",IF(NETWORKDAYS(CC$5,CC$5,休日)=0,"",IF(AND(CC$5&gt;=$K10,CC$5&lt;=$L10),IF(NETWORKDAYS($K10,CC$5,休日)=1,"○",IF(NETWORKDAYS(CC$5,$L10,休日)=1,"▶","→")),"")))</f>
        <v/>
      </c>
      <c r="CD10" s="116">
        <f>IF(OR($K10="",$L10=""),"",IF(NETWORKDAYS(CD$5,CD$5,休日)=0,"",IF(AND(CD$5&gt;=$K10,CD$5&lt;=$L10),IF(NETWORKDAYS($K10,CD$5,休日)=1,"○",IF(NETWORKDAYS(CD$5,$L10,休日)=1,"▶","→")),"")))</f>
        <v/>
      </c>
      <c r="CE10" s="116">
        <f>IF(OR($K10="",$L10=""),"",IF(NETWORKDAYS(CE$5,CE$5,休日)=0,"",IF(AND(CE$5&gt;=$K10,CE$5&lt;=$L10),IF(NETWORKDAYS($K10,CE$5,休日)=1,"○",IF(NETWORKDAYS(CE$5,$L10,休日)=1,"▶","→")),"")))</f>
        <v/>
      </c>
      <c r="CF10" s="116">
        <f>IF(OR($K10="",$L10=""),"",IF(NETWORKDAYS(CF$5,CF$5,休日)=0,"",IF(AND(CF$5&gt;=$K10,CF$5&lt;=$L10),IF(NETWORKDAYS($K10,CF$5,休日)=1,"○",IF(NETWORKDAYS(CF$5,$L10,休日)=1,"▶","→")),"")))</f>
        <v/>
      </c>
      <c r="CG10" s="116">
        <f>IF(OR($K10="",$L10=""),"",IF(NETWORKDAYS(CG$5,CG$5,休日)=0,"",IF(AND(CG$5&gt;=$K10,CG$5&lt;=$L10),IF(NETWORKDAYS($K10,CG$5,休日)=1,"○",IF(NETWORKDAYS(CG$5,$L10,休日)=1,"▶","→")),"")))</f>
        <v/>
      </c>
      <c r="CH10" s="116">
        <f>IF(OR($K10="",$L10=""),"",IF(NETWORKDAYS(CH$5,CH$5,休日)=0,"",IF(AND(CH$5&gt;=$K10,CH$5&lt;=$L10),IF(NETWORKDAYS($K10,CH$5,休日)=1,"○",IF(NETWORKDAYS(CH$5,$L10,休日)=1,"▶","→")),"")))</f>
        <v/>
      </c>
      <c r="CI10" s="116">
        <f>IF(OR($K10="",$L10=""),"",IF(NETWORKDAYS(CI$5,CI$5,休日)=0,"",IF(AND(CI$5&gt;=$K10,CI$5&lt;=$L10),IF(NETWORKDAYS($K10,CI$5,休日)=1,"○",IF(NETWORKDAYS(CI$5,$L10,休日)=1,"▶","→")),"")))</f>
        <v/>
      </c>
      <c r="CJ10" s="116">
        <f>IF(OR($K10="",$L10=""),"",IF(NETWORKDAYS(CJ$5,CJ$5,休日)=0,"",IF(AND(CJ$5&gt;=$K10,CJ$5&lt;=$L10),IF(NETWORKDAYS($K10,CJ$5,休日)=1,"○",IF(NETWORKDAYS(CJ$5,$L10,休日)=1,"▶","→")),"")))</f>
        <v/>
      </c>
      <c r="CK10" s="116">
        <f>IF(OR($K10="",$L10=""),"",IF(NETWORKDAYS(CK$5,CK$5,休日)=0,"",IF(AND(CK$5&gt;=$K10,CK$5&lt;=$L10),IF(NETWORKDAYS($K10,CK$5,休日)=1,"○",IF(NETWORKDAYS(CK$5,$L10,休日)=1,"▶","→")),"")))</f>
        <v/>
      </c>
      <c r="CL10" s="116">
        <f>IF(OR($K10="",$L10=""),"",IF(NETWORKDAYS(CL$5,CL$5,休日)=0,"",IF(AND(CL$5&gt;=$K10,CL$5&lt;=$L10),IF(NETWORKDAYS($K10,CL$5,休日)=1,"○",IF(NETWORKDAYS(CL$5,$L10,休日)=1,"▶","→")),"")))</f>
        <v/>
      </c>
      <c r="CM10" s="116">
        <f>IF(OR($K10="",$L10=""),"",IF(NETWORKDAYS(CM$5,CM$5,休日)=0,"",IF(AND(CM$5&gt;=$K10,CM$5&lt;=$L10),IF(NETWORKDAYS($K10,CM$5,休日)=1,"○",IF(NETWORKDAYS(CM$5,$L10,休日)=1,"▶","→")),"")))</f>
        <v/>
      </c>
      <c r="CN10" s="116">
        <f>IF(OR($K10="",$L10=""),"",IF(NETWORKDAYS(CN$5,CN$5,休日)=0,"",IF(AND(CN$5&gt;=$K10,CN$5&lt;=$L10),IF(NETWORKDAYS($K10,CN$5,休日)=1,"○",IF(NETWORKDAYS(CN$5,$L10,休日)=1,"▶","→")),"")))</f>
        <v/>
      </c>
      <c r="CO10" s="116">
        <f>IF(OR($K10="",$L10=""),"",IF(NETWORKDAYS(CO$5,CO$5,休日)=0,"",IF(AND(CO$5&gt;=$K10,CO$5&lt;=$L10),IF(NETWORKDAYS($K10,CO$5,休日)=1,"○",IF(NETWORKDAYS(CO$5,$L10,休日)=1,"▶","→")),"")))</f>
        <v/>
      </c>
    </row>
    <row r="11" hidden="1" outlineLevel="1" ht="32" customHeight="1" s="98">
      <c r="A11" s="5" t="n"/>
      <c r="B11" s="100" t="inlineStr">
        <is>
          <t>1.4</t>
        </is>
      </c>
      <c r="C11" s="101" t="inlineStr">
        <is>
          <t>調査・Mapping</t>
        </is>
      </c>
      <c r="D11" s="101" t="inlineStr">
        <is>
          <t>調査・Mapping</t>
        </is>
      </c>
      <c r="E11" s="101" t="inlineStr">
        <is>
          <t>生鮮入荷実績　調査・Mapping</t>
        </is>
      </c>
      <c r="F11" s="101" t="inlineStr">
        <is>
          <t>生鮮入荷実績</t>
        </is>
      </c>
      <c r="G11" s="100" t="inlineStr">
        <is>
          <t>差分</t>
        </is>
      </c>
      <c r="H11" s="100" t="inlineStr">
        <is>
          <t>王静</t>
        </is>
      </c>
      <c r="I11" s="113" t="n">
        <v>4</v>
      </c>
      <c r="J11" s="100" t="inlineStr">
        <is>
          <t>中</t>
        </is>
      </c>
      <c r="K11" s="114" t="n">
        <v>46308</v>
      </c>
      <c r="L11" s="114" t="n">
        <v>46318</v>
      </c>
      <c r="M11" s="114" t="n"/>
      <c r="N11" s="114" t="n"/>
      <c r="O11" s="100" t="inlineStr">
        <is>
          <t>未着手</t>
        </is>
      </c>
      <c r="P11" s="115" t="n">
        <v>0</v>
      </c>
      <c r="Q11" s="100" t="inlineStr">
        <is>
          <t>－</t>
        </is>
      </c>
      <c r="R11" s="101" t="inlineStr">
        <is>
          <t>ファイル名の対照は nyuka.txt。伝票区分差分とPC/CK振替</t>
        </is>
      </c>
      <c r="S11" s="116">
        <f>IF(OR($K11="",$L11=""),"",IF(NETWORKDAYS(S$5,S$5,休日)=0,"",IF(AND(S$5&gt;=$K11,S$5&lt;=$L11),IF(NETWORKDAYS($K11,S$5,休日)=1,"○",IF(NETWORKDAYS(S$5,$L11,休日)=1,"▶","→")),"")))</f>
        <v/>
      </c>
      <c r="T11" s="116">
        <f>IF(OR($K11="",$L11=""),"",IF(NETWORKDAYS(T$5,T$5,休日)=0,"",IF(AND(T$5&gt;=$K11,T$5&lt;=$L11),IF(NETWORKDAYS($K11,T$5,休日)=1,"○",IF(NETWORKDAYS(T$5,$L11,休日)=1,"▶","→")),"")))</f>
        <v/>
      </c>
      <c r="U11" s="116">
        <f>IF(OR($K11="",$L11=""),"",IF(NETWORKDAYS(U$5,U$5,休日)=0,"",IF(AND(U$5&gt;=$K11,U$5&lt;=$L11),IF(NETWORKDAYS($K11,U$5,休日)=1,"○",IF(NETWORKDAYS(U$5,$L11,休日)=1,"▶","→")),"")))</f>
        <v/>
      </c>
      <c r="V11" s="116">
        <f>IF(OR($K11="",$L11=""),"",IF(NETWORKDAYS(V$5,V$5,休日)=0,"",IF(AND(V$5&gt;=$K11,V$5&lt;=$L11),IF(NETWORKDAYS($K11,V$5,休日)=1,"○",IF(NETWORKDAYS(V$5,$L11,休日)=1,"▶","→")),"")))</f>
        <v/>
      </c>
      <c r="W11" s="116">
        <f>IF(OR($K11="",$L11=""),"",IF(NETWORKDAYS(W$5,W$5,休日)=0,"",IF(AND(W$5&gt;=$K11,W$5&lt;=$L11),IF(NETWORKDAYS($K11,W$5,休日)=1,"○",IF(NETWORKDAYS(W$5,$L11,休日)=1,"▶","→")),"")))</f>
        <v/>
      </c>
      <c r="X11" s="116">
        <f>IF(OR($K11="",$L11=""),"",IF(NETWORKDAYS(X$5,X$5,休日)=0,"",IF(AND(X$5&gt;=$K11,X$5&lt;=$L11),IF(NETWORKDAYS($K11,X$5,休日)=1,"○",IF(NETWORKDAYS(X$5,$L11,休日)=1,"▶","→")),"")))</f>
        <v/>
      </c>
      <c r="Y11" s="116">
        <f>IF(OR($K11="",$L11=""),"",IF(NETWORKDAYS(Y$5,Y$5,休日)=0,"",IF(AND(Y$5&gt;=$K11,Y$5&lt;=$L11),IF(NETWORKDAYS($K11,Y$5,休日)=1,"○",IF(NETWORKDAYS(Y$5,$L11,休日)=1,"▶","→")),"")))</f>
        <v/>
      </c>
      <c r="Z11" s="116">
        <f>IF(OR($K11="",$L11=""),"",IF(NETWORKDAYS(Z$5,Z$5,休日)=0,"",IF(AND(Z$5&gt;=$K11,Z$5&lt;=$L11),IF(NETWORKDAYS($K11,Z$5,休日)=1,"○",IF(NETWORKDAYS(Z$5,$L11,休日)=1,"▶","→")),"")))</f>
        <v/>
      </c>
      <c r="AA11" s="116">
        <f>IF(OR($K11="",$L11=""),"",IF(NETWORKDAYS(AA$5,AA$5,休日)=0,"",IF(AND(AA$5&gt;=$K11,AA$5&lt;=$L11),IF(NETWORKDAYS($K11,AA$5,休日)=1,"○",IF(NETWORKDAYS(AA$5,$L11,休日)=1,"▶","→")),"")))</f>
        <v/>
      </c>
      <c r="AB11" s="116">
        <f>IF(OR($K11="",$L11=""),"",IF(NETWORKDAYS(AB$5,AB$5,休日)=0,"",IF(AND(AB$5&gt;=$K11,AB$5&lt;=$L11),IF(NETWORKDAYS($K11,AB$5,休日)=1,"○",IF(NETWORKDAYS(AB$5,$L11,休日)=1,"▶","→")),"")))</f>
        <v/>
      </c>
      <c r="AC11" s="116">
        <f>IF(OR($K11="",$L11=""),"",IF(NETWORKDAYS(AC$5,AC$5,休日)=0,"",IF(AND(AC$5&gt;=$K11,AC$5&lt;=$L11),IF(NETWORKDAYS($K11,AC$5,休日)=1,"○",IF(NETWORKDAYS(AC$5,$L11,休日)=1,"▶","→")),"")))</f>
        <v/>
      </c>
      <c r="AD11" s="116">
        <f>IF(OR($K11="",$L11=""),"",IF(NETWORKDAYS(AD$5,AD$5,休日)=0,"",IF(AND(AD$5&gt;=$K11,AD$5&lt;=$L11),IF(NETWORKDAYS($K11,AD$5,休日)=1,"○",IF(NETWORKDAYS(AD$5,$L11,休日)=1,"▶","→")),"")))</f>
        <v/>
      </c>
      <c r="AE11" s="116">
        <f>IF(OR($K11="",$L11=""),"",IF(NETWORKDAYS(AE$5,AE$5,休日)=0,"",IF(AND(AE$5&gt;=$K11,AE$5&lt;=$L11),IF(NETWORKDAYS($K11,AE$5,休日)=1,"○",IF(NETWORKDAYS(AE$5,$L11,休日)=1,"▶","→")),"")))</f>
        <v/>
      </c>
      <c r="AF11" s="116">
        <f>IF(OR($K11="",$L11=""),"",IF(NETWORKDAYS(AF$5,AF$5,休日)=0,"",IF(AND(AF$5&gt;=$K11,AF$5&lt;=$L11),IF(NETWORKDAYS($K11,AF$5,休日)=1,"○",IF(NETWORKDAYS(AF$5,$L11,休日)=1,"▶","→")),"")))</f>
        <v/>
      </c>
      <c r="AG11" s="116">
        <f>IF(OR($K11="",$L11=""),"",IF(NETWORKDAYS(AG$5,AG$5,休日)=0,"",IF(AND(AG$5&gt;=$K11,AG$5&lt;=$L11),IF(NETWORKDAYS($K11,AG$5,休日)=1,"○",IF(NETWORKDAYS(AG$5,$L11,休日)=1,"▶","→")),"")))</f>
        <v/>
      </c>
      <c r="AH11" s="116">
        <f>IF(OR($K11="",$L11=""),"",IF(NETWORKDAYS(AH$5,AH$5,休日)=0,"",IF(AND(AH$5&gt;=$K11,AH$5&lt;=$L11),IF(NETWORKDAYS($K11,AH$5,休日)=1,"○",IF(NETWORKDAYS(AH$5,$L11,休日)=1,"▶","→")),"")))</f>
        <v/>
      </c>
      <c r="AI11" s="116">
        <f>IF(OR($K11="",$L11=""),"",IF(NETWORKDAYS(AI$5,AI$5,休日)=0,"",IF(AND(AI$5&gt;=$K11,AI$5&lt;=$L11),IF(NETWORKDAYS($K11,AI$5,休日)=1,"○",IF(NETWORKDAYS(AI$5,$L11,休日)=1,"▶","→")),"")))</f>
        <v/>
      </c>
      <c r="AJ11" s="116">
        <f>IF(OR($K11="",$L11=""),"",IF(NETWORKDAYS(AJ$5,AJ$5,休日)=0,"",IF(AND(AJ$5&gt;=$K11,AJ$5&lt;=$L11),IF(NETWORKDAYS($K11,AJ$5,休日)=1,"○",IF(NETWORKDAYS(AJ$5,$L11,休日)=1,"▶","→")),"")))</f>
        <v/>
      </c>
      <c r="AK11" s="116">
        <f>IF(OR($K11="",$L11=""),"",IF(NETWORKDAYS(AK$5,AK$5,休日)=0,"",IF(AND(AK$5&gt;=$K11,AK$5&lt;=$L11),IF(NETWORKDAYS($K11,AK$5,休日)=1,"○",IF(NETWORKDAYS(AK$5,$L11,休日)=1,"▶","→")),"")))</f>
        <v/>
      </c>
      <c r="AL11" s="116">
        <f>IF(OR($K11="",$L11=""),"",IF(NETWORKDAYS(AL$5,AL$5,休日)=0,"",IF(AND(AL$5&gt;=$K11,AL$5&lt;=$L11),IF(NETWORKDAYS($K11,AL$5,休日)=1,"○",IF(NETWORKDAYS(AL$5,$L11,休日)=1,"▶","→")),"")))</f>
        <v/>
      </c>
      <c r="AM11" s="116">
        <f>IF(OR($K11="",$L11=""),"",IF(NETWORKDAYS(AM$5,AM$5,休日)=0,"",IF(AND(AM$5&gt;=$K11,AM$5&lt;=$L11),IF(NETWORKDAYS($K11,AM$5,休日)=1,"○",IF(NETWORKDAYS(AM$5,$L11,休日)=1,"▶","→")),"")))</f>
        <v/>
      </c>
      <c r="AN11" s="116">
        <f>IF(OR($K11="",$L11=""),"",IF(NETWORKDAYS(AN$5,AN$5,休日)=0,"",IF(AND(AN$5&gt;=$K11,AN$5&lt;=$L11),IF(NETWORKDAYS($K11,AN$5,休日)=1,"○",IF(NETWORKDAYS(AN$5,$L11,休日)=1,"▶","→")),"")))</f>
        <v/>
      </c>
      <c r="AO11" s="116">
        <f>IF(OR($K11="",$L11=""),"",IF(NETWORKDAYS(AO$5,AO$5,休日)=0,"",IF(AND(AO$5&gt;=$K11,AO$5&lt;=$L11),IF(NETWORKDAYS($K11,AO$5,休日)=1,"○",IF(NETWORKDAYS(AO$5,$L11,休日)=1,"▶","→")),"")))</f>
        <v/>
      </c>
      <c r="AP11" s="116">
        <f>IF(OR($K11="",$L11=""),"",IF(NETWORKDAYS(AP$5,AP$5,休日)=0,"",IF(AND(AP$5&gt;=$K11,AP$5&lt;=$L11),IF(NETWORKDAYS($K11,AP$5,休日)=1,"○",IF(NETWORKDAYS(AP$5,$L11,休日)=1,"▶","→")),"")))</f>
        <v/>
      </c>
      <c r="AQ11" s="116">
        <f>IF(OR($K11="",$L11=""),"",IF(NETWORKDAYS(AQ$5,AQ$5,休日)=0,"",IF(AND(AQ$5&gt;=$K11,AQ$5&lt;=$L11),IF(NETWORKDAYS($K11,AQ$5,休日)=1,"○",IF(NETWORKDAYS(AQ$5,$L11,休日)=1,"▶","→")),"")))</f>
        <v/>
      </c>
      <c r="AR11" s="116">
        <f>IF(OR($K11="",$L11=""),"",IF(NETWORKDAYS(AR$5,AR$5,休日)=0,"",IF(AND(AR$5&gt;=$K11,AR$5&lt;=$L11),IF(NETWORKDAYS($K11,AR$5,休日)=1,"○",IF(NETWORKDAYS(AR$5,$L11,休日)=1,"▶","→")),"")))</f>
        <v/>
      </c>
      <c r="AS11" s="116">
        <f>IF(OR($K11="",$L11=""),"",IF(NETWORKDAYS(AS$5,AS$5,休日)=0,"",IF(AND(AS$5&gt;=$K11,AS$5&lt;=$L11),IF(NETWORKDAYS($K11,AS$5,休日)=1,"○",IF(NETWORKDAYS(AS$5,$L11,休日)=1,"▶","→")),"")))</f>
        <v/>
      </c>
      <c r="AT11" s="116">
        <f>IF(OR($K11="",$L11=""),"",IF(NETWORKDAYS(AT$5,AT$5,休日)=0,"",IF(AND(AT$5&gt;=$K11,AT$5&lt;=$L11),IF(NETWORKDAYS($K11,AT$5,休日)=1,"○",IF(NETWORKDAYS(AT$5,$L11,休日)=1,"▶","→")),"")))</f>
        <v/>
      </c>
      <c r="AU11" s="116">
        <f>IF(OR($K11="",$L11=""),"",IF(NETWORKDAYS(AU$5,AU$5,休日)=0,"",IF(AND(AU$5&gt;=$K11,AU$5&lt;=$L11),IF(NETWORKDAYS($K11,AU$5,休日)=1,"○",IF(NETWORKDAYS(AU$5,$L11,休日)=1,"▶","→")),"")))</f>
        <v/>
      </c>
      <c r="AV11" s="116">
        <f>IF(OR($K11="",$L11=""),"",IF(NETWORKDAYS(AV$5,AV$5,休日)=0,"",IF(AND(AV$5&gt;=$K11,AV$5&lt;=$L11),IF(NETWORKDAYS($K11,AV$5,休日)=1,"○",IF(NETWORKDAYS(AV$5,$L11,休日)=1,"▶","→")),"")))</f>
        <v/>
      </c>
      <c r="AW11" s="116">
        <f>IF(OR($K11="",$L11=""),"",IF(NETWORKDAYS(AW$5,AW$5,休日)=0,"",IF(AND(AW$5&gt;=$K11,AW$5&lt;=$L11),IF(NETWORKDAYS($K11,AW$5,休日)=1,"○",IF(NETWORKDAYS(AW$5,$L11,休日)=1,"▶","→")),"")))</f>
        <v/>
      </c>
      <c r="AX11" s="116">
        <f>IF(OR($K11="",$L11=""),"",IF(NETWORKDAYS(AX$5,AX$5,休日)=0,"",IF(AND(AX$5&gt;=$K11,AX$5&lt;=$L11),IF(NETWORKDAYS($K11,AX$5,休日)=1,"○",IF(NETWORKDAYS(AX$5,$L11,休日)=1,"▶","→")),"")))</f>
        <v/>
      </c>
      <c r="AY11" s="116">
        <f>IF(OR($K11="",$L11=""),"",IF(NETWORKDAYS(AY$5,AY$5,休日)=0,"",IF(AND(AY$5&gt;=$K11,AY$5&lt;=$L11),IF(NETWORKDAYS($K11,AY$5,休日)=1,"○",IF(NETWORKDAYS(AY$5,$L11,休日)=1,"▶","→")),"")))</f>
        <v/>
      </c>
      <c r="AZ11" s="116">
        <f>IF(OR($K11="",$L11=""),"",IF(NETWORKDAYS(AZ$5,AZ$5,休日)=0,"",IF(AND(AZ$5&gt;=$K11,AZ$5&lt;=$L11),IF(NETWORKDAYS($K11,AZ$5,休日)=1,"○",IF(NETWORKDAYS(AZ$5,$L11,休日)=1,"▶","→")),"")))</f>
        <v/>
      </c>
      <c r="BA11" s="116">
        <f>IF(OR($K11="",$L11=""),"",IF(NETWORKDAYS(BA$5,BA$5,休日)=0,"",IF(AND(BA$5&gt;=$K11,BA$5&lt;=$L11),IF(NETWORKDAYS($K11,BA$5,休日)=1,"○",IF(NETWORKDAYS(BA$5,$L11,休日)=1,"▶","→")),"")))</f>
        <v/>
      </c>
      <c r="BB11" s="116">
        <f>IF(OR($K11="",$L11=""),"",IF(NETWORKDAYS(BB$5,BB$5,休日)=0,"",IF(AND(BB$5&gt;=$K11,BB$5&lt;=$L11),IF(NETWORKDAYS($K11,BB$5,休日)=1,"○",IF(NETWORKDAYS(BB$5,$L11,休日)=1,"▶","→")),"")))</f>
        <v/>
      </c>
      <c r="BC11" s="116">
        <f>IF(OR($K11="",$L11=""),"",IF(NETWORKDAYS(BC$5,BC$5,休日)=0,"",IF(AND(BC$5&gt;=$K11,BC$5&lt;=$L11),IF(NETWORKDAYS($K11,BC$5,休日)=1,"○",IF(NETWORKDAYS(BC$5,$L11,休日)=1,"▶","→")),"")))</f>
        <v/>
      </c>
      <c r="BD11" s="116">
        <f>IF(OR($K11="",$L11=""),"",IF(NETWORKDAYS(BD$5,BD$5,休日)=0,"",IF(AND(BD$5&gt;=$K11,BD$5&lt;=$L11),IF(NETWORKDAYS($K11,BD$5,休日)=1,"○",IF(NETWORKDAYS(BD$5,$L11,休日)=1,"▶","→")),"")))</f>
        <v/>
      </c>
      <c r="BE11" s="116">
        <f>IF(OR($K11="",$L11=""),"",IF(NETWORKDAYS(BE$5,BE$5,休日)=0,"",IF(AND(BE$5&gt;=$K11,BE$5&lt;=$L11),IF(NETWORKDAYS($K11,BE$5,休日)=1,"○",IF(NETWORKDAYS(BE$5,$L11,休日)=1,"▶","→")),"")))</f>
        <v/>
      </c>
      <c r="BF11" s="116">
        <f>IF(OR($K11="",$L11=""),"",IF(NETWORKDAYS(BF$5,BF$5,休日)=0,"",IF(AND(BF$5&gt;=$K11,BF$5&lt;=$L11),IF(NETWORKDAYS($K11,BF$5,休日)=1,"○",IF(NETWORKDAYS(BF$5,$L11,休日)=1,"▶","→")),"")))</f>
        <v/>
      </c>
      <c r="BG11" s="116">
        <f>IF(OR($K11="",$L11=""),"",IF(NETWORKDAYS(BG$5,BG$5,休日)=0,"",IF(AND(BG$5&gt;=$K11,BG$5&lt;=$L11),IF(NETWORKDAYS($K11,BG$5,休日)=1,"○",IF(NETWORKDAYS(BG$5,$L11,休日)=1,"▶","→")),"")))</f>
        <v/>
      </c>
      <c r="BH11" s="116">
        <f>IF(OR($K11="",$L11=""),"",IF(NETWORKDAYS(BH$5,BH$5,休日)=0,"",IF(AND(BH$5&gt;=$K11,BH$5&lt;=$L11),IF(NETWORKDAYS($K11,BH$5,休日)=1,"○",IF(NETWORKDAYS(BH$5,$L11,休日)=1,"▶","→")),"")))</f>
        <v/>
      </c>
      <c r="BI11" s="116">
        <f>IF(OR($K11="",$L11=""),"",IF(NETWORKDAYS(BI$5,BI$5,休日)=0,"",IF(AND(BI$5&gt;=$K11,BI$5&lt;=$L11),IF(NETWORKDAYS($K11,BI$5,休日)=1,"○",IF(NETWORKDAYS(BI$5,$L11,休日)=1,"▶","→")),"")))</f>
        <v/>
      </c>
      <c r="BJ11" s="116">
        <f>IF(OR($K11="",$L11=""),"",IF(NETWORKDAYS(BJ$5,BJ$5,休日)=0,"",IF(AND(BJ$5&gt;=$K11,BJ$5&lt;=$L11),IF(NETWORKDAYS($K11,BJ$5,休日)=1,"○",IF(NETWORKDAYS(BJ$5,$L11,休日)=1,"▶","→")),"")))</f>
        <v/>
      </c>
      <c r="BK11" s="116">
        <f>IF(OR($K11="",$L11=""),"",IF(NETWORKDAYS(BK$5,BK$5,休日)=0,"",IF(AND(BK$5&gt;=$K11,BK$5&lt;=$L11),IF(NETWORKDAYS($K11,BK$5,休日)=1,"○",IF(NETWORKDAYS(BK$5,$L11,休日)=1,"▶","→")),"")))</f>
        <v/>
      </c>
      <c r="BL11" s="116">
        <f>IF(OR($K11="",$L11=""),"",IF(NETWORKDAYS(BL$5,BL$5,休日)=0,"",IF(AND(BL$5&gt;=$K11,BL$5&lt;=$L11),IF(NETWORKDAYS($K11,BL$5,休日)=1,"○",IF(NETWORKDAYS(BL$5,$L11,休日)=1,"▶","→")),"")))</f>
        <v/>
      </c>
      <c r="BM11" s="116">
        <f>IF(OR($K11="",$L11=""),"",IF(NETWORKDAYS(BM$5,BM$5,休日)=0,"",IF(AND(BM$5&gt;=$K11,BM$5&lt;=$L11),IF(NETWORKDAYS($K11,BM$5,休日)=1,"○",IF(NETWORKDAYS(BM$5,$L11,休日)=1,"▶","→")),"")))</f>
        <v/>
      </c>
      <c r="BN11" s="116">
        <f>IF(OR($K11="",$L11=""),"",IF(NETWORKDAYS(BN$5,BN$5,休日)=0,"",IF(AND(BN$5&gt;=$K11,BN$5&lt;=$L11),IF(NETWORKDAYS($K11,BN$5,休日)=1,"○",IF(NETWORKDAYS(BN$5,$L11,休日)=1,"▶","→")),"")))</f>
        <v/>
      </c>
      <c r="BO11" s="116">
        <f>IF(OR($K11="",$L11=""),"",IF(NETWORKDAYS(BO$5,BO$5,休日)=0,"",IF(AND(BO$5&gt;=$K11,BO$5&lt;=$L11),IF(NETWORKDAYS($K11,BO$5,休日)=1,"○",IF(NETWORKDAYS(BO$5,$L11,休日)=1,"▶","→")),"")))</f>
        <v/>
      </c>
      <c r="BP11" s="116">
        <f>IF(OR($K11="",$L11=""),"",IF(NETWORKDAYS(BP$5,BP$5,休日)=0,"",IF(AND(BP$5&gt;=$K11,BP$5&lt;=$L11),IF(NETWORKDAYS($K11,BP$5,休日)=1,"○",IF(NETWORKDAYS(BP$5,$L11,休日)=1,"▶","→")),"")))</f>
        <v/>
      </c>
      <c r="BQ11" s="116">
        <f>IF(OR($K11="",$L11=""),"",IF(NETWORKDAYS(BQ$5,BQ$5,休日)=0,"",IF(AND(BQ$5&gt;=$K11,BQ$5&lt;=$L11),IF(NETWORKDAYS($K11,BQ$5,休日)=1,"○",IF(NETWORKDAYS(BQ$5,$L11,休日)=1,"▶","→")),"")))</f>
        <v/>
      </c>
      <c r="BR11" s="116">
        <f>IF(OR($K11="",$L11=""),"",IF(NETWORKDAYS(BR$5,BR$5,休日)=0,"",IF(AND(BR$5&gt;=$K11,BR$5&lt;=$L11),IF(NETWORKDAYS($K11,BR$5,休日)=1,"○",IF(NETWORKDAYS(BR$5,$L11,休日)=1,"▶","→")),"")))</f>
        <v/>
      </c>
      <c r="BS11" s="116">
        <f>IF(OR($K11="",$L11=""),"",IF(NETWORKDAYS(BS$5,BS$5,休日)=0,"",IF(AND(BS$5&gt;=$K11,BS$5&lt;=$L11),IF(NETWORKDAYS($K11,BS$5,休日)=1,"○",IF(NETWORKDAYS(BS$5,$L11,休日)=1,"▶","→")),"")))</f>
        <v/>
      </c>
      <c r="BT11" s="116">
        <f>IF(OR($K11="",$L11=""),"",IF(NETWORKDAYS(BT$5,BT$5,休日)=0,"",IF(AND(BT$5&gt;=$K11,BT$5&lt;=$L11),IF(NETWORKDAYS($K11,BT$5,休日)=1,"○",IF(NETWORKDAYS(BT$5,$L11,休日)=1,"▶","→")),"")))</f>
        <v/>
      </c>
      <c r="BU11" s="116">
        <f>IF(OR($K11="",$L11=""),"",IF(NETWORKDAYS(BU$5,BU$5,休日)=0,"",IF(AND(BU$5&gt;=$K11,BU$5&lt;=$L11),IF(NETWORKDAYS($K11,BU$5,休日)=1,"○",IF(NETWORKDAYS(BU$5,$L11,休日)=1,"▶","→")),"")))</f>
        <v/>
      </c>
      <c r="BV11" s="116">
        <f>IF(OR($K11="",$L11=""),"",IF(NETWORKDAYS(BV$5,BV$5,休日)=0,"",IF(AND(BV$5&gt;=$K11,BV$5&lt;=$L11),IF(NETWORKDAYS($K11,BV$5,休日)=1,"○",IF(NETWORKDAYS(BV$5,$L11,休日)=1,"▶","→")),"")))</f>
        <v/>
      </c>
      <c r="BW11" s="116">
        <f>IF(OR($K11="",$L11=""),"",IF(NETWORKDAYS(BW$5,BW$5,休日)=0,"",IF(AND(BW$5&gt;=$K11,BW$5&lt;=$L11),IF(NETWORKDAYS($K11,BW$5,休日)=1,"○",IF(NETWORKDAYS(BW$5,$L11,休日)=1,"▶","→")),"")))</f>
        <v/>
      </c>
      <c r="BX11" s="116">
        <f>IF(OR($K11="",$L11=""),"",IF(NETWORKDAYS(BX$5,BX$5,休日)=0,"",IF(AND(BX$5&gt;=$K11,BX$5&lt;=$L11),IF(NETWORKDAYS($K11,BX$5,休日)=1,"○",IF(NETWORKDAYS(BX$5,$L11,休日)=1,"▶","→")),"")))</f>
        <v/>
      </c>
      <c r="BY11" s="116">
        <f>IF(OR($K11="",$L11=""),"",IF(NETWORKDAYS(BY$5,BY$5,休日)=0,"",IF(AND(BY$5&gt;=$K11,BY$5&lt;=$L11),IF(NETWORKDAYS($K11,BY$5,休日)=1,"○",IF(NETWORKDAYS(BY$5,$L11,休日)=1,"▶","→")),"")))</f>
        <v/>
      </c>
      <c r="BZ11" s="116">
        <f>IF(OR($K11="",$L11=""),"",IF(NETWORKDAYS(BZ$5,BZ$5,休日)=0,"",IF(AND(BZ$5&gt;=$K11,BZ$5&lt;=$L11),IF(NETWORKDAYS($K11,BZ$5,休日)=1,"○",IF(NETWORKDAYS(BZ$5,$L11,休日)=1,"▶","→")),"")))</f>
        <v/>
      </c>
      <c r="CA11" s="116">
        <f>IF(OR($K11="",$L11=""),"",IF(NETWORKDAYS(CA$5,CA$5,休日)=0,"",IF(AND(CA$5&gt;=$K11,CA$5&lt;=$L11),IF(NETWORKDAYS($K11,CA$5,休日)=1,"○",IF(NETWORKDAYS(CA$5,$L11,休日)=1,"▶","→")),"")))</f>
        <v/>
      </c>
      <c r="CB11" s="116">
        <f>IF(OR($K11="",$L11=""),"",IF(NETWORKDAYS(CB$5,CB$5,休日)=0,"",IF(AND(CB$5&gt;=$K11,CB$5&lt;=$L11),IF(NETWORKDAYS($K11,CB$5,休日)=1,"○",IF(NETWORKDAYS(CB$5,$L11,休日)=1,"▶","→")),"")))</f>
        <v/>
      </c>
      <c r="CC11" s="116">
        <f>IF(OR($K11="",$L11=""),"",IF(NETWORKDAYS(CC$5,CC$5,休日)=0,"",IF(AND(CC$5&gt;=$K11,CC$5&lt;=$L11),IF(NETWORKDAYS($K11,CC$5,休日)=1,"○",IF(NETWORKDAYS(CC$5,$L11,休日)=1,"▶","→")),"")))</f>
        <v/>
      </c>
      <c r="CD11" s="116">
        <f>IF(OR($K11="",$L11=""),"",IF(NETWORKDAYS(CD$5,CD$5,休日)=0,"",IF(AND(CD$5&gt;=$K11,CD$5&lt;=$L11),IF(NETWORKDAYS($K11,CD$5,休日)=1,"○",IF(NETWORKDAYS(CD$5,$L11,休日)=1,"▶","→")),"")))</f>
        <v/>
      </c>
      <c r="CE11" s="116">
        <f>IF(OR($K11="",$L11=""),"",IF(NETWORKDAYS(CE$5,CE$5,休日)=0,"",IF(AND(CE$5&gt;=$K11,CE$5&lt;=$L11),IF(NETWORKDAYS($K11,CE$5,休日)=1,"○",IF(NETWORKDAYS(CE$5,$L11,休日)=1,"▶","→")),"")))</f>
        <v/>
      </c>
      <c r="CF11" s="116">
        <f>IF(OR($K11="",$L11=""),"",IF(NETWORKDAYS(CF$5,CF$5,休日)=0,"",IF(AND(CF$5&gt;=$K11,CF$5&lt;=$L11),IF(NETWORKDAYS($K11,CF$5,休日)=1,"○",IF(NETWORKDAYS(CF$5,$L11,休日)=1,"▶","→")),"")))</f>
        <v/>
      </c>
      <c r="CG11" s="116">
        <f>IF(OR($K11="",$L11=""),"",IF(NETWORKDAYS(CG$5,CG$5,休日)=0,"",IF(AND(CG$5&gt;=$K11,CG$5&lt;=$L11),IF(NETWORKDAYS($K11,CG$5,休日)=1,"○",IF(NETWORKDAYS(CG$5,$L11,休日)=1,"▶","→")),"")))</f>
        <v/>
      </c>
      <c r="CH11" s="116">
        <f>IF(OR($K11="",$L11=""),"",IF(NETWORKDAYS(CH$5,CH$5,休日)=0,"",IF(AND(CH$5&gt;=$K11,CH$5&lt;=$L11),IF(NETWORKDAYS($K11,CH$5,休日)=1,"○",IF(NETWORKDAYS(CH$5,$L11,休日)=1,"▶","→")),"")))</f>
        <v/>
      </c>
      <c r="CI11" s="116">
        <f>IF(OR($K11="",$L11=""),"",IF(NETWORKDAYS(CI$5,CI$5,休日)=0,"",IF(AND(CI$5&gt;=$K11,CI$5&lt;=$L11),IF(NETWORKDAYS($K11,CI$5,休日)=1,"○",IF(NETWORKDAYS(CI$5,$L11,休日)=1,"▶","→")),"")))</f>
        <v/>
      </c>
      <c r="CJ11" s="116">
        <f>IF(OR($K11="",$L11=""),"",IF(NETWORKDAYS(CJ$5,CJ$5,休日)=0,"",IF(AND(CJ$5&gt;=$K11,CJ$5&lt;=$L11),IF(NETWORKDAYS($K11,CJ$5,休日)=1,"○",IF(NETWORKDAYS(CJ$5,$L11,休日)=1,"▶","→")),"")))</f>
        <v/>
      </c>
      <c r="CK11" s="116">
        <f>IF(OR($K11="",$L11=""),"",IF(NETWORKDAYS(CK$5,CK$5,休日)=0,"",IF(AND(CK$5&gt;=$K11,CK$5&lt;=$L11),IF(NETWORKDAYS($K11,CK$5,休日)=1,"○",IF(NETWORKDAYS(CK$5,$L11,休日)=1,"▶","→")),"")))</f>
        <v/>
      </c>
      <c r="CL11" s="116">
        <f>IF(OR($K11="",$L11=""),"",IF(NETWORKDAYS(CL$5,CL$5,休日)=0,"",IF(AND(CL$5&gt;=$K11,CL$5&lt;=$L11),IF(NETWORKDAYS($K11,CL$5,休日)=1,"○",IF(NETWORKDAYS(CL$5,$L11,休日)=1,"▶","→")),"")))</f>
        <v/>
      </c>
      <c r="CM11" s="116">
        <f>IF(OR($K11="",$L11=""),"",IF(NETWORKDAYS(CM$5,CM$5,休日)=0,"",IF(AND(CM$5&gt;=$K11,CM$5&lt;=$L11),IF(NETWORKDAYS($K11,CM$5,休日)=1,"○",IF(NETWORKDAYS(CM$5,$L11,休日)=1,"▶","→")),"")))</f>
        <v/>
      </c>
      <c r="CN11" s="116">
        <f>IF(OR($K11="",$L11=""),"",IF(NETWORKDAYS(CN$5,CN$5,休日)=0,"",IF(AND(CN$5&gt;=$K11,CN$5&lt;=$L11),IF(NETWORKDAYS($K11,CN$5,休日)=1,"○",IF(NETWORKDAYS(CN$5,$L11,休日)=1,"▶","→")),"")))</f>
        <v/>
      </c>
      <c r="CO11" s="116">
        <f>IF(OR($K11="",$L11=""),"",IF(NETWORKDAYS(CO$5,CO$5,休日)=0,"",IF(AND(CO$5&gt;=$K11,CO$5&lt;=$L11),IF(NETWORKDAYS($K11,CO$5,休日)=1,"○",IF(NETWORKDAYS(CO$5,$L11,休日)=1,"▶","→")),"")))</f>
        <v/>
      </c>
    </row>
    <row r="12" hidden="1" outlineLevel="1" ht="32" customHeight="1" s="98">
      <c r="A12" s="5" t="n"/>
      <c r="B12" s="100" t="inlineStr">
        <is>
          <t>1.5</t>
        </is>
      </c>
      <c r="C12" s="101" t="inlineStr">
        <is>
          <t>調査・Mapping</t>
        </is>
      </c>
      <c r="D12" s="101" t="inlineStr">
        <is>
          <t>調査・Mapping</t>
        </is>
      </c>
      <c r="E12" s="101" t="inlineStr">
        <is>
          <t>生鮮発注スケジュール　調査・Mapping</t>
        </is>
      </c>
      <c r="F12" s="101" t="inlineStr">
        <is>
          <t>生鮮発注スケジュール</t>
        </is>
      </c>
      <c r="G12" s="100" t="inlineStr">
        <is>
          <t>差分</t>
        </is>
      </c>
      <c r="H12" s="100" t="inlineStr">
        <is>
          <t>杨艳</t>
        </is>
      </c>
      <c r="I12" s="113" t="n">
        <v>5</v>
      </c>
      <c r="J12" s="100" t="inlineStr">
        <is>
          <t>高</t>
        </is>
      </c>
      <c r="K12" s="114" t="n">
        <v>46308</v>
      </c>
      <c r="L12" s="114" t="n">
        <v>46318</v>
      </c>
      <c r="M12" s="114" t="n"/>
      <c r="N12" s="114" t="n"/>
      <c r="O12" s="100" t="inlineStr">
        <is>
          <t>未着手</t>
        </is>
      </c>
      <c r="P12" s="115" t="n">
        <v>0</v>
      </c>
      <c r="Q12" s="100" t="inlineStr">
        <is>
          <t>－</t>
        </is>
      </c>
      <c r="R12" s="101" t="inlineStr">
        <is>
          <t>ファイル名の対照は sii.txt。PC/CKは別SQL（G②）</t>
        </is>
      </c>
      <c r="S12" s="116">
        <f>IF(OR($K12="",$L12=""),"",IF(NETWORKDAYS(S$5,S$5,休日)=0,"",IF(AND(S$5&gt;=$K12,S$5&lt;=$L12),IF(NETWORKDAYS($K12,S$5,休日)=1,"○",IF(NETWORKDAYS(S$5,$L12,休日)=1,"▶","→")),"")))</f>
        <v/>
      </c>
      <c r="T12" s="116">
        <f>IF(OR($K12="",$L12=""),"",IF(NETWORKDAYS(T$5,T$5,休日)=0,"",IF(AND(T$5&gt;=$K12,T$5&lt;=$L12),IF(NETWORKDAYS($K12,T$5,休日)=1,"○",IF(NETWORKDAYS(T$5,$L12,休日)=1,"▶","→")),"")))</f>
        <v/>
      </c>
      <c r="U12" s="116">
        <f>IF(OR($K12="",$L12=""),"",IF(NETWORKDAYS(U$5,U$5,休日)=0,"",IF(AND(U$5&gt;=$K12,U$5&lt;=$L12),IF(NETWORKDAYS($K12,U$5,休日)=1,"○",IF(NETWORKDAYS(U$5,$L12,休日)=1,"▶","→")),"")))</f>
        <v/>
      </c>
      <c r="V12" s="116">
        <f>IF(OR($K12="",$L12=""),"",IF(NETWORKDAYS(V$5,V$5,休日)=0,"",IF(AND(V$5&gt;=$K12,V$5&lt;=$L12),IF(NETWORKDAYS($K12,V$5,休日)=1,"○",IF(NETWORKDAYS(V$5,$L12,休日)=1,"▶","→")),"")))</f>
        <v/>
      </c>
      <c r="W12" s="116">
        <f>IF(OR($K12="",$L12=""),"",IF(NETWORKDAYS(W$5,W$5,休日)=0,"",IF(AND(W$5&gt;=$K12,W$5&lt;=$L12),IF(NETWORKDAYS($K12,W$5,休日)=1,"○",IF(NETWORKDAYS(W$5,$L12,休日)=1,"▶","→")),"")))</f>
        <v/>
      </c>
      <c r="X12" s="116">
        <f>IF(OR($K12="",$L12=""),"",IF(NETWORKDAYS(X$5,X$5,休日)=0,"",IF(AND(X$5&gt;=$K12,X$5&lt;=$L12),IF(NETWORKDAYS($K12,X$5,休日)=1,"○",IF(NETWORKDAYS(X$5,$L12,休日)=1,"▶","→")),"")))</f>
        <v/>
      </c>
      <c r="Y12" s="116">
        <f>IF(OR($K12="",$L12=""),"",IF(NETWORKDAYS(Y$5,Y$5,休日)=0,"",IF(AND(Y$5&gt;=$K12,Y$5&lt;=$L12),IF(NETWORKDAYS($K12,Y$5,休日)=1,"○",IF(NETWORKDAYS(Y$5,$L12,休日)=1,"▶","→")),"")))</f>
        <v/>
      </c>
      <c r="Z12" s="116">
        <f>IF(OR($K12="",$L12=""),"",IF(NETWORKDAYS(Z$5,Z$5,休日)=0,"",IF(AND(Z$5&gt;=$K12,Z$5&lt;=$L12),IF(NETWORKDAYS($K12,Z$5,休日)=1,"○",IF(NETWORKDAYS(Z$5,$L12,休日)=1,"▶","→")),"")))</f>
        <v/>
      </c>
      <c r="AA12" s="116">
        <f>IF(OR($K12="",$L12=""),"",IF(NETWORKDAYS(AA$5,AA$5,休日)=0,"",IF(AND(AA$5&gt;=$K12,AA$5&lt;=$L12),IF(NETWORKDAYS($K12,AA$5,休日)=1,"○",IF(NETWORKDAYS(AA$5,$L12,休日)=1,"▶","→")),"")))</f>
        <v/>
      </c>
      <c r="AB12" s="116">
        <f>IF(OR($K12="",$L12=""),"",IF(NETWORKDAYS(AB$5,AB$5,休日)=0,"",IF(AND(AB$5&gt;=$K12,AB$5&lt;=$L12),IF(NETWORKDAYS($K12,AB$5,休日)=1,"○",IF(NETWORKDAYS(AB$5,$L12,休日)=1,"▶","→")),"")))</f>
        <v/>
      </c>
      <c r="AC12" s="116">
        <f>IF(OR($K12="",$L12=""),"",IF(NETWORKDAYS(AC$5,AC$5,休日)=0,"",IF(AND(AC$5&gt;=$K12,AC$5&lt;=$L12),IF(NETWORKDAYS($K12,AC$5,休日)=1,"○",IF(NETWORKDAYS(AC$5,$L12,休日)=1,"▶","→")),"")))</f>
        <v/>
      </c>
      <c r="AD12" s="116">
        <f>IF(OR($K12="",$L12=""),"",IF(NETWORKDAYS(AD$5,AD$5,休日)=0,"",IF(AND(AD$5&gt;=$K12,AD$5&lt;=$L12),IF(NETWORKDAYS($K12,AD$5,休日)=1,"○",IF(NETWORKDAYS(AD$5,$L12,休日)=1,"▶","→")),"")))</f>
        <v/>
      </c>
      <c r="AE12" s="116">
        <f>IF(OR($K12="",$L12=""),"",IF(NETWORKDAYS(AE$5,AE$5,休日)=0,"",IF(AND(AE$5&gt;=$K12,AE$5&lt;=$L12),IF(NETWORKDAYS($K12,AE$5,休日)=1,"○",IF(NETWORKDAYS(AE$5,$L12,休日)=1,"▶","→")),"")))</f>
        <v/>
      </c>
      <c r="AF12" s="116">
        <f>IF(OR($K12="",$L12=""),"",IF(NETWORKDAYS(AF$5,AF$5,休日)=0,"",IF(AND(AF$5&gt;=$K12,AF$5&lt;=$L12),IF(NETWORKDAYS($K12,AF$5,休日)=1,"○",IF(NETWORKDAYS(AF$5,$L12,休日)=1,"▶","→")),"")))</f>
        <v/>
      </c>
      <c r="AG12" s="116">
        <f>IF(OR($K12="",$L12=""),"",IF(NETWORKDAYS(AG$5,AG$5,休日)=0,"",IF(AND(AG$5&gt;=$K12,AG$5&lt;=$L12),IF(NETWORKDAYS($K12,AG$5,休日)=1,"○",IF(NETWORKDAYS(AG$5,$L12,休日)=1,"▶","→")),"")))</f>
        <v/>
      </c>
      <c r="AH12" s="116">
        <f>IF(OR($K12="",$L12=""),"",IF(NETWORKDAYS(AH$5,AH$5,休日)=0,"",IF(AND(AH$5&gt;=$K12,AH$5&lt;=$L12),IF(NETWORKDAYS($K12,AH$5,休日)=1,"○",IF(NETWORKDAYS(AH$5,$L12,休日)=1,"▶","→")),"")))</f>
        <v/>
      </c>
      <c r="AI12" s="116">
        <f>IF(OR($K12="",$L12=""),"",IF(NETWORKDAYS(AI$5,AI$5,休日)=0,"",IF(AND(AI$5&gt;=$K12,AI$5&lt;=$L12),IF(NETWORKDAYS($K12,AI$5,休日)=1,"○",IF(NETWORKDAYS(AI$5,$L12,休日)=1,"▶","→")),"")))</f>
        <v/>
      </c>
      <c r="AJ12" s="116">
        <f>IF(OR($K12="",$L12=""),"",IF(NETWORKDAYS(AJ$5,AJ$5,休日)=0,"",IF(AND(AJ$5&gt;=$K12,AJ$5&lt;=$L12),IF(NETWORKDAYS($K12,AJ$5,休日)=1,"○",IF(NETWORKDAYS(AJ$5,$L12,休日)=1,"▶","→")),"")))</f>
        <v/>
      </c>
      <c r="AK12" s="116">
        <f>IF(OR($K12="",$L12=""),"",IF(NETWORKDAYS(AK$5,AK$5,休日)=0,"",IF(AND(AK$5&gt;=$K12,AK$5&lt;=$L12),IF(NETWORKDAYS($K12,AK$5,休日)=1,"○",IF(NETWORKDAYS(AK$5,$L12,休日)=1,"▶","→")),"")))</f>
        <v/>
      </c>
      <c r="AL12" s="116">
        <f>IF(OR($K12="",$L12=""),"",IF(NETWORKDAYS(AL$5,AL$5,休日)=0,"",IF(AND(AL$5&gt;=$K12,AL$5&lt;=$L12),IF(NETWORKDAYS($K12,AL$5,休日)=1,"○",IF(NETWORKDAYS(AL$5,$L12,休日)=1,"▶","→")),"")))</f>
        <v/>
      </c>
      <c r="AM12" s="116">
        <f>IF(OR($K12="",$L12=""),"",IF(NETWORKDAYS(AM$5,AM$5,休日)=0,"",IF(AND(AM$5&gt;=$K12,AM$5&lt;=$L12),IF(NETWORKDAYS($K12,AM$5,休日)=1,"○",IF(NETWORKDAYS(AM$5,$L12,休日)=1,"▶","→")),"")))</f>
        <v/>
      </c>
      <c r="AN12" s="116">
        <f>IF(OR($K12="",$L12=""),"",IF(NETWORKDAYS(AN$5,AN$5,休日)=0,"",IF(AND(AN$5&gt;=$K12,AN$5&lt;=$L12),IF(NETWORKDAYS($K12,AN$5,休日)=1,"○",IF(NETWORKDAYS(AN$5,$L12,休日)=1,"▶","→")),"")))</f>
        <v/>
      </c>
      <c r="AO12" s="116">
        <f>IF(OR($K12="",$L12=""),"",IF(NETWORKDAYS(AO$5,AO$5,休日)=0,"",IF(AND(AO$5&gt;=$K12,AO$5&lt;=$L12),IF(NETWORKDAYS($K12,AO$5,休日)=1,"○",IF(NETWORKDAYS(AO$5,$L12,休日)=1,"▶","→")),"")))</f>
        <v/>
      </c>
      <c r="AP12" s="116">
        <f>IF(OR($K12="",$L12=""),"",IF(NETWORKDAYS(AP$5,AP$5,休日)=0,"",IF(AND(AP$5&gt;=$K12,AP$5&lt;=$L12),IF(NETWORKDAYS($K12,AP$5,休日)=1,"○",IF(NETWORKDAYS(AP$5,$L12,休日)=1,"▶","→")),"")))</f>
        <v/>
      </c>
      <c r="AQ12" s="116">
        <f>IF(OR($K12="",$L12=""),"",IF(NETWORKDAYS(AQ$5,AQ$5,休日)=0,"",IF(AND(AQ$5&gt;=$K12,AQ$5&lt;=$L12),IF(NETWORKDAYS($K12,AQ$5,休日)=1,"○",IF(NETWORKDAYS(AQ$5,$L12,休日)=1,"▶","→")),"")))</f>
        <v/>
      </c>
      <c r="AR12" s="116">
        <f>IF(OR($K12="",$L12=""),"",IF(NETWORKDAYS(AR$5,AR$5,休日)=0,"",IF(AND(AR$5&gt;=$K12,AR$5&lt;=$L12),IF(NETWORKDAYS($K12,AR$5,休日)=1,"○",IF(NETWORKDAYS(AR$5,$L12,休日)=1,"▶","→")),"")))</f>
        <v/>
      </c>
      <c r="AS12" s="116">
        <f>IF(OR($K12="",$L12=""),"",IF(NETWORKDAYS(AS$5,AS$5,休日)=0,"",IF(AND(AS$5&gt;=$K12,AS$5&lt;=$L12),IF(NETWORKDAYS($K12,AS$5,休日)=1,"○",IF(NETWORKDAYS(AS$5,$L12,休日)=1,"▶","→")),"")))</f>
        <v/>
      </c>
      <c r="AT12" s="116">
        <f>IF(OR($K12="",$L12=""),"",IF(NETWORKDAYS(AT$5,AT$5,休日)=0,"",IF(AND(AT$5&gt;=$K12,AT$5&lt;=$L12),IF(NETWORKDAYS($K12,AT$5,休日)=1,"○",IF(NETWORKDAYS(AT$5,$L12,休日)=1,"▶","→")),"")))</f>
        <v/>
      </c>
      <c r="AU12" s="116">
        <f>IF(OR($K12="",$L12=""),"",IF(NETWORKDAYS(AU$5,AU$5,休日)=0,"",IF(AND(AU$5&gt;=$K12,AU$5&lt;=$L12),IF(NETWORKDAYS($K12,AU$5,休日)=1,"○",IF(NETWORKDAYS(AU$5,$L12,休日)=1,"▶","→")),"")))</f>
        <v/>
      </c>
      <c r="AV12" s="116">
        <f>IF(OR($K12="",$L12=""),"",IF(NETWORKDAYS(AV$5,AV$5,休日)=0,"",IF(AND(AV$5&gt;=$K12,AV$5&lt;=$L12),IF(NETWORKDAYS($K12,AV$5,休日)=1,"○",IF(NETWORKDAYS(AV$5,$L12,休日)=1,"▶","→")),"")))</f>
        <v/>
      </c>
      <c r="AW12" s="116">
        <f>IF(OR($K12="",$L12=""),"",IF(NETWORKDAYS(AW$5,AW$5,休日)=0,"",IF(AND(AW$5&gt;=$K12,AW$5&lt;=$L12),IF(NETWORKDAYS($K12,AW$5,休日)=1,"○",IF(NETWORKDAYS(AW$5,$L12,休日)=1,"▶","→")),"")))</f>
        <v/>
      </c>
      <c r="AX12" s="116">
        <f>IF(OR($K12="",$L12=""),"",IF(NETWORKDAYS(AX$5,AX$5,休日)=0,"",IF(AND(AX$5&gt;=$K12,AX$5&lt;=$L12),IF(NETWORKDAYS($K12,AX$5,休日)=1,"○",IF(NETWORKDAYS(AX$5,$L12,休日)=1,"▶","→")),"")))</f>
        <v/>
      </c>
      <c r="AY12" s="116">
        <f>IF(OR($K12="",$L12=""),"",IF(NETWORKDAYS(AY$5,AY$5,休日)=0,"",IF(AND(AY$5&gt;=$K12,AY$5&lt;=$L12),IF(NETWORKDAYS($K12,AY$5,休日)=1,"○",IF(NETWORKDAYS(AY$5,$L12,休日)=1,"▶","→")),"")))</f>
        <v/>
      </c>
      <c r="AZ12" s="116">
        <f>IF(OR($K12="",$L12=""),"",IF(NETWORKDAYS(AZ$5,AZ$5,休日)=0,"",IF(AND(AZ$5&gt;=$K12,AZ$5&lt;=$L12),IF(NETWORKDAYS($K12,AZ$5,休日)=1,"○",IF(NETWORKDAYS(AZ$5,$L12,休日)=1,"▶","→")),"")))</f>
        <v/>
      </c>
      <c r="BA12" s="116">
        <f>IF(OR($K12="",$L12=""),"",IF(NETWORKDAYS(BA$5,BA$5,休日)=0,"",IF(AND(BA$5&gt;=$K12,BA$5&lt;=$L12),IF(NETWORKDAYS($K12,BA$5,休日)=1,"○",IF(NETWORKDAYS(BA$5,$L12,休日)=1,"▶","→")),"")))</f>
        <v/>
      </c>
      <c r="BB12" s="116">
        <f>IF(OR($K12="",$L12=""),"",IF(NETWORKDAYS(BB$5,BB$5,休日)=0,"",IF(AND(BB$5&gt;=$K12,BB$5&lt;=$L12),IF(NETWORKDAYS($K12,BB$5,休日)=1,"○",IF(NETWORKDAYS(BB$5,$L12,休日)=1,"▶","→")),"")))</f>
        <v/>
      </c>
      <c r="BC12" s="116">
        <f>IF(OR($K12="",$L12=""),"",IF(NETWORKDAYS(BC$5,BC$5,休日)=0,"",IF(AND(BC$5&gt;=$K12,BC$5&lt;=$L12),IF(NETWORKDAYS($K12,BC$5,休日)=1,"○",IF(NETWORKDAYS(BC$5,$L12,休日)=1,"▶","→")),"")))</f>
        <v/>
      </c>
      <c r="BD12" s="116">
        <f>IF(OR($K12="",$L12=""),"",IF(NETWORKDAYS(BD$5,BD$5,休日)=0,"",IF(AND(BD$5&gt;=$K12,BD$5&lt;=$L12),IF(NETWORKDAYS($K12,BD$5,休日)=1,"○",IF(NETWORKDAYS(BD$5,$L12,休日)=1,"▶","→")),"")))</f>
        <v/>
      </c>
      <c r="BE12" s="116">
        <f>IF(OR($K12="",$L12=""),"",IF(NETWORKDAYS(BE$5,BE$5,休日)=0,"",IF(AND(BE$5&gt;=$K12,BE$5&lt;=$L12),IF(NETWORKDAYS($K12,BE$5,休日)=1,"○",IF(NETWORKDAYS(BE$5,$L12,休日)=1,"▶","→")),"")))</f>
        <v/>
      </c>
      <c r="BF12" s="116">
        <f>IF(OR($K12="",$L12=""),"",IF(NETWORKDAYS(BF$5,BF$5,休日)=0,"",IF(AND(BF$5&gt;=$K12,BF$5&lt;=$L12),IF(NETWORKDAYS($K12,BF$5,休日)=1,"○",IF(NETWORKDAYS(BF$5,$L12,休日)=1,"▶","→")),"")))</f>
        <v/>
      </c>
      <c r="BG12" s="116">
        <f>IF(OR($K12="",$L12=""),"",IF(NETWORKDAYS(BG$5,BG$5,休日)=0,"",IF(AND(BG$5&gt;=$K12,BG$5&lt;=$L12),IF(NETWORKDAYS($K12,BG$5,休日)=1,"○",IF(NETWORKDAYS(BG$5,$L12,休日)=1,"▶","→")),"")))</f>
        <v/>
      </c>
      <c r="BH12" s="116">
        <f>IF(OR($K12="",$L12=""),"",IF(NETWORKDAYS(BH$5,BH$5,休日)=0,"",IF(AND(BH$5&gt;=$K12,BH$5&lt;=$L12),IF(NETWORKDAYS($K12,BH$5,休日)=1,"○",IF(NETWORKDAYS(BH$5,$L12,休日)=1,"▶","→")),"")))</f>
        <v/>
      </c>
      <c r="BI12" s="116">
        <f>IF(OR($K12="",$L12=""),"",IF(NETWORKDAYS(BI$5,BI$5,休日)=0,"",IF(AND(BI$5&gt;=$K12,BI$5&lt;=$L12),IF(NETWORKDAYS($K12,BI$5,休日)=1,"○",IF(NETWORKDAYS(BI$5,$L12,休日)=1,"▶","→")),"")))</f>
        <v/>
      </c>
      <c r="BJ12" s="116">
        <f>IF(OR($K12="",$L12=""),"",IF(NETWORKDAYS(BJ$5,BJ$5,休日)=0,"",IF(AND(BJ$5&gt;=$K12,BJ$5&lt;=$L12),IF(NETWORKDAYS($K12,BJ$5,休日)=1,"○",IF(NETWORKDAYS(BJ$5,$L12,休日)=1,"▶","→")),"")))</f>
        <v/>
      </c>
      <c r="BK12" s="116">
        <f>IF(OR($K12="",$L12=""),"",IF(NETWORKDAYS(BK$5,BK$5,休日)=0,"",IF(AND(BK$5&gt;=$K12,BK$5&lt;=$L12),IF(NETWORKDAYS($K12,BK$5,休日)=1,"○",IF(NETWORKDAYS(BK$5,$L12,休日)=1,"▶","→")),"")))</f>
        <v/>
      </c>
      <c r="BL12" s="116">
        <f>IF(OR($K12="",$L12=""),"",IF(NETWORKDAYS(BL$5,BL$5,休日)=0,"",IF(AND(BL$5&gt;=$K12,BL$5&lt;=$L12),IF(NETWORKDAYS($K12,BL$5,休日)=1,"○",IF(NETWORKDAYS(BL$5,$L12,休日)=1,"▶","→")),"")))</f>
        <v/>
      </c>
      <c r="BM12" s="116">
        <f>IF(OR($K12="",$L12=""),"",IF(NETWORKDAYS(BM$5,BM$5,休日)=0,"",IF(AND(BM$5&gt;=$K12,BM$5&lt;=$L12),IF(NETWORKDAYS($K12,BM$5,休日)=1,"○",IF(NETWORKDAYS(BM$5,$L12,休日)=1,"▶","→")),"")))</f>
        <v/>
      </c>
      <c r="BN12" s="116">
        <f>IF(OR($K12="",$L12=""),"",IF(NETWORKDAYS(BN$5,BN$5,休日)=0,"",IF(AND(BN$5&gt;=$K12,BN$5&lt;=$L12),IF(NETWORKDAYS($K12,BN$5,休日)=1,"○",IF(NETWORKDAYS(BN$5,$L12,休日)=1,"▶","→")),"")))</f>
        <v/>
      </c>
      <c r="BO12" s="116">
        <f>IF(OR($K12="",$L12=""),"",IF(NETWORKDAYS(BO$5,BO$5,休日)=0,"",IF(AND(BO$5&gt;=$K12,BO$5&lt;=$L12),IF(NETWORKDAYS($K12,BO$5,休日)=1,"○",IF(NETWORKDAYS(BO$5,$L12,休日)=1,"▶","→")),"")))</f>
        <v/>
      </c>
      <c r="BP12" s="116">
        <f>IF(OR($K12="",$L12=""),"",IF(NETWORKDAYS(BP$5,BP$5,休日)=0,"",IF(AND(BP$5&gt;=$K12,BP$5&lt;=$L12),IF(NETWORKDAYS($K12,BP$5,休日)=1,"○",IF(NETWORKDAYS(BP$5,$L12,休日)=1,"▶","→")),"")))</f>
        <v/>
      </c>
      <c r="BQ12" s="116">
        <f>IF(OR($K12="",$L12=""),"",IF(NETWORKDAYS(BQ$5,BQ$5,休日)=0,"",IF(AND(BQ$5&gt;=$K12,BQ$5&lt;=$L12),IF(NETWORKDAYS($K12,BQ$5,休日)=1,"○",IF(NETWORKDAYS(BQ$5,$L12,休日)=1,"▶","→")),"")))</f>
        <v/>
      </c>
      <c r="BR12" s="116">
        <f>IF(OR($K12="",$L12=""),"",IF(NETWORKDAYS(BR$5,BR$5,休日)=0,"",IF(AND(BR$5&gt;=$K12,BR$5&lt;=$L12),IF(NETWORKDAYS($K12,BR$5,休日)=1,"○",IF(NETWORKDAYS(BR$5,$L12,休日)=1,"▶","→")),"")))</f>
        <v/>
      </c>
      <c r="BS12" s="116">
        <f>IF(OR($K12="",$L12=""),"",IF(NETWORKDAYS(BS$5,BS$5,休日)=0,"",IF(AND(BS$5&gt;=$K12,BS$5&lt;=$L12),IF(NETWORKDAYS($K12,BS$5,休日)=1,"○",IF(NETWORKDAYS(BS$5,$L12,休日)=1,"▶","→")),"")))</f>
        <v/>
      </c>
      <c r="BT12" s="116">
        <f>IF(OR($K12="",$L12=""),"",IF(NETWORKDAYS(BT$5,BT$5,休日)=0,"",IF(AND(BT$5&gt;=$K12,BT$5&lt;=$L12),IF(NETWORKDAYS($K12,BT$5,休日)=1,"○",IF(NETWORKDAYS(BT$5,$L12,休日)=1,"▶","→")),"")))</f>
        <v/>
      </c>
      <c r="BU12" s="116">
        <f>IF(OR($K12="",$L12=""),"",IF(NETWORKDAYS(BU$5,BU$5,休日)=0,"",IF(AND(BU$5&gt;=$K12,BU$5&lt;=$L12),IF(NETWORKDAYS($K12,BU$5,休日)=1,"○",IF(NETWORKDAYS(BU$5,$L12,休日)=1,"▶","→")),"")))</f>
        <v/>
      </c>
      <c r="BV12" s="116">
        <f>IF(OR($K12="",$L12=""),"",IF(NETWORKDAYS(BV$5,BV$5,休日)=0,"",IF(AND(BV$5&gt;=$K12,BV$5&lt;=$L12),IF(NETWORKDAYS($K12,BV$5,休日)=1,"○",IF(NETWORKDAYS(BV$5,$L12,休日)=1,"▶","→")),"")))</f>
        <v/>
      </c>
      <c r="BW12" s="116">
        <f>IF(OR($K12="",$L12=""),"",IF(NETWORKDAYS(BW$5,BW$5,休日)=0,"",IF(AND(BW$5&gt;=$K12,BW$5&lt;=$L12),IF(NETWORKDAYS($K12,BW$5,休日)=1,"○",IF(NETWORKDAYS(BW$5,$L12,休日)=1,"▶","→")),"")))</f>
        <v/>
      </c>
      <c r="BX12" s="116">
        <f>IF(OR($K12="",$L12=""),"",IF(NETWORKDAYS(BX$5,BX$5,休日)=0,"",IF(AND(BX$5&gt;=$K12,BX$5&lt;=$L12),IF(NETWORKDAYS($K12,BX$5,休日)=1,"○",IF(NETWORKDAYS(BX$5,$L12,休日)=1,"▶","→")),"")))</f>
        <v/>
      </c>
      <c r="BY12" s="116">
        <f>IF(OR($K12="",$L12=""),"",IF(NETWORKDAYS(BY$5,BY$5,休日)=0,"",IF(AND(BY$5&gt;=$K12,BY$5&lt;=$L12),IF(NETWORKDAYS($K12,BY$5,休日)=1,"○",IF(NETWORKDAYS(BY$5,$L12,休日)=1,"▶","→")),"")))</f>
        <v/>
      </c>
      <c r="BZ12" s="116">
        <f>IF(OR($K12="",$L12=""),"",IF(NETWORKDAYS(BZ$5,BZ$5,休日)=0,"",IF(AND(BZ$5&gt;=$K12,BZ$5&lt;=$L12),IF(NETWORKDAYS($K12,BZ$5,休日)=1,"○",IF(NETWORKDAYS(BZ$5,$L12,休日)=1,"▶","→")),"")))</f>
        <v/>
      </c>
      <c r="CA12" s="116">
        <f>IF(OR($K12="",$L12=""),"",IF(NETWORKDAYS(CA$5,CA$5,休日)=0,"",IF(AND(CA$5&gt;=$K12,CA$5&lt;=$L12),IF(NETWORKDAYS($K12,CA$5,休日)=1,"○",IF(NETWORKDAYS(CA$5,$L12,休日)=1,"▶","→")),"")))</f>
        <v/>
      </c>
      <c r="CB12" s="116">
        <f>IF(OR($K12="",$L12=""),"",IF(NETWORKDAYS(CB$5,CB$5,休日)=0,"",IF(AND(CB$5&gt;=$K12,CB$5&lt;=$L12),IF(NETWORKDAYS($K12,CB$5,休日)=1,"○",IF(NETWORKDAYS(CB$5,$L12,休日)=1,"▶","→")),"")))</f>
        <v/>
      </c>
      <c r="CC12" s="116">
        <f>IF(OR($K12="",$L12=""),"",IF(NETWORKDAYS(CC$5,CC$5,休日)=0,"",IF(AND(CC$5&gt;=$K12,CC$5&lt;=$L12),IF(NETWORKDAYS($K12,CC$5,休日)=1,"○",IF(NETWORKDAYS(CC$5,$L12,休日)=1,"▶","→")),"")))</f>
        <v/>
      </c>
      <c r="CD12" s="116">
        <f>IF(OR($K12="",$L12=""),"",IF(NETWORKDAYS(CD$5,CD$5,休日)=0,"",IF(AND(CD$5&gt;=$K12,CD$5&lt;=$L12),IF(NETWORKDAYS($K12,CD$5,休日)=1,"○",IF(NETWORKDAYS(CD$5,$L12,休日)=1,"▶","→")),"")))</f>
        <v/>
      </c>
      <c r="CE12" s="116">
        <f>IF(OR($K12="",$L12=""),"",IF(NETWORKDAYS(CE$5,CE$5,休日)=0,"",IF(AND(CE$5&gt;=$K12,CE$5&lt;=$L12),IF(NETWORKDAYS($K12,CE$5,休日)=1,"○",IF(NETWORKDAYS(CE$5,$L12,休日)=1,"▶","→")),"")))</f>
        <v/>
      </c>
      <c r="CF12" s="116">
        <f>IF(OR($K12="",$L12=""),"",IF(NETWORKDAYS(CF$5,CF$5,休日)=0,"",IF(AND(CF$5&gt;=$K12,CF$5&lt;=$L12),IF(NETWORKDAYS($K12,CF$5,休日)=1,"○",IF(NETWORKDAYS(CF$5,$L12,休日)=1,"▶","→")),"")))</f>
        <v/>
      </c>
      <c r="CG12" s="116">
        <f>IF(OR($K12="",$L12=""),"",IF(NETWORKDAYS(CG$5,CG$5,休日)=0,"",IF(AND(CG$5&gt;=$K12,CG$5&lt;=$L12),IF(NETWORKDAYS($K12,CG$5,休日)=1,"○",IF(NETWORKDAYS(CG$5,$L12,休日)=1,"▶","→")),"")))</f>
        <v/>
      </c>
      <c r="CH12" s="116">
        <f>IF(OR($K12="",$L12=""),"",IF(NETWORKDAYS(CH$5,CH$5,休日)=0,"",IF(AND(CH$5&gt;=$K12,CH$5&lt;=$L12),IF(NETWORKDAYS($K12,CH$5,休日)=1,"○",IF(NETWORKDAYS(CH$5,$L12,休日)=1,"▶","→")),"")))</f>
        <v/>
      </c>
      <c r="CI12" s="116">
        <f>IF(OR($K12="",$L12=""),"",IF(NETWORKDAYS(CI$5,CI$5,休日)=0,"",IF(AND(CI$5&gt;=$K12,CI$5&lt;=$L12),IF(NETWORKDAYS($K12,CI$5,休日)=1,"○",IF(NETWORKDAYS(CI$5,$L12,休日)=1,"▶","→")),"")))</f>
        <v/>
      </c>
      <c r="CJ12" s="116">
        <f>IF(OR($K12="",$L12=""),"",IF(NETWORKDAYS(CJ$5,CJ$5,休日)=0,"",IF(AND(CJ$5&gt;=$K12,CJ$5&lt;=$L12),IF(NETWORKDAYS($K12,CJ$5,休日)=1,"○",IF(NETWORKDAYS(CJ$5,$L12,休日)=1,"▶","→")),"")))</f>
        <v/>
      </c>
      <c r="CK12" s="116">
        <f>IF(OR($K12="",$L12=""),"",IF(NETWORKDAYS(CK$5,CK$5,休日)=0,"",IF(AND(CK$5&gt;=$K12,CK$5&lt;=$L12),IF(NETWORKDAYS($K12,CK$5,休日)=1,"○",IF(NETWORKDAYS(CK$5,$L12,休日)=1,"▶","→")),"")))</f>
        <v/>
      </c>
      <c r="CL12" s="116">
        <f>IF(OR($K12="",$L12=""),"",IF(NETWORKDAYS(CL$5,CL$5,休日)=0,"",IF(AND(CL$5&gt;=$K12,CL$5&lt;=$L12),IF(NETWORKDAYS($K12,CL$5,休日)=1,"○",IF(NETWORKDAYS(CL$5,$L12,休日)=1,"▶","→")),"")))</f>
        <v/>
      </c>
      <c r="CM12" s="116">
        <f>IF(OR($K12="",$L12=""),"",IF(NETWORKDAYS(CM$5,CM$5,休日)=0,"",IF(AND(CM$5&gt;=$K12,CM$5&lt;=$L12),IF(NETWORKDAYS($K12,CM$5,休日)=1,"○",IF(NETWORKDAYS(CM$5,$L12,休日)=1,"▶","→")),"")))</f>
        <v/>
      </c>
      <c r="CN12" s="116">
        <f>IF(OR($K12="",$L12=""),"",IF(NETWORKDAYS(CN$5,CN$5,休日)=0,"",IF(AND(CN$5&gt;=$K12,CN$5&lt;=$L12),IF(NETWORKDAYS($K12,CN$5,休日)=1,"○",IF(NETWORKDAYS(CN$5,$L12,休日)=1,"▶","→")),"")))</f>
        <v/>
      </c>
      <c r="CO12" s="116">
        <f>IF(OR($K12="",$L12=""),"",IF(NETWORKDAYS(CO$5,CO$5,休日)=0,"",IF(AND(CO$5&gt;=$K12,CO$5&lt;=$L12),IF(NETWORKDAYS($K12,CO$5,休日)=1,"○",IF(NETWORKDAYS(CO$5,$L12,休日)=1,"▶","→")),"")))</f>
        <v/>
      </c>
    </row>
    <row r="13" collapsed="1" ht="32" customHeight="1" s="98">
      <c r="A13" s="5" t="n"/>
      <c r="B13" s="100" t="inlineStr">
        <is>
          <t>1.6</t>
        </is>
      </c>
      <c r="C13" s="101" t="inlineStr">
        <is>
          <t>調査・Mapping</t>
        </is>
      </c>
      <c r="D13" s="101" t="inlineStr">
        <is>
          <t>調査・Mapping</t>
        </is>
      </c>
      <c r="E13" s="101" t="inlineStr">
        <is>
          <t>発注勧告を生鮮統合発注用に変換　調査・Mapping</t>
        </is>
      </c>
      <c r="F13" s="101" t="inlineStr">
        <is>
          <t>発注勧告を生鮮統合発注用に変換</t>
        </is>
      </c>
      <c r="G13" s="100" t="inlineStr">
        <is>
          <t>新規</t>
        </is>
      </c>
      <c r="H13" s="100" t="inlineStr">
        <is>
          <t>臧鹏仕</t>
        </is>
      </c>
      <c r="I13" s="113" t="n">
        <v>5</v>
      </c>
      <c r="J13" s="100" t="inlineStr">
        <is>
          <t>高</t>
        </is>
      </c>
      <c r="K13" s="114" t="n">
        <v>46335</v>
      </c>
      <c r="L13" s="114" t="n">
        <v>46342</v>
      </c>
      <c r="M13" s="114" t="n"/>
      <c r="N13" s="114" t="n"/>
      <c r="O13" s="100" t="inlineStr">
        <is>
          <t>未着手</t>
        </is>
      </c>
      <c r="P13" s="115" t="n">
        <v>0</v>
      </c>
      <c r="Q13" s="100" t="inlineStr">
        <is>
          <t>－</t>
        </is>
      </c>
      <c r="R13" s="101" t="inlineStr">
        <is>
          <t>勧告の詳細設計のあと。11/16朝に閉じ、同日から詳細設計。現行の生鮮から発注統合へのIFは使わない</t>
        </is>
      </c>
      <c r="S13" s="116">
        <f>IF(OR($K13="",$L13=""),"",IF(NETWORKDAYS(S$5,S$5,休日)=0,"",IF(AND(S$5&gt;=$K13,S$5&lt;=$L13),IF(NETWORKDAYS($K13,S$5,休日)=1,"○",IF(NETWORKDAYS(S$5,$L13,休日)=1,"▶","→")),"")))</f>
        <v/>
      </c>
      <c r="T13" s="116">
        <f>IF(OR($K13="",$L13=""),"",IF(NETWORKDAYS(T$5,T$5,休日)=0,"",IF(AND(T$5&gt;=$K13,T$5&lt;=$L13),IF(NETWORKDAYS($K13,T$5,休日)=1,"○",IF(NETWORKDAYS(T$5,$L13,休日)=1,"▶","→")),"")))</f>
        <v/>
      </c>
      <c r="U13" s="116">
        <f>IF(OR($K13="",$L13=""),"",IF(NETWORKDAYS(U$5,U$5,休日)=0,"",IF(AND(U$5&gt;=$K13,U$5&lt;=$L13),IF(NETWORKDAYS($K13,U$5,休日)=1,"○",IF(NETWORKDAYS(U$5,$L13,休日)=1,"▶","→")),"")))</f>
        <v/>
      </c>
      <c r="V13" s="116">
        <f>IF(OR($K13="",$L13=""),"",IF(NETWORKDAYS(V$5,V$5,休日)=0,"",IF(AND(V$5&gt;=$K13,V$5&lt;=$L13),IF(NETWORKDAYS($K13,V$5,休日)=1,"○",IF(NETWORKDAYS(V$5,$L13,休日)=1,"▶","→")),"")))</f>
        <v/>
      </c>
      <c r="W13" s="116">
        <f>IF(OR($K13="",$L13=""),"",IF(NETWORKDAYS(W$5,W$5,休日)=0,"",IF(AND(W$5&gt;=$K13,W$5&lt;=$L13),IF(NETWORKDAYS($K13,W$5,休日)=1,"○",IF(NETWORKDAYS(W$5,$L13,休日)=1,"▶","→")),"")))</f>
        <v/>
      </c>
      <c r="X13" s="116">
        <f>IF(OR($K13="",$L13=""),"",IF(NETWORKDAYS(X$5,X$5,休日)=0,"",IF(AND(X$5&gt;=$K13,X$5&lt;=$L13),IF(NETWORKDAYS($K13,X$5,休日)=1,"○",IF(NETWORKDAYS(X$5,$L13,休日)=1,"▶","→")),"")))</f>
        <v/>
      </c>
      <c r="Y13" s="116">
        <f>IF(OR($K13="",$L13=""),"",IF(NETWORKDAYS(Y$5,Y$5,休日)=0,"",IF(AND(Y$5&gt;=$K13,Y$5&lt;=$L13),IF(NETWORKDAYS($K13,Y$5,休日)=1,"○",IF(NETWORKDAYS(Y$5,$L13,休日)=1,"▶","→")),"")))</f>
        <v/>
      </c>
      <c r="Z13" s="116">
        <f>IF(OR($K13="",$L13=""),"",IF(NETWORKDAYS(Z$5,Z$5,休日)=0,"",IF(AND(Z$5&gt;=$K13,Z$5&lt;=$L13),IF(NETWORKDAYS($K13,Z$5,休日)=1,"○",IF(NETWORKDAYS(Z$5,$L13,休日)=1,"▶","→")),"")))</f>
        <v/>
      </c>
      <c r="AA13" s="116">
        <f>IF(OR($K13="",$L13=""),"",IF(NETWORKDAYS(AA$5,AA$5,休日)=0,"",IF(AND(AA$5&gt;=$K13,AA$5&lt;=$L13),IF(NETWORKDAYS($K13,AA$5,休日)=1,"○",IF(NETWORKDAYS(AA$5,$L13,休日)=1,"▶","→")),"")))</f>
        <v/>
      </c>
      <c r="AB13" s="116">
        <f>IF(OR($K13="",$L13=""),"",IF(NETWORKDAYS(AB$5,AB$5,休日)=0,"",IF(AND(AB$5&gt;=$K13,AB$5&lt;=$L13),IF(NETWORKDAYS($K13,AB$5,休日)=1,"○",IF(NETWORKDAYS(AB$5,$L13,休日)=1,"▶","→")),"")))</f>
        <v/>
      </c>
      <c r="AC13" s="116">
        <f>IF(OR($K13="",$L13=""),"",IF(NETWORKDAYS(AC$5,AC$5,休日)=0,"",IF(AND(AC$5&gt;=$K13,AC$5&lt;=$L13),IF(NETWORKDAYS($K13,AC$5,休日)=1,"○",IF(NETWORKDAYS(AC$5,$L13,休日)=1,"▶","→")),"")))</f>
        <v/>
      </c>
      <c r="AD13" s="116">
        <f>IF(OR($K13="",$L13=""),"",IF(NETWORKDAYS(AD$5,AD$5,休日)=0,"",IF(AND(AD$5&gt;=$K13,AD$5&lt;=$L13),IF(NETWORKDAYS($K13,AD$5,休日)=1,"○",IF(NETWORKDAYS(AD$5,$L13,休日)=1,"▶","→")),"")))</f>
        <v/>
      </c>
      <c r="AE13" s="116">
        <f>IF(OR($K13="",$L13=""),"",IF(NETWORKDAYS(AE$5,AE$5,休日)=0,"",IF(AND(AE$5&gt;=$K13,AE$5&lt;=$L13),IF(NETWORKDAYS($K13,AE$5,休日)=1,"○",IF(NETWORKDAYS(AE$5,$L13,休日)=1,"▶","→")),"")))</f>
        <v/>
      </c>
      <c r="AF13" s="116">
        <f>IF(OR($K13="",$L13=""),"",IF(NETWORKDAYS(AF$5,AF$5,休日)=0,"",IF(AND(AF$5&gt;=$K13,AF$5&lt;=$L13),IF(NETWORKDAYS($K13,AF$5,休日)=1,"○",IF(NETWORKDAYS(AF$5,$L13,休日)=1,"▶","→")),"")))</f>
        <v/>
      </c>
      <c r="AG13" s="116">
        <f>IF(OR($K13="",$L13=""),"",IF(NETWORKDAYS(AG$5,AG$5,休日)=0,"",IF(AND(AG$5&gt;=$K13,AG$5&lt;=$L13),IF(NETWORKDAYS($K13,AG$5,休日)=1,"○",IF(NETWORKDAYS(AG$5,$L13,休日)=1,"▶","→")),"")))</f>
        <v/>
      </c>
      <c r="AH13" s="116">
        <f>IF(OR($K13="",$L13=""),"",IF(NETWORKDAYS(AH$5,AH$5,休日)=0,"",IF(AND(AH$5&gt;=$K13,AH$5&lt;=$L13),IF(NETWORKDAYS($K13,AH$5,休日)=1,"○",IF(NETWORKDAYS(AH$5,$L13,休日)=1,"▶","→")),"")))</f>
        <v/>
      </c>
      <c r="AI13" s="116">
        <f>IF(OR($K13="",$L13=""),"",IF(NETWORKDAYS(AI$5,AI$5,休日)=0,"",IF(AND(AI$5&gt;=$K13,AI$5&lt;=$L13),IF(NETWORKDAYS($K13,AI$5,休日)=1,"○",IF(NETWORKDAYS(AI$5,$L13,休日)=1,"▶","→")),"")))</f>
        <v/>
      </c>
      <c r="AJ13" s="116">
        <f>IF(OR($K13="",$L13=""),"",IF(NETWORKDAYS(AJ$5,AJ$5,休日)=0,"",IF(AND(AJ$5&gt;=$K13,AJ$5&lt;=$L13),IF(NETWORKDAYS($K13,AJ$5,休日)=1,"○",IF(NETWORKDAYS(AJ$5,$L13,休日)=1,"▶","→")),"")))</f>
        <v/>
      </c>
      <c r="AK13" s="116">
        <f>IF(OR($K13="",$L13=""),"",IF(NETWORKDAYS(AK$5,AK$5,休日)=0,"",IF(AND(AK$5&gt;=$K13,AK$5&lt;=$L13),IF(NETWORKDAYS($K13,AK$5,休日)=1,"○",IF(NETWORKDAYS(AK$5,$L13,休日)=1,"▶","→")),"")))</f>
        <v/>
      </c>
      <c r="AL13" s="116">
        <f>IF(OR($K13="",$L13=""),"",IF(NETWORKDAYS(AL$5,AL$5,休日)=0,"",IF(AND(AL$5&gt;=$K13,AL$5&lt;=$L13),IF(NETWORKDAYS($K13,AL$5,休日)=1,"○",IF(NETWORKDAYS(AL$5,$L13,休日)=1,"▶","→")),"")))</f>
        <v/>
      </c>
      <c r="AM13" s="116">
        <f>IF(OR($K13="",$L13=""),"",IF(NETWORKDAYS(AM$5,AM$5,休日)=0,"",IF(AND(AM$5&gt;=$K13,AM$5&lt;=$L13),IF(NETWORKDAYS($K13,AM$5,休日)=1,"○",IF(NETWORKDAYS(AM$5,$L13,休日)=1,"▶","→")),"")))</f>
        <v/>
      </c>
      <c r="AN13" s="116">
        <f>IF(OR($K13="",$L13=""),"",IF(NETWORKDAYS(AN$5,AN$5,休日)=0,"",IF(AND(AN$5&gt;=$K13,AN$5&lt;=$L13),IF(NETWORKDAYS($K13,AN$5,休日)=1,"○",IF(NETWORKDAYS(AN$5,$L13,休日)=1,"▶","→")),"")))</f>
        <v/>
      </c>
      <c r="AO13" s="116">
        <f>IF(OR($K13="",$L13=""),"",IF(NETWORKDAYS(AO$5,AO$5,休日)=0,"",IF(AND(AO$5&gt;=$K13,AO$5&lt;=$L13),IF(NETWORKDAYS($K13,AO$5,休日)=1,"○",IF(NETWORKDAYS(AO$5,$L13,休日)=1,"▶","→")),"")))</f>
        <v/>
      </c>
      <c r="AP13" s="116">
        <f>IF(OR($K13="",$L13=""),"",IF(NETWORKDAYS(AP$5,AP$5,休日)=0,"",IF(AND(AP$5&gt;=$K13,AP$5&lt;=$L13),IF(NETWORKDAYS($K13,AP$5,休日)=1,"○",IF(NETWORKDAYS(AP$5,$L13,休日)=1,"▶","→")),"")))</f>
        <v/>
      </c>
      <c r="AQ13" s="116">
        <f>IF(OR($K13="",$L13=""),"",IF(NETWORKDAYS(AQ$5,AQ$5,休日)=0,"",IF(AND(AQ$5&gt;=$K13,AQ$5&lt;=$L13),IF(NETWORKDAYS($K13,AQ$5,休日)=1,"○",IF(NETWORKDAYS(AQ$5,$L13,休日)=1,"▶","→")),"")))</f>
        <v/>
      </c>
      <c r="AR13" s="116">
        <f>IF(OR($K13="",$L13=""),"",IF(NETWORKDAYS(AR$5,AR$5,休日)=0,"",IF(AND(AR$5&gt;=$K13,AR$5&lt;=$L13),IF(NETWORKDAYS($K13,AR$5,休日)=1,"○",IF(NETWORKDAYS(AR$5,$L13,休日)=1,"▶","→")),"")))</f>
        <v/>
      </c>
      <c r="AS13" s="116">
        <f>IF(OR($K13="",$L13=""),"",IF(NETWORKDAYS(AS$5,AS$5,休日)=0,"",IF(AND(AS$5&gt;=$K13,AS$5&lt;=$L13),IF(NETWORKDAYS($K13,AS$5,休日)=1,"○",IF(NETWORKDAYS(AS$5,$L13,休日)=1,"▶","→")),"")))</f>
        <v/>
      </c>
      <c r="AT13" s="116">
        <f>IF(OR($K13="",$L13=""),"",IF(NETWORKDAYS(AT$5,AT$5,休日)=0,"",IF(AND(AT$5&gt;=$K13,AT$5&lt;=$L13),IF(NETWORKDAYS($K13,AT$5,休日)=1,"○",IF(NETWORKDAYS(AT$5,$L13,休日)=1,"▶","→")),"")))</f>
        <v/>
      </c>
      <c r="AU13" s="116">
        <f>IF(OR($K13="",$L13=""),"",IF(NETWORKDAYS(AU$5,AU$5,休日)=0,"",IF(AND(AU$5&gt;=$K13,AU$5&lt;=$L13),IF(NETWORKDAYS($K13,AU$5,休日)=1,"○",IF(NETWORKDAYS(AU$5,$L13,休日)=1,"▶","→")),"")))</f>
        <v/>
      </c>
      <c r="AV13" s="116">
        <f>IF(OR($K13="",$L13=""),"",IF(NETWORKDAYS(AV$5,AV$5,休日)=0,"",IF(AND(AV$5&gt;=$K13,AV$5&lt;=$L13),IF(NETWORKDAYS($K13,AV$5,休日)=1,"○",IF(NETWORKDAYS(AV$5,$L13,休日)=1,"▶","→")),"")))</f>
        <v/>
      </c>
      <c r="AW13" s="116">
        <f>IF(OR($K13="",$L13=""),"",IF(NETWORKDAYS(AW$5,AW$5,休日)=0,"",IF(AND(AW$5&gt;=$K13,AW$5&lt;=$L13),IF(NETWORKDAYS($K13,AW$5,休日)=1,"○",IF(NETWORKDAYS(AW$5,$L13,休日)=1,"▶","→")),"")))</f>
        <v/>
      </c>
      <c r="AX13" s="116">
        <f>IF(OR($K13="",$L13=""),"",IF(NETWORKDAYS(AX$5,AX$5,休日)=0,"",IF(AND(AX$5&gt;=$K13,AX$5&lt;=$L13),IF(NETWORKDAYS($K13,AX$5,休日)=1,"○",IF(NETWORKDAYS(AX$5,$L13,休日)=1,"▶","→")),"")))</f>
        <v/>
      </c>
      <c r="AY13" s="116">
        <f>IF(OR($K13="",$L13=""),"",IF(NETWORKDAYS(AY$5,AY$5,休日)=0,"",IF(AND(AY$5&gt;=$K13,AY$5&lt;=$L13),IF(NETWORKDAYS($K13,AY$5,休日)=1,"○",IF(NETWORKDAYS(AY$5,$L13,休日)=1,"▶","→")),"")))</f>
        <v/>
      </c>
      <c r="AZ13" s="116">
        <f>IF(OR($K13="",$L13=""),"",IF(NETWORKDAYS(AZ$5,AZ$5,休日)=0,"",IF(AND(AZ$5&gt;=$K13,AZ$5&lt;=$L13),IF(NETWORKDAYS($K13,AZ$5,休日)=1,"○",IF(NETWORKDAYS(AZ$5,$L13,休日)=1,"▶","→")),"")))</f>
        <v/>
      </c>
      <c r="BA13" s="116">
        <f>IF(OR($K13="",$L13=""),"",IF(NETWORKDAYS(BA$5,BA$5,休日)=0,"",IF(AND(BA$5&gt;=$K13,BA$5&lt;=$L13),IF(NETWORKDAYS($K13,BA$5,休日)=1,"○",IF(NETWORKDAYS(BA$5,$L13,休日)=1,"▶","→")),"")))</f>
        <v/>
      </c>
      <c r="BB13" s="116">
        <f>IF(OR($K13="",$L13=""),"",IF(NETWORKDAYS(BB$5,BB$5,休日)=0,"",IF(AND(BB$5&gt;=$K13,BB$5&lt;=$L13),IF(NETWORKDAYS($K13,BB$5,休日)=1,"○",IF(NETWORKDAYS(BB$5,$L13,休日)=1,"▶","→")),"")))</f>
        <v/>
      </c>
      <c r="BC13" s="116">
        <f>IF(OR($K13="",$L13=""),"",IF(NETWORKDAYS(BC$5,BC$5,休日)=0,"",IF(AND(BC$5&gt;=$K13,BC$5&lt;=$L13),IF(NETWORKDAYS($K13,BC$5,休日)=1,"○",IF(NETWORKDAYS(BC$5,$L13,休日)=1,"▶","→")),"")))</f>
        <v/>
      </c>
      <c r="BD13" s="116">
        <f>IF(OR($K13="",$L13=""),"",IF(NETWORKDAYS(BD$5,BD$5,休日)=0,"",IF(AND(BD$5&gt;=$K13,BD$5&lt;=$L13),IF(NETWORKDAYS($K13,BD$5,休日)=1,"○",IF(NETWORKDAYS(BD$5,$L13,休日)=1,"▶","→")),"")))</f>
        <v/>
      </c>
      <c r="BE13" s="116">
        <f>IF(OR($K13="",$L13=""),"",IF(NETWORKDAYS(BE$5,BE$5,休日)=0,"",IF(AND(BE$5&gt;=$K13,BE$5&lt;=$L13),IF(NETWORKDAYS($K13,BE$5,休日)=1,"○",IF(NETWORKDAYS(BE$5,$L13,休日)=1,"▶","→")),"")))</f>
        <v/>
      </c>
      <c r="BF13" s="116">
        <f>IF(OR($K13="",$L13=""),"",IF(NETWORKDAYS(BF$5,BF$5,休日)=0,"",IF(AND(BF$5&gt;=$K13,BF$5&lt;=$L13),IF(NETWORKDAYS($K13,BF$5,休日)=1,"○",IF(NETWORKDAYS(BF$5,$L13,休日)=1,"▶","→")),"")))</f>
        <v/>
      </c>
      <c r="BG13" s="116">
        <f>IF(OR($K13="",$L13=""),"",IF(NETWORKDAYS(BG$5,BG$5,休日)=0,"",IF(AND(BG$5&gt;=$K13,BG$5&lt;=$L13),IF(NETWORKDAYS($K13,BG$5,休日)=1,"○",IF(NETWORKDAYS(BG$5,$L13,休日)=1,"▶","→")),"")))</f>
        <v/>
      </c>
      <c r="BH13" s="116">
        <f>IF(OR($K13="",$L13=""),"",IF(NETWORKDAYS(BH$5,BH$5,休日)=0,"",IF(AND(BH$5&gt;=$K13,BH$5&lt;=$L13),IF(NETWORKDAYS($K13,BH$5,休日)=1,"○",IF(NETWORKDAYS(BH$5,$L13,休日)=1,"▶","→")),"")))</f>
        <v/>
      </c>
      <c r="BI13" s="116">
        <f>IF(OR($K13="",$L13=""),"",IF(NETWORKDAYS(BI$5,BI$5,休日)=0,"",IF(AND(BI$5&gt;=$K13,BI$5&lt;=$L13),IF(NETWORKDAYS($K13,BI$5,休日)=1,"○",IF(NETWORKDAYS(BI$5,$L13,休日)=1,"▶","→")),"")))</f>
        <v/>
      </c>
      <c r="BJ13" s="116">
        <f>IF(OR($K13="",$L13=""),"",IF(NETWORKDAYS(BJ$5,BJ$5,休日)=0,"",IF(AND(BJ$5&gt;=$K13,BJ$5&lt;=$L13),IF(NETWORKDAYS($K13,BJ$5,休日)=1,"○",IF(NETWORKDAYS(BJ$5,$L13,休日)=1,"▶","→")),"")))</f>
        <v/>
      </c>
      <c r="BK13" s="116">
        <f>IF(OR($K13="",$L13=""),"",IF(NETWORKDAYS(BK$5,BK$5,休日)=0,"",IF(AND(BK$5&gt;=$K13,BK$5&lt;=$L13),IF(NETWORKDAYS($K13,BK$5,休日)=1,"○",IF(NETWORKDAYS(BK$5,$L13,休日)=1,"▶","→")),"")))</f>
        <v/>
      </c>
      <c r="BL13" s="116">
        <f>IF(OR($K13="",$L13=""),"",IF(NETWORKDAYS(BL$5,BL$5,休日)=0,"",IF(AND(BL$5&gt;=$K13,BL$5&lt;=$L13),IF(NETWORKDAYS($K13,BL$5,休日)=1,"○",IF(NETWORKDAYS(BL$5,$L13,休日)=1,"▶","→")),"")))</f>
        <v/>
      </c>
      <c r="BM13" s="116">
        <f>IF(OR($K13="",$L13=""),"",IF(NETWORKDAYS(BM$5,BM$5,休日)=0,"",IF(AND(BM$5&gt;=$K13,BM$5&lt;=$L13),IF(NETWORKDAYS($K13,BM$5,休日)=1,"○",IF(NETWORKDAYS(BM$5,$L13,休日)=1,"▶","→")),"")))</f>
        <v/>
      </c>
      <c r="BN13" s="116">
        <f>IF(OR($K13="",$L13=""),"",IF(NETWORKDAYS(BN$5,BN$5,休日)=0,"",IF(AND(BN$5&gt;=$K13,BN$5&lt;=$L13),IF(NETWORKDAYS($K13,BN$5,休日)=1,"○",IF(NETWORKDAYS(BN$5,$L13,休日)=1,"▶","→")),"")))</f>
        <v/>
      </c>
      <c r="BO13" s="116">
        <f>IF(OR($K13="",$L13=""),"",IF(NETWORKDAYS(BO$5,BO$5,休日)=0,"",IF(AND(BO$5&gt;=$K13,BO$5&lt;=$L13),IF(NETWORKDAYS($K13,BO$5,休日)=1,"○",IF(NETWORKDAYS(BO$5,$L13,休日)=1,"▶","→")),"")))</f>
        <v/>
      </c>
      <c r="BP13" s="116">
        <f>IF(OR($K13="",$L13=""),"",IF(NETWORKDAYS(BP$5,BP$5,休日)=0,"",IF(AND(BP$5&gt;=$K13,BP$5&lt;=$L13),IF(NETWORKDAYS($K13,BP$5,休日)=1,"○",IF(NETWORKDAYS(BP$5,$L13,休日)=1,"▶","→")),"")))</f>
        <v/>
      </c>
      <c r="BQ13" s="116">
        <f>IF(OR($K13="",$L13=""),"",IF(NETWORKDAYS(BQ$5,BQ$5,休日)=0,"",IF(AND(BQ$5&gt;=$K13,BQ$5&lt;=$L13),IF(NETWORKDAYS($K13,BQ$5,休日)=1,"○",IF(NETWORKDAYS(BQ$5,$L13,休日)=1,"▶","→")),"")))</f>
        <v/>
      </c>
      <c r="BR13" s="116">
        <f>IF(OR($K13="",$L13=""),"",IF(NETWORKDAYS(BR$5,BR$5,休日)=0,"",IF(AND(BR$5&gt;=$K13,BR$5&lt;=$L13),IF(NETWORKDAYS($K13,BR$5,休日)=1,"○",IF(NETWORKDAYS(BR$5,$L13,休日)=1,"▶","→")),"")))</f>
        <v/>
      </c>
      <c r="BS13" s="116">
        <f>IF(OR($K13="",$L13=""),"",IF(NETWORKDAYS(BS$5,BS$5,休日)=0,"",IF(AND(BS$5&gt;=$K13,BS$5&lt;=$L13),IF(NETWORKDAYS($K13,BS$5,休日)=1,"○",IF(NETWORKDAYS(BS$5,$L13,休日)=1,"▶","→")),"")))</f>
        <v/>
      </c>
      <c r="BT13" s="116">
        <f>IF(OR($K13="",$L13=""),"",IF(NETWORKDAYS(BT$5,BT$5,休日)=0,"",IF(AND(BT$5&gt;=$K13,BT$5&lt;=$L13),IF(NETWORKDAYS($K13,BT$5,休日)=1,"○",IF(NETWORKDAYS(BT$5,$L13,休日)=1,"▶","→")),"")))</f>
        <v/>
      </c>
      <c r="BU13" s="116">
        <f>IF(OR($K13="",$L13=""),"",IF(NETWORKDAYS(BU$5,BU$5,休日)=0,"",IF(AND(BU$5&gt;=$K13,BU$5&lt;=$L13),IF(NETWORKDAYS($K13,BU$5,休日)=1,"○",IF(NETWORKDAYS(BU$5,$L13,休日)=1,"▶","→")),"")))</f>
        <v/>
      </c>
      <c r="BV13" s="116">
        <f>IF(OR($K13="",$L13=""),"",IF(NETWORKDAYS(BV$5,BV$5,休日)=0,"",IF(AND(BV$5&gt;=$K13,BV$5&lt;=$L13),IF(NETWORKDAYS($K13,BV$5,休日)=1,"○",IF(NETWORKDAYS(BV$5,$L13,休日)=1,"▶","→")),"")))</f>
        <v/>
      </c>
      <c r="BW13" s="116">
        <f>IF(OR($K13="",$L13=""),"",IF(NETWORKDAYS(BW$5,BW$5,休日)=0,"",IF(AND(BW$5&gt;=$K13,BW$5&lt;=$L13),IF(NETWORKDAYS($K13,BW$5,休日)=1,"○",IF(NETWORKDAYS(BW$5,$L13,休日)=1,"▶","→")),"")))</f>
        <v/>
      </c>
      <c r="BX13" s="116">
        <f>IF(OR($K13="",$L13=""),"",IF(NETWORKDAYS(BX$5,BX$5,休日)=0,"",IF(AND(BX$5&gt;=$K13,BX$5&lt;=$L13),IF(NETWORKDAYS($K13,BX$5,休日)=1,"○",IF(NETWORKDAYS(BX$5,$L13,休日)=1,"▶","→")),"")))</f>
        <v/>
      </c>
      <c r="BY13" s="116">
        <f>IF(OR($K13="",$L13=""),"",IF(NETWORKDAYS(BY$5,BY$5,休日)=0,"",IF(AND(BY$5&gt;=$K13,BY$5&lt;=$L13),IF(NETWORKDAYS($K13,BY$5,休日)=1,"○",IF(NETWORKDAYS(BY$5,$L13,休日)=1,"▶","→")),"")))</f>
        <v/>
      </c>
      <c r="BZ13" s="116">
        <f>IF(OR($K13="",$L13=""),"",IF(NETWORKDAYS(BZ$5,BZ$5,休日)=0,"",IF(AND(BZ$5&gt;=$K13,BZ$5&lt;=$L13),IF(NETWORKDAYS($K13,BZ$5,休日)=1,"○",IF(NETWORKDAYS(BZ$5,$L13,休日)=1,"▶","→")),"")))</f>
        <v/>
      </c>
      <c r="CA13" s="116">
        <f>IF(OR($K13="",$L13=""),"",IF(NETWORKDAYS(CA$5,CA$5,休日)=0,"",IF(AND(CA$5&gt;=$K13,CA$5&lt;=$L13),IF(NETWORKDAYS($K13,CA$5,休日)=1,"○",IF(NETWORKDAYS(CA$5,$L13,休日)=1,"▶","→")),"")))</f>
        <v/>
      </c>
      <c r="CB13" s="116">
        <f>IF(OR($K13="",$L13=""),"",IF(NETWORKDAYS(CB$5,CB$5,休日)=0,"",IF(AND(CB$5&gt;=$K13,CB$5&lt;=$L13),IF(NETWORKDAYS($K13,CB$5,休日)=1,"○",IF(NETWORKDAYS(CB$5,$L13,休日)=1,"▶","→")),"")))</f>
        <v/>
      </c>
      <c r="CC13" s="116">
        <f>IF(OR($K13="",$L13=""),"",IF(NETWORKDAYS(CC$5,CC$5,休日)=0,"",IF(AND(CC$5&gt;=$K13,CC$5&lt;=$L13),IF(NETWORKDAYS($K13,CC$5,休日)=1,"○",IF(NETWORKDAYS(CC$5,$L13,休日)=1,"▶","→")),"")))</f>
        <v/>
      </c>
      <c r="CD13" s="116">
        <f>IF(OR($K13="",$L13=""),"",IF(NETWORKDAYS(CD$5,CD$5,休日)=0,"",IF(AND(CD$5&gt;=$K13,CD$5&lt;=$L13),IF(NETWORKDAYS($K13,CD$5,休日)=1,"○",IF(NETWORKDAYS(CD$5,$L13,休日)=1,"▶","→")),"")))</f>
        <v/>
      </c>
      <c r="CE13" s="116">
        <f>IF(OR($K13="",$L13=""),"",IF(NETWORKDAYS(CE$5,CE$5,休日)=0,"",IF(AND(CE$5&gt;=$K13,CE$5&lt;=$L13),IF(NETWORKDAYS($K13,CE$5,休日)=1,"○",IF(NETWORKDAYS(CE$5,$L13,休日)=1,"▶","→")),"")))</f>
        <v/>
      </c>
      <c r="CF13" s="116">
        <f>IF(OR($K13="",$L13=""),"",IF(NETWORKDAYS(CF$5,CF$5,休日)=0,"",IF(AND(CF$5&gt;=$K13,CF$5&lt;=$L13),IF(NETWORKDAYS($K13,CF$5,休日)=1,"○",IF(NETWORKDAYS(CF$5,$L13,休日)=1,"▶","→")),"")))</f>
        <v/>
      </c>
      <c r="CG13" s="116">
        <f>IF(OR($K13="",$L13=""),"",IF(NETWORKDAYS(CG$5,CG$5,休日)=0,"",IF(AND(CG$5&gt;=$K13,CG$5&lt;=$L13),IF(NETWORKDAYS($K13,CG$5,休日)=1,"○",IF(NETWORKDAYS(CG$5,$L13,休日)=1,"▶","→")),"")))</f>
        <v/>
      </c>
      <c r="CH13" s="116">
        <f>IF(OR($K13="",$L13=""),"",IF(NETWORKDAYS(CH$5,CH$5,休日)=0,"",IF(AND(CH$5&gt;=$K13,CH$5&lt;=$L13),IF(NETWORKDAYS($K13,CH$5,休日)=1,"○",IF(NETWORKDAYS(CH$5,$L13,休日)=1,"▶","→")),"")))</f>
        <v/>
      </c>
      <c r="CI13" s="116">
        <f>IF(OR($K13="",$L13=""),"",IF(NETWORKDAYS(CI$5,CI$5,休日)=0,"",IF(AND(CI$5&gt;=$K13,CI$5&lt;=$L13),IF(NETWORKDAYS($K13,CI$5,休日)=1,"○",IF(NETWORKDAYS(CI$5,$L13,休日)=1,"▶","→")),"")))</f>
        <v/>
      </c>
      <c r="CJ13" s="116">
        <f>IF(OR($K13="",$L13=""),"",IF(NETWORKDAYS(CJ$5,CJ$5,休日)=0,"",IF(AND(CJ$5&gt;=$K13,CJ$5&lt;=$L13),IF(NETWORKDAYS($K13,CJ$5,休日)=1,"○",IF(NETWORKDAYS(CJ$5,$L13,休日)=1,"▶","→")),"")))</f>
        <v/>
      </c>
      <c r="CK13" s="116">
        <f>IF(OR($K13="",$L13=""),"",IF(NETWORKDAYS(CK$5,CK$5,休日)=0,"",IF(AND(CK$5&gt;=$K13,CK$5&lt;=$L13),IF(NETWORKDAYS($K13,CK$5,休日)=1,"○",IF(NETWORKDAYS(CK$5,$L13,休日)=1,"▶","→")),"")))</f>
        <v/>
      </c>
      <c r="CL13" s="116">
        <f>IF(OR($K13="",$L13=""),"",IF(NETWORKDAYS(CL$5,CL$5,休日)=0,"",IF(AND(CL$5&gt;=$K13,CL$5&lt;=$L13),IF(NETWORKDAYS($K13,CL$5,休日)=1,"○",IF(NETWORKDAYS(CL$5,$L13,休日)=1,"▶","→")),"")))</f>
        <v/>
      </c>
      <c r="CM13" s="116">
        <f>IF(OR($K13="",$L13=""),"",IF(NETWORKDAYS(CM$5,CM$5,休日)=0,"",IF(AND(CM$5&gt;=$K13,CM$5&lt;=$L13),IF(NETWORKDAYS($K13,CM$5,休日)=1,"○",IF(NETWORKDAYS(CM$5,$L13,休日)=1,"▶","→")),"")))</f>
        <v/>
      </c>
      <c r="CN13" s="116">
        <f>IF(OR($K13="",$L13=""),"",IF(NETWORKDAYS(CN$5,CN$5,休日)=0,"",IF(AND(CN$5&gt;=$K13,CN$5&lt;=$L13),IF(NETWORKDAYS($K13,CN$5,休日)=1,"○",IF(NETWORKDAYS(CN$5,$L13,休日)=1,"▶","→")),"")))</f>
        <v/>
      </c>
      <c r="CO13" s="116">
        <f>IF(OR($K13="",$L13=""),"",IF(NETWORKDAYS(CO$5,CO$5,休日)=0,"",IF(AND(CO$5&gt;=$K13,CO$5&lt;=$L13),IF(NETWORKDAYS($K13,CO$5,休日)=1,"○",IF(NETWORKDAYS(CO$5,$L13,休日)=1,"▶","→")),"")))</f>
        <v/>
      </c>
    </row>
    <row r="14" ht="32" customHeight="1" s="98">
      <c r="A14" s="5" t="n"/>
      <c r="B14" s="100" t="inlineStr">
        <is>
          <t>1.7</t>
        </is>
      </c>
      <c r="C14" s="101" t="inlineStr">
        <is>
          <t>調査・Mapping</t>
        </is>
      </c>
      <c r="D14" s="101" t="inlineStr">
        <is>
          <t>B1</t>
        </is>
      </c>
      <c r="E14" s="101" t="inlineStr">
        <is>
          <t>倉庫系対象外の整理（DC在庫なし）</t>
        </is>
      </c>
      <c r="F14" s="101" t="inlineStr">
        <is>
          <t>倉庫系（対象外）</t>
        </is>
      </c>
      <c r="G14" s="100" t="inlineStr">
        <is>
          <t>B1</t>
        </is>
      </c>
      <c r="H14" s="100" t="inlineStr">
        <is>
          <t>尹启林</t>
        </is>
      </c>
      <c r="I14" s="113" t="n">
        <v>2</v>
      </c>
      <c r="J14" s="100" t="inlineStr">
        <is>
          <t>－</t>
        </is>
      </c>
      <c r="K14" s="114" t="n">
        <v>46308</v>
      </c>
      <c r="L14" s="114" t="n">
        <v>46318</v>
      </c>
      <c r="M14" s="114" t="n"/>
      <c r="N14" s="114" t="n"/>
      <c r="O14" s="100" t="inlineStr">
        <is>
          <t>未着手</t>
        </is>
      </c>
      <c r="P14" s="115" t="n">
        <v>0</v>
      </c>
      <c r="Q14" s="100" t="inlineStr">
        <is>
          <t>G①</t>
        </is>
      </c>
      <c r="R14" s="101" t="inlineStr">
        <is>
          <t>倉庫商品マスタにTRIAL青果水煮相当は無し（確認済）。残件は閉じた</t>
        </is>
      </c>
      <c r="S14" s="116">
        <f>IF(OR($K14="",$L14=""),"",IF(NETWORKDAYS(S$5,S$5,休日)=0,"",IF(AND(S$5&gt;=$K14,S$5&lt;=$L14),IF(NETWORKDAYS($K14,S$5,休日)=1,"○",IF(NETWORKDAYS(S$5,$L14,休日)=1,"▶","→")),"")))</f>
        <v/>
      </c>
      <c r="T14" s="116">
        <f>IF(OR($K14="",$L14=""),"",IF(NETWORKDAYS(T$5,T$5,休日)=0,"",IF(AND(T$5&gt;=$K14,T$5&lt;=$L14),IF(NETWORKDAYS($K14,T$5,休日)=1,"○",IF(NETWORKDAYS(T$5,$L14,休日)=1,"▶","→")),"")))</f>
        <v/>
      </c>
      <c r="U14" s="116">
        <f>IF(OR($K14="",$L14=""),"",IF(NETWORKDAYS(U$5,U$5,休日)=0,"",IF(AND(U$5&gt;=$K14,U$5&lt;=$L14),IF(NETWORKDAYS($K14,U$5,休日)=1,"○",IF(NETWORKDAYS(U$5,$L14,休日)=1,"▶","→")),"")))</f>
        <v/>
      </c>
      <c r="V14" s="116">
        <f>IF(OR($K14="",$L14=""),"",IF(NETWORKDAYS(V$5,V$5,休日)=0,"",IF(AND(V$5&gt;=$K14,V$5&lt;=$L14),IF(NETWORKDAYS($K14,V$5,休日)=1,"○",IF(NETWORKDAYS(V$5,$L14,休日)=1,"▶","→")),"")))</f>
        <v/>
      </c>
      <c r="W14" s="116">
        <f>IF(OR($K14="",$L14=""),"",IF(NETWORKDAYS(W$5,W$5,休日)=0,"",IF(AND(W$5&gt;=$K14,W$5&lt;=$L14),IF(NETWORKDAYS($K14,W$5,休日)=1,"○",IF(NETWORKDAYS(W$5,$L14,休日)=1,"▶","→")),"")))</f>
        <v/>
      </c>
      <c r="X14" s="116">
        <f>IF(OR($K14="",$L14=""),"",IF(NETWORKDAYS(X$5,X$5,休日)=0,"",IF(AND(X$5&gt;=$K14,X$5&lt;=$L14),IF(NETWORKDAYS($K14,X$5,休日)=1,"○",IF(NETWORKDAYS(X$5,$L14,休日)=1,"▶","→")),"")))</f>
        <v/>
      </c>
      <c r="Y14" s="116">
        <f>IF(OR($K14="",$L14=""),"",IF(NETWORKDAYS(Y$5,Y$5,休日)=0,"",IF(AND(Y$5&gt;=$K14,Y$5&lt;=$L14),IF(NETWORKDAYS($K14,Y$5,休日)=1,"○",IF(NETWORKDAYS(Y$5,$L14,休日)=1,"▶","→")),"")))</f>
        <v/>
      </c>
      <c r="Z14" s="116">
        <f>IF(OR($K14="",$L14=""),"",IF(NETWORKDAYS(Z$5,Z$5,休日)=0,"",IF(AND(Z$5&gt;=$K14,Z$5&lt;=$L14),IF(NETWORKDAYS($K14,Z$5,休日)=1,"○",IF(NETWORKDAYS(Z$5,$L14,休日)=1,"▶","→")),"")))</f>
        <v/>
      </c>
      <c r="AA14" s="116">
        <f>IF(OR($K14="",$L14=""),"",IF(NETWORKDAYS(AA$5,AA$5,休日)=0,"",IF(AND(AA$5&gt;=$K14,AA$5&lt;=$L14),IF(NETWORKDAYS($K14,AA$5,休日)=1,"○",IF(NETWORKDAYS(AA$5,$L14,休日)=1,"▶","→")),"")))</f>
        <v/>
      </c>
      <c r="AB14" s="116">
        <f>IF(OR($K14="",$L14=""),"",IF(NETWORKDAYS(AB$5,AB$5,休日)=0,"",IF(AND(AB$5&gt;=$K14,AB$5&lt;=$L14),IF(NETWORKDAYS($K14,AB$5,休日)=1,"○",IF(NETWORKDAYS(AB$5,$L14,休日)=1,"▶","→")),"")))</f>
        <v/>
      </c>
      <c r="AC14" s="116">
        <f>IF(OR($K14="",$L14=""),"",IF(NETWORKDAYS(AC$5,AC$5,休日)=0,"",IF(AND(AC$5&gt;=$K14,AC$5&lt;=$L14),IF(NETWORKDAYS($K14,AC$5,休日)=1,"○",IF(NETWORKDAYS(AC$5,$L14,休日)=1,"▶","→")),"")))</f>
        <v/>
      </c>
      <c r="AD14" s="116">
        <f>IF(OR($K14="",$L14=""),"",IF(NETWORKDAYS(AD$5,AD$5,休日)=0,"",IF(AND(AD$5&gt;=$K14,AD$5&lt;=$L14),IF(NETWORKDAYS($K14,AD$5,休日)=1,"○",IF(NETWORKDAYS(AD$5,$L14,休日)=1,"▶","→")),"")))</f>
        <v/>
      </c>
      <c r="AE14" s="116">
        <f>IF(OR($K14="",$L14=""),"",IF(NETWORKDAYS(AE$5,AE$5,休日)=0,"",IF(AND(AE$5&gt;=$K14,AE$5&lt;=$L14),IF(NETWORKDAYS($K14,AE$5,休日)=1,"○",IF(NETWORKDAYS(AE$5,$L14,休日)=1,"▶","→")),"")))</f>
        <v/>
      </c>
      <c r="AF14" s="116">
        <f>IF(OR($K14="",$L14=""),"",IF(NETWORKDAYS(AF$5,AF$5,休日)=0,"",IF(AND(AF$5&gt;=$K14,AF$5&lt;=$L14),IF(NETWORKDAYS($K14,AF$5,休日)=1,"○",IF(NETWORKDAYS(AF$5,$L14,休日)=1,"▶","→")),"")))</f>
        <v/>
      </c>
      <c r="AG14" s="116">
        <f>IF(OR($K14="",$L14=""),"",IF(NETWORKDAYS(AG$5,AG$5,休日)=0,"",IF(AND(AG$5&gt;=$K14,AG$5&lt;=$L14),IF(NETWORKDAYS($K14,AG$5,休日)=1,"○",IF(NETWORKDAYS(AG$5,$L14,休日)=1,"▶","→")),"")))</f>
        <v/>
      </c>
      <c r="AH14" s="116">
        <f>IF(OR($K14="",$L14=""),"",IF(NETWORKDAYS(AH$5,AH$5,休日)=0,"",IF(AND(AH$5&gt;=$K14,AH$5&lt;=$L14),IF(NETWORKDAYS($K14,AH$5,休日)=1,"○",IF(NETWORKDAYS(AH$5,$L14,休日)=1,"▶","→")),"")))</f>
        <v/>
      </c>
      <c r="AI14" s="116">
        <f>IF(OR($K14="",$L14=""),"",IF(NETWORKDAYS(AI$5,AI$5,休日)=0,"",IF(AND(AI$5&gt;=$K14,AI$5&lt;=$L14),IF(NETWORKDAYS($K14,AI$5,休日)=1,"○",IF(NETWORKDAYS(AI$5,$L14,休日)=1,"▶","→")),"")))</f>
        <v/>
      </c>
      <c r="AJ14" s="116">
        <f>IF(OR($K14="",$L14=""),"",IF(NETWORKDAYS(AJ$5,AJ$5,休日)=0,"",IF(AND(AJ$5&gt;=$K14,AJ$5&lt;=$L14),IF(NETWORKDAYS($K14,AJ$5,休日)=1,"○",IF(NETWORKDAYS(AJ$5,$L14,休日)=1,"▶","→")),"")))</f>
        <v/>
      </c>
      <c r="AK14" s="116">
        <f>IF(OR($K14="",$L14=""),"",IF(NETWORKDAYS(AK$5,AK$5,休日)=0,"",IF(AND(AK$5&gt;=$K14,AK$5&lt;=$L14),IF(NETWORKDAYS($K14,AK$5,休日)=1,"○",IF(NETWORKDAYS(AK$5,$L14,休日)=1,"▶","→")),"")))</f>
        <v/>
      </c>
      <c r="AL14" s="116">
        <f>IF(OR($K14="",$L14=""),"",IF(NETWORKDAYS(AL$5,AL$5,休日)=0,"",IF(AND(AL$5&gt;=$K14,AL$5&lt;=$L14),IF(NETWORKDAYS($K14,AL$5,休日)=1,"○",IF(NETWORKDAYS(AL$5,$L14,休日)=1,"▶","→")),"")))</f>
        <v/>
      </c>
      <c r="AM14" s="116">
        <f>IF(OR($K14="",$L14=""),"",IF(NETWORKDAYS(AM$5,AM$5,休日)=0,"",IF(AND(AM$5&gt;=$K14,AM$5&lt;=$L14),IF(NETWORKDAYS($K14,AM$5,休日)=1,"○",IF(NETWORKDAYS(AM$5,$L14,休日)=1,"▶","→")),"")))</f>
        <v/>
      </c>
      <c r="AN14" s="116">
        <f>IF(OR($K14="",$L14=""),"",IF(NETWORKDAYS(AN$5,AN$5,休日)=0,"",IF(AND(AN$5&gt;=$K14,AN$5&lt;=$L14),IF(NETWORKDAYS($K14,AN$5,休日)=1,"○",IF(NETWORKDAYS(AN$5,$L14,休日)=1,"▶","→")),"")))</f>
        <v/>
      </c>
      <c r="AO14" s="116">
        <f>IF(OR($K14="",$L14=""),"",IF(NETWORKDAYS(AO$5,AO$5,休日)=0,"",IF(AND(AO$5&gt;=$K14,AO$5&lt;=$L14),IF(NETWORKDAYS($K14,AO$5,休日)=1,"○",IF(NETWORKDAYS(AO$5,$L14,休日)=1,"▶","→")),"")))</f>
        <v/>
      </c>
      <c r="AP14" s="116">
        <f>IF(OR($K14="",$L14=""),"",IF(NETWORKDAYS(AP$5,AP$5,休日)=0,"",IF(AND(AP$5&gt;=$K14,AP$5&lt;=$L14),IF(NETWORKDAYS($K14,AP$5,休日)=1,"○",IF(NETWORKDAYS(AP$5,$L14,休日)=1,"▶","→")),"")))</f>
        <v/>
      </c>
      <c r="AQ14" s="116">
        <f>IF(OR($K14="",$L14=""),"",IF(NETWORKDAYS(AQ$5,AQ$5,休日)=0,"",IF(AND(AQ$5&gt;=$K14,AQ$5&lt;=$L14),IF(NETWORKDAYS($K14,AQ$5,休日)=1,"○",IF(NETWORKDAYS(AQ$5,$L14,休日)=1,"▶","→")),"")))</f>
        <v/>
      </c>
      <c r="AR14" s="116">
        <f>IF(OR($K14="",$L14=""),"",IF(NETWORKDAYS(AR$5,AR$5,休日)=0,"",IF(AND(AR$5&gt;=$K14,AR$5&lt;=$L14),IF(NETWORKDAYS($K14,AR$5,休日)=1,"○",IF(NETWORKDAYS(AR$5,$L14,休日)=1,"▶","→")),"")))</f>
        <v/>
      </c>
      <c r="AS14" s="116">
        <f>IF(OR($K14="",$L14=""),"",IF(NETWORKDAYS(AS$5,AS$5,休日)=0,"",IF(AND(AS$5&gt;=$K14,AS$5&lt;=$L14),IF(NETWORKDAYS($K14,AS$5,休日)=1,"○",IF(NETWORKDAYS(AS$5,$L14,休日)=1,"▶","→")),"")))</f>
        <v/>
      </c>
      <c r="AT14" s="116">
        <f>IF(OR($K14="",$L14=""),"",IF(NETWORKDAYS(AT$5,AT$5,休日)=0,"",IF(AND(AT$5&gt;=$K14,AT$5&lt;=$L14),IF(NETWORKDAYS($K14,AT$5,休日)=1,"○",IF(NETWORKDAYS(AT$5,$L14,休日)=1,"▶","→")),"")))</f>
        <v/>
      </c>
      <c r="AU14" s="116">
        <f>IF(OR($K14="",$L14=""),"",IF(NETWORKDAYS(AU$5,AU$5,休日)=0,"",IF(AND(AU$5&gt;=$K14,AU$5&lt;=$L14),IF(NETWORKDAYS($K14,AU$5,休日)=1,"○",IF(NETWORKDAYS(AU$5,$L14,休日)=1,"▶","→")),"")))</f>
        <v/>
      </c>
      <c r="AV14" s="116">
        <f>IF(OR($K14="",$L14=""),"",IF(NETWORKDAYS(AV$5,AV$5,休日)=0,"",IF(AND(AV$5&gt;=$K14,AV$5&lt;=$L14),IF(NETWORKDAYS($K14,AV$5,休日)=1,"○",IF(NETWORKDAYS(AV$5,$L14,休日)=1,"▶","→")),"")))</f>
        <v/>
      </c>
      <c r="AW14" s="116">
        <f>IF(OR($K14="",$L14=""),"",IF(NETWORKDAYS(AW$5,AW$5,休日)=0,"",IF(AND(AW$5&gt;=$K14,AW$5&lt;=$L14),IF(NETWORKDAYS($K14,AW$5,休日)=1,"○",IF(NETWORKDAYS(AW$5,$L14,休日)=1,"▶","→")),"")))</f>
        <v/>
      </c>
      <c r="AX14" s="116">
        <f>IF(OR($K14="",$L14=""),"",IF(NETWORKDAYS(AX$5,AX$5,休日)=0,"",IF(AND(AX$5&gt;=$K14,AX$5&lt;=$L14),IF(NETWORKDAYS($K14,AX$5,休日)=1,"○",IF(NETWORKDAYS(AX$5,$L14,休日)=1,"▶","→")),"")))</f>
        <v/>
      </c>
      <c r="AY14" s="116">
        <f>IF(OR($K14="",$L14=""),"",IF(NETWORKDAYS(AY$5,AY$5,休日)=0,"",IF(AND(AY$5&gt;=$K14,AY$5&lt;=$L14),IF(NETWORKDAYS($K14,AY$5,休日)=1,"○",IF(NETWORKDAYS(AY$5,$L14,休日)=1,"▶","→")),"")))</f>
        <v/>
      </c>
      <c r="AZ14" s="116">
        <f>IF(OR($K14="",$L14=""),"",IF(NETWORKDAYS(AZ$5,AZ$5,休日)=0,"",IF(AND(AZ$5&gt;=$K14,AZ$5&lt;=$L14),IF(NETWORKDAYS($K14,AZ$5,休日)=1,"○",IF(NETWORKDAYS(AZ$5,$L14,休日)=1,"▶","→")),"")))</f>
        <v/>
      </c>
      <c r="BA14" s="116">
        <f>IF(OR($K14="",$L14=""),"",IF(NETWORKDAYS(BA$5,BA$5,休日)=0,"",IF(AND(BA$5&gt;=$K14,BA$5&lt;=$L14),IF(NETWORKDAYS($K14,BA$5,休日)=1,"○",IF(NETWORKDAYS(BA$5,$L14,休日)=1,"▶","→")),"")))</f>
        <v/>
      </c>
      <c r="BB14" s="116">
        <f>IF(OR($K14="",$L14=""),"",IF(NETWORKDAYS(BB$5,BB$5,休日)=0,"",IF(AND(BB$5&gt;=$K14,BB$5&lt;=$L14),IF(NETWORKDAYS($K14,BB$5,休日)=1,"○",IF(NETWORKDAYS(BB$5,$L14,休日)=1,"▶","→")),"")))</f>
        <v/>
      </c>
      <c r="BC14" s="116">
        <f>IF(OR($K14="",$L14=""),"",IF(NETWORKDAYS(BC$5,BC$5,休日)=0,"",IF(AND(BC$5&gt;=$K14,BC$5&lt;=$L14),IF(NETWORKDAYS($K14,BC$5,休日)=1,"○",IF(NETWORKDAYS(BC$5,$L14,休日)=1,"▶","→")),"")))</f>
        <v/>
      </c>
      <c r="BD14" s="116">
        <f>IF(OR($K14="",$L14=""),"",IF(NETWORKDAYS(BD$5,BD$5,休日)=0,"",IF(AND(BD$5&gt;=$K14,BD$5&lt;=$L14),IF(NETWORKDAYS($K14,BD$5,休日)=1,"○",IF(NETWORKDAYS(BD$5,$L14,休日)=1,"▶","→")),"")))</f>
        <v/>
      </c>
      <c r="BE14" s="116">
        <f>IF(OR($K14="",$L14=""),"",IF(NETWORKDAYS(BE$5,BE$5,休日)=0,"",IF(AND(BE$5&gt;=$K14,BE$5&lt;=$L14),IF(NETWORKDAYS($K14,BE$5,休日)=1,"○",IF(NETWORKDAYS(BE$5,$L14,休日)=1,"▶","→")),"")))</f>
        <v/>
      </c>
      <c r="BF14" s="116">
        <f>IF(OR($K14="",$L14=""),"",IF(NETWORKDAYS(BF$5,BF$5,休日)=0,"",IF(AND(BF$5&gt;=$K14,BF$5&lt;=$L14),IF(NETWORKDAYS($K14,BF$5,休日)=1,"○",IF(NETWORKDAYS(BF$5,$L14,休日)=1,"▶","→")),"")))</f>
        <v/>
      </c>
      <c r="BG14" s="116">
        <f>IF(OR($K14="",$L14=""),"",IF(NETWORKDAYS(BG$5,BG$5,休日)=0,"",IF(AND(BG$5&gt;=$K14,BG$5&lt;=$L14),IF(NETWORKDAYS($K14,BG$5,休日)=1,"○",IF(NETWORKDAYS(BG$5,$L14,休日)=1,"▶","→")),"")))</f>
        <v/>
      </c>
      <c r="BH14" s="116">
        <f>IF(OR($K14="",$L14=""),"",IF(NETWORKDAYS(BH$5,BH$5,休日)=0,"",IF(AND(BH$5&gt;=$K14,BH$5&lt;=$L14),IF(NETWORKDAYS($K14,BH$5,休日)=1,"○",IF(NETWORKDAYS(BH$5,$L14,休日)=1,"▶","→")),"")))</f>
        <v/>
      </c>
      <c r="BI14" s="116">
        <f>IF(OR($K14="",$L14=""),"",IF(NETWORKDAYS(BI$5,BI$5,休日)=0,"",IF(AND(BI$5&gt;=$K14,BI$5&lt;=$L14),IF(NETWORKDAYS($K14,BI$5,休日)=1,"○",IF(NETWORKDAYS(BI$5,$L14,休日)=1,"▶","→")),"")))</f>
        <v/>
      </c>
      <c r="BJ14" s="116">
        <f>IF(OR($K14="",$L14=""),"",IF(NETWORKDAYS(BJ$5,BJ$5,休日)=0,"",IF(AND(BJ$5&gt;=$K14,BJ$5&lt;=$L14),IF(NETWORKDAYS($K14,BJ$5,休日)=1,"○",IF(NETWORKDAYS(BJ$5,$L14,休日)=1,"▶","→")),"")))</f>
        <v/>
      </c>
      <c r="BK14" s="116">
        <f>IF(OR($K14="",$L14=""),"",IF(NETWORKDAYS(BK$5,BK$5,休日)=0,"",IF(AND(BK$5&gt;=$K14,BK$5&lt;=$L14),IF(NETWORKDAYS($K14,BK$5,休日)=1,"○",IF(NETWORKDAYS(BK$5,$L14,休日)=1,"▶","→")),"")))</f>
        <v/>
      </c>
      <c r="BL14" s="116">
        <f>IF(OR($K14="",$L14=""),"",IF(NETWORKDAYS(BL$5,BL$5,休日)=0,"",IF(AND(BL$5&gt;=$K14,BL$5&lt;=$L14),IF(NETWORKDAYS($K14,BL$5,休日)=1,"○",IF(NETWORKDAYS(BL$5,$L14,休日)=1,"▶","→")),"")))</f>
        <v/>
      </c>
      <c r="BM14" s="116">
        <f>IF(OR($K14="",$L14=""),"",IF(NETWORKDAYS(BM$5,BM$5,休日)=0,"",IF(AND(BM$5&gt;=$K14,BM$5&lt;=$L14),IF(NETWORKDAYS($K14,BM$5,休日)=1,"○",IF(NETWORKDAYS(BM$5,$L14,休日)=1,"▶","→")),"")))</f>
        <v/>
      </c>
      <c r="BN14" s="116">
        <f>IF(OR($K14="",$L14=""),"",IF(NETWORKDAYS(BN$5,BN$5,休日)=0,"",IF(AND(BN$5&gt;=$K14,BN$5&lt;=$L14),IF(NETWORKDAYS($K14,BN$5,休日)=1,"○",IF(NETWORKDAYS(BN$5,$L14,休日)=1,"▶","→")),"")))</f>
        <v/>
      </c>
      <c r="BO14" s="116">
        <f>IF(OR($K14="",$L14=""),"",IF(NETWORKDAYS(BO$5,BO$5,休日)=0,"",IF(AND(BO$5&gt;=$K14,BO$5&lt;=$L14),IF(NETWORKDAYS($K14,BO$5,休日)=1,"○",IF(NETWORKDAYS(BO$5,$L14,休日)=1,"▶","→")),"")))</f>
        <v/>
      </c>
      <c r="BP14" s="116">
        <f>IF(OR($K14="",$L14=""),"",IF(NETWORKDAYS(BP$5,BP$5,休日)=0,"",IF(AND(BP$5&gt;=$K14,BP$5&lt;=$L14),IF(NETWORKDAYS($K14,BP$5,休日)=1,"○",IF(NETWORKDAYS(BP$5,$L14,休日)=1,"▶","→")),"")))</f>
        <v/>
      </c>
      <c r="BQ14" s="116">
        <f>IF(OR($K14="",$L14=""),"",IF(NETWORKDAYS(BQ$5,BQ$5,休日)=0,"",IF(AND(BQ$5&gt;=$K14,BQ$5&lt;=$L14),IF(NETWORKDAYS($K14,BQ$5,休日)=1,"○",IF(NETWORKDAYS(BQ$5,$L14,休日)=1,"▶","→")),"")))</f>
        <v/>
      </c>
      <c r="BR14" s="116">
        <f>IF(OR($K14="",$L14=""),"",IF(NETWORKDAYS(BR$5,BR$5,休日)=0,"",IF(AND(BR$5&gt;=$K14,BR$5&lt;=$L14),IF(NETWORKDAYS($K14,BR$5,休日)=1,"○",IF(NETWORKDAYS(BR$5,$L14,休日)=1,"▶","→")),"")))</f>
        <v/>
      </c>
      <c r="BS14" s="116">
        <f>IF(OR($K14="",$L14=""),"",IF(NETWORKDAYS(BS$5,BS$5,休日)=0,"",IF(AND(BS$5&gt;=$K14,BS$5&lt;=$L14),IF(NETWORKDAYS($K14,BS$5,休日)=1,"○",IF(NETWORKDAYS(BS$5,$L14,休日)=1,"▶","→")),"")))</f>
        <v/>
      </c>
      <c r="BT14" s="116">
        <f>IF(OR($K14="",$L14=""),"",IF(NETWORKDAYS(BT$5,BT$5,休日)=0,"",IF(AND(BT$5&gt;=$K14,BT$5&lt;=$L14),IF(NETWORKDAYS($K14,BT$5,休日)=1,"○",IF(NETWORKDAYS(BT$5,$L14,休日)=1,"▶","→")),"")))</f>
        <v/>
      </c>
      <c r="BU14" s="116">
        <f>IF(OR($K14="",$L14=""),"",IF(NETWORKDAYS(BU$5,BU$5,休日)=0,"",IF(AND(BU$5&gt;=$K14,BU$5&lt;=$L14),IF(NETWORKDAYS($K14,BU$5,休日)=1,"○",IF(NETWORKDAYS(BU$5,$L14,休日)=1,"▶","→")),"")))</f>
        <v/>
      </c>
      <c r="BV14" s="116">
        <f>IF(OR($K14="",$L14=""),"",IF(NETWORKDAYS(BV$5,BV$5,休日)=0,"",IF(AND(BV$5&gt;=$K14,BV$5&lt;=$L14),IF(NETWORKDAYS($K14,BV$5,休日)=1,"○",IF(NETWORKDAYS(BV$5,$L14,休日)=1,"▶","→")),"")))</f>
        <v/>
      </c>
      <c r="BW14" s="116">
        <f>IF(OR($K14="",$L14=""),"",IF(NETWORKDAYS(BW$5,BW$5,休日)=0,"",IF(AND(BW$5&gt;=$K14,BW$5&lt;=$L14),IF(NETWORKDAYS($K14,BW$5,休日)=1,"○",IF(NETWORKDAYS(BW$5,$L14,休日)=1,"▶","→")),"")))</f>
        <v/>
      </c>
      <c r="BX14" s="116">
        <f>IF(OR($K14="",$L14=""),"",IF(NETWORKDAYS(BX$5,BX$5,休日)=0,"",IF(AND(BX$5&gt;=$K14,BX$5&lt;=$L14),IF(NETWORKDAYS($K14,BX$5,休日)=1,"○",IF(NETWORKDAYS(BX$5,$L14,休日)=1,"▶","→")),"")))</f>
        <v/>
      </c>
      <c r="BY14" s="116">
        <f>IF(OR($K14="",$L14=""),"",IF(NETWORKDAYS(BY$5,BY$5,休日)=0,"",IF(AND(BY$5&gt;=$K14,BY$5&lt;=$L14),IF(NETWORKDAYS($K14,BY$5,休日)=1,"○",IF(NETWORKDAYS(BY$5,$L14,休日)=1,"▶","→")),"")))</f>
        <v/>
      </c>
      <c r="BZ14" s="116">
        <f>IF(OR($K14="",$L14=""),"",IF(NETWORKDAYS(BZ$5,BZ$5,休日)=0,"",IF(AND(BZ$5&gt;=$K14,BZ$5&lt;=$L14),IF(NETWORKDAYS($K14,BZ$5,休日)=1,"○",IF(NETWORKDAYS(BZ$5,$L14,休日)=1,"▶","→")),"")))</f>
        <v/>
      </c>
      <c r="CA14" s="116">
        <f>IF(OR($K14="",$L14=""),"",IF(NETWORKDAYS(CA$5,CA$5,休日)=0,"",IF(AND(CA$5&gt;=$K14,CA$5&lt;=$L14),IF(NETWORKDAYS($K14,CA$5,休日)=1,"○",IF(NETWORKDAYS(CA$5,$L14,休日)=1,"▶","→")),"")))</f>
        <v/>
      </c>
      <c r="CB14" s="116">
        <f>IF(OR($K14="",$L14=""),"",IF(NETWORKDAYS(CB$5,CB$5,休日)=0,"",IF(AND(CB$5&gt;=$K14,CB$5&lt;=$L14),IF(NETWORKDAYS($K14,CB$5,休日)=1,"○",IF(NETWORKDAYS(CB$5,$L14,休日)=1,"▶","→")),"")))</f>
        <v/>
      </c>
      <c r="CC14" s="116">
        <f>IF(OR($K14="",$L14=""),"",IF(NETWORKDAYS(CC$5,CC$5,休日)=0,"",IF(AND(CC$5&gt;=$K14,CC$5&lt;=$L14),IF(NETWORKDAYS($K14,CC$5,休日)=1,"○",IF(NETWORKDAYS(CC$5,$L14,休日)=1,"▶","→")),"")))</f>
        <v/>
      </c>
      <c r="CD14" s="116">
        <f>IF(OR($K14="",$L14=""),"",IF(NETWORKDAYS(CD$5,CD$5,休日)=0,"",IF(AND(CD$5&gt;=$K14,CD$5&lt;=$L14),IF(NETWORKDAYS($K14,CD$5,休日)=1,"○",IF(NETWORKDAYS(CD$5,$L14,休日)=1,"▶","→")),"")))</f>
        <v/>
      </c>
      <c r="CE14" s="116">
        <f>IF(OR($K14="",$L14=""),"",IF(NETWORKDAYS(CE$5,CE$5,休日)=0,"",IF(AND(CE$5&gt;=$K14,CE$5&lt;=$L14),IF(NETWORKDAYS($K14,CE$5,休日)=1,"○",IF(NETWORKDAYS(CE$5,$L14,休日)=1,"▶","→")),"")))</f>
        <v/>
      </c>
      <c r="CF14" s="116">
        <f>IF(OR($K14="",$L14=""),"",IF(NETWORKDAYS(CF$5,CF$5,休日)=0,"",IF(AND(CF$5&gt;=$K14,CF$5&lt;=$L14),IF(NETWORKDAYS($K14,CF$5,休日)=1,"○",IF(NETWORKDAYS(CF$5,$L14,休日)=1,"▶","→")),"")))</f>
        <v/>
      </c>
      <c r="CG14" s="116">
        <f>IF(OR($K14="",$L14=""),"",IF(NETWORKDAYS(CG$5,CG$5,休日)=0,"",IF(AND(CG$5&gt;=$K14,CG$5&lt;=$L14),IF(NETWORKDAYS($K14,CG$5,休日)=1,"○",IF(NETWORKDAYS(CG$5,$L14,休日)=1,"▶","→")),"")))</f>
        <v/>
      </c>
      <c r="CH14" s="116">
        <f>IF(OR($K14="",$L14=""),"",IF(NETWORKDAYS(CH$5,CH$5,休日)=0,"",IF(AND(CH$5&gt;=$K14,CH$5&lt;=$L14),IF(NETWORKDAYS($K14,CH$5,休日)=1,"○",IF(NETWORKDAYS(CH$5,$L14,休日)=1,"▶","→")),"")))</f>
        <v/>
      </c>
      <c r="CI14" s="116">
        <f>IF(OR($K14="",$L14=""),"",IF(NETWORKDAYS(CI$5,CI$5,休日)=0,"",IF(AND(CI$5&gt;=$K14,CI$5&lt;=$L14),IF(NETWORKDAYS($K14,CI$5,休日)=1,"○",IF(NETWORKDAYS(CI$5,$L14,休日)=1,"▶","→")),"")))</f>
        <v/>
      </c>
      <c r="CJ14" s="116">
        <f>IF(OR($K14="",$L14=""),"",IF(NETWORKDAYS(CJ$5,CJ$5,休日)=0,"",IF(AND(CJ$5&gt;=$K14,CJ$5&lt;=$L14),IF(NETWORKDAYS($K14,CJ$5,休日)=1,"○",IF(NETWORKDAYS(CJ$5,$L14,休日)=1,"▶","→")),"")))</f>
        <v/>
      </c>
      <c r="CK14" s="116">
        <f>IF(OR($K14="",$L14=""),"",IF(NETWORKDAYS(CK$5,CK$5,休日)=0,"",IF(AND(CK$5&gt;=$K14,CK$5&lt;=$L14),IF(NETWORKDAYS($K14,CK$5,休日)=1,"○",IF(NETWORKDAYS(CK$5,$L14,休日)=1,"▶","→")),"")))</f>
        <v/>
      </c>
      <c r="CL14" s="116">
        <f>IF(OR($K14="",$L14=""),"",IF(NETWORKDAYS(CL$5,CL$5,休日)=0,"",IF(AND(CL$5&gt;=$K14,CL$5&lt;=$L14),IF(NETWORKDAYS($K14,CL$5,休日)=1,"○",IF(NETWORKDAYS(CL$5,$L14,休日)=1,"▶","→")),"")))</f>
        <v/>
      </c>
      <c r="CM14" s="116">
        <f>IF(OR($K14="",$L14=""),"",IF(NETWORKDAYS(CM$5,CM$5,休日)=0,"",IF(AND(CM$5&gt;=$K14,CM$5&lt;=$L14),IF(NETWORKDAYS($K14,CM$5,休日)=1,"○",IF(NETWORKDAYS(CM$5,$L14,休日)=1,"▶","→")),"")))</f>
        <v/>
      </c>
      <c r="CN14" s="116">
        <f>IF(OR($K14="",$L14=""),"",IF(NETWORKDAYS(CN$5,CN$5,休日)=0,"",IF(AND(CN$5&gt;=$K14,CN$5&lt;=$L14),IF(NETWORKDAYS($K14,CN$5,休日)=1,"○",IF(NETWORKDAYS(CN$5,$L14,休日)=1,"▶","→")),"")))</f>
        <v/>
      </c>
      <c r="CO14" s="116">
        <f>IF(OR($K14="",$L14=""),"",IF(NETWORKDAYS(CO$5,CO$5,休日)=0,"",IF(AND(CO$5&gt;=$K14,CO$5&lt;=$L14),IF(NETWORKDAYS($K14,CO$5,休日)=1,"○",IF(NETWORKDAYS(CO$5,$L14,休日)=1,"▶","→")),"")))</f>
        <v/>
      </c>
    </row>
    <row r="15" ht="32" customHeight="1" s="98">
      <c r="A15" s="5" t="n"/>
      <c r="B15" s="100" t="inlineStr">
        <is>
          <t>1.8</t>
        </is>
      </c>
      <c r="C15" s="101" t="inlineStr">
        <is>
          <t>調査・Mapping</t>
        </is>
      </c>
      <c r="D15" s="101" t="inlineStr">
        <is>
          <t>B1</t>
        </is>
      </c>
      <c r="E15" s="101" t="inlineStr">
        <is>
          <t>GCSアップロード要否の確認</t>
        </is>
      </c>
      <c r="F15" s="101" t="inlineStr">
        <is>
          <t>GCS</t>
        </is>
      </c>
      <c r="G15" s="100" t="inlineStr">
        <is>
          <t>B1</t>
        </is>
      </c>
      <c r="H15" s="100" t="inlineStr">
        <is>
          <t>尹启林</t>
        </is>
      </c>
      <c r="I15" s="113" t="n">
        <v>2</v>
      </c>
      <c r="J15" s="100" t="inlineStr">
        <is>
          <t>－</t>
        </is>
      </c>
      <c r="K15" s="114" t="n">
        <v>46308</v>
      </c>
      <c r="L15" s="114" t="n">
        <v>46318</v>
      </c>
      <c r="M15" s="114" t="n"/>
      <c r="N15" s="114" t="n"/>
      <c r="O15" s="100" t="inlineStr">
        <is>
          <t>未着手</t>
        </is>
      </c>
      <c r="P15" s="115" t="n">
        <v>0</v>
      </c>
      <c r="Q15" s="100" t="inlineStr">
        <is>
          <t>G①</t>
        </is>
      </c>
      <c r="R15" s="101" t="inlineStr">
        <is>
          <t>会議見込では既存GCSに無い。確認と、必要な場合のアップロード</t>
        </is>
      </c>
      <c r="S15" s="116">
        <f>IF(OR($K15="",$L15=""),"",IF(NETWORKDAYS(S$5,S$5,休日)=0,"",IF(AND(S$5&gt;=$K15,S$5&lt;=$L15),IF(NETWORKDAYS($K15,S$5,休日)=1,"○",IF(NETWORKDAYS(S$5,$L15,休日)=1,"▶","→")),"")))</f>
        <v/>
      </c>
      <c r="T15" s="116">
        <f>IF(OR($K15="",$L15=""),"",IF(NETWORKDAYS(T$5,T$5,休日)=0,"",IF(AND(T$5&gt;=$K15,T$5&lt;=$L15),IF(NETWORKDAYS($K15,T$5,休日)=1,"○",IF(NETWORKDAYS(T$5,$L15,休日)=1,"▶","→")),"")))</f>
        <v/>
      </c>
      <c r="U15" s="116">
        <f>IF(OR($K15="",$L15=""),"",IF(NETWORKDAYS(U$5,U$5,休日)=0,"",IF(AND(U$5&gt;=$K15,U$5&lt;=$L15),IF(NETWORKDAYS($K15,U$5,休日)=1,"○",IF(NETWORKDAYS(U$5,$L15,休日)=1,"▶","→")),"")))</f>
        <v/>
      </c>
      <c r="V15" s="116">
        <f>IF(OR($K15="",$L15=""),"",IF(NETWORKDAYS(V$5,V$5,休日)=0,"",IF(AND(V$5&gt;=$K15,V$5&lt;=$L15),IF(NETWORKDAYS($K15,V$5,休日)=1,"○",IF(NETWORKDAYS(V$5,$L15,休日)=1,"▶","→")),"")))</f>
        <v/>
      </c>
      <c r="W15" s="116">
        <f>IF(OR($K15="",$L15=""),"",IF(NETWORKDAYS(W$5,W$5,休日)=0,"",IF(AND(W$5&gt;=$K15,W$5&lt;=$L15),IF(NETWORKDAYS($K15,W$5,休日)=1,"○",IF(NETWORKDAYS(W$5,$L15,休日)=1,"▶","→")),"")))</f>
        <v/>
      </c>
      <c r="X15" s="116">
        <f>IF(OR($K15="",$L15=""),"",IF(NETWORKDAYS(X$5,X$5,休日)=0,"",IF(AND(X$5&gt;=$K15,X$5&lt;=$L15),IF(NETWORKDAYS($K15,X$5,休日)=1,"○",IF(NETWORKDAYS(X$5,$L15,休日)=1,"▶","→")),"")))</f>
        <v/>
      </c>
      <c r="Y15" s="116">
        <f>IF(OR($K15="",$L15=""),"",IF(NETWORKDAYS(Y$5,Y$5,休日)=0,"",IF(AND(Y$5&gt;=$K15,Y$5&lt;=$L15),IF(NETWORKDAYS($K15,Y$5,休日)=1,"○",IF(NETWORKDAYS(Y$5,$L15,休日)=1,"▶","→")),"")))</f>
        <v/>
      </c>
      <c r="Z15" s="116">
        <f>IF(OR($K15="",$L15=""),"",IF(NETWORKDAYS(Z$5,Z$5,休日)=0,"",IF(AND(Z$5&gt;=$K15,Z$5&lt;=$L15),IF(NETWORKDAYS($K15,Z$5,休日)=1,"○",IF(NETWORKDAYS(Z$5,$L15,休日)=1,"▶","→")),"")))</f>
        <v/>
      </c>
      <c r="AA15" s="116">
        <f>IF(OR($K15="",$L15=""),"",IF(NETWORKDAYS(AA$5,AA$5,休日)=0,"",IF(AND(AA$5&gt;=$K15,AA$5&lt;=$L15),IF(NETWORKDAYS($K15,AA$5,休日)=1,"○",IF(NETWORKDAYS(AA$5,$L15,休日)=1,"▶","→")),"")))</f>
        <v/>
      </c>
      <c r="AB15" s="116">
        <f>IF(OR($K15="",$L15=""),"",IF(NETWORKDAYS(AB$5,AB$5,休日)=0,"",IF(AND(AB$5&gt;=$K15,AB$5&lt;=$L15),IF(NETWORKDAYS($K15,AB$5,休日)=1,"○",IF(NETWORKDAYS(AB$5,$L15,休日)=1,"▶","→")),"")))</f>
        <v/>
      </c>
      <c r="AC15" s="116">
        <f>IF(OR($K15="",$L15=""),"",IF(NETWORKDAYS(AC$5,AC$5,休日)=0,"",IF(AND(AC$5&gt;=$K15,AC$5&lt;=$L15),IF(NETWORKDAYS($K15,AC$5,休日)=1,"○",IF(NETWORKDAYS(AC$5,$L15,休日)=1,"▶","→")),"")))</f>
        <v/>
      </c>
      <c r="AD15" s="116">
        <f>IF(OR($K15="",$L15=""),"",IF(NETWORKDAYS(AD$5,AD$5,休日)=0,"",IF(AND(AD$5&gt;=$K15,AD$5&lt;=$L15),IF(NETWORKDAYS($K15,AD$5,休日)=1,"○",IF(NETWORKDAYS(AD$5,$L15,休日)=1,"▶","→")),"")))</f>
        <v/>
      </c>
      <c r="AE15" s="116">
        <f>IF(OR($K15="",$L15=""),"",IF(NETWORKDAYS(AE$5,AE$5,休日)=0,"",IF(AND(AE$5&gt;=$K15,AE$5&lt;=$L15),IF(NETWORKDAYS($K15,AE$5,休日)=1,"○",IF(NETWORKDAYS(AE$5,$L15,休日)=1,"▶","→")),"")))</f>
        <v/>
      </c>
      <c r="AF15" s="116">
        <f>IF(OR($K15="",$L15=""),"",IF(NETWORKDAYS(AF$5,AF$5,休日)=0,"",IF(AND(AF$5&gt;=$K15,AF$5&lt;=$L15),IF(NETWORKDAYS($K15,AF$5,休日)=1,"○",IF(NETWORKDAYS(AF$5,$L15,休日)=1,"▶","→")),"")))</f>
        <v/>
      </c>
      <c r="AG15" s="116">
        <f>IF(OR($K15="",$L15=""),"",IF(NETWORKDAYS(AG$5,AG$5,休日)=0,"",IF(AND(AG$5&gt;=$K15,AG$5&lt;=$L15),IF(NETWORKDAYS($K15,AG$5,休日)=1,"○",IF(NETWORKDAYS(AG$5,$L15,休日)=1,"▶","→")),"")))</f>
        <v/>
      </c>
      <c r="AH15" s="116">
        <f>IF(OR($K15="",$L15=""),"",IF(NETWORKDAYS(AH$5,AH$5,休日)=0,"",IF(AND(AH$5&gt;=$K15,AH$5&lt;=$L15),IF(NETWORKDAYS($K15,AH$5,休日)=1,"○",IF(NETWORKDAYS(AH$5,$L15,休日)=1,"▶","→")),"")))</f>
        <v/>
      </c>
      <c r="AI15" s="116">
        <f>IF(OR($K15="",$L15=""),"",IF(NETWORKDAYS(AI$5,AI$5,休日)=0,"",IF(AND(AI$5&gt;=$K15,AI$5&lt;=$L15),IF(NETWORKDAYS($K15,AI$5,休日)=1,"○",IF(NETWORKDAYS(AI$5,$L15,休日)=1,"▶","→")),"")))</f>
        <v/>
      </c>
      <c r="AJ15" s="116">
        <f>IF(OR($K15="",$L15=""),"",IF(NETWORKDAYS(AJ$5,AJ$5,休日)=0,"",IF(AND(AJ$5&gt;=$K15,AJ$5&lt;=$L15),IF(NETWORKDAYS($K15,AJ$5,休日)=1,"○",IF(NETWORKDAYS(AJ$5,$L15,休日)=1,"▶","→")),"")))</f>
        <v/>
      </c>
      <c r="AK15" s="116">
        <f>IF(OR($K15="",$L15=""),"",IF(NETWORKDAYS(AK$5,AK$5,休日)=0,"",IF(AND(AK$5&gt;=$K15,AK$5&lt;=$L15),IF(NETWORKDAYS($K15,AK$5,休日)=1,"○",IF(NETWORKDAYS(AK$5,$L15,休日)=1,"▶","→")),"")))</f>
        <v/>
      </c>
      <c r="AL15" s="116">
        <f>IF(OR($K15="",$L15=""),"",IF(NETWORKDAYS(AL$5,AL$5,休日)=0,"",IF(AND(AL$5&gt;=$K15,AL$5&lt;=$L15),IF(NETWORKDAYS($K15,AL$5,休日)=1,"○",IF(NETWORKDAYS(AL$5,$L15,休日)=1,"▶","→")),"")))</f>
        <v/>
      </c>
      <c r="AM15" s="116">
        <f>IF(OR($K15="",$L15=""),"",IF(NETWORKDAYS(AM$5,AM$5,休日)=0,"",IF(AND(AM$5&gt;=$K15,AM$5&lt;=$L15),IF(NETWORKDAYS($K15,AM$5,休日)=1,"○",IF(NETWORKDAYS(AM$5,$L15,休日)=1,"▶","→")),"")))</f>
        <v/>
      </c>
      <c r="AN15" s="116">
        <f>IF(OR($K15="",$L15=""),"",IF(NETWORKDAYS(AN$5,AN$5,休日)=0,"",IF(AND(AN$5&gt;=$K15,AN$5&lt;=$L15),IF(NETWORKDAYS($K15,AN$5,休日)=1,"○",IF(NETWORKDAYS(AN$5,$L15,休日)=1,"▶","→")),"")))</f>
        <v/>
      </c>
      <c r="AO15" s="116">
        <f>IF(OR($K15="",$L15=""),"",IF(NETWORKDAYS(AO$5,AO$5,休日)=0,"",IF(AND(AO$5&gt;=$K15,AO$5&lt;=$L15),IF(NETWORKDAYS($K15,AO$5,休日)=1,"○",IF(NETWORKDAYS(AO$5,$L15,休日)=1,"▶","→")),"")))</f>
        <v/>
      </c>
      <c r="AP15" s="116">
        <f>IF(OR($K15="",$L15=""),"",IF(NETWORKDAYS(AP$5,AP$5,休日)=0,"",IF(AND(AP$5&gt;=$K15,AP$5&lt;=$L15),IF(NETWORKDAYS($K15,AP$5,休日)=1,"○",IF(NETWORKDAYS(AP$5,$L15,休日)=1,"▶","→")),"")))</f>
        <v/>
      </c>
      <c r="AQ15" s="116">
        <f>IF(OR($K15="",$L15=""),"",IF(NETWORKDAYS(AQ$5,AQ$5,休日)=0,"",IF(AND(AQ$5&gt;=$K15,AQ$5&lt;=$L15),IF(NETWORKDAYS($K15,AQ$5,休日)=1,"○",IF(NETWORKDAYS(AQ$5,$L15,休日)=1,"▶","→")),"")))</f>
        <v/>
      </c>
      <c r="AR15" s="116">
        <f>IF(OR($K15="",$L15=""),"",IF(NETWORKDAYS(AR$5,AR$5,休日)=0,"",IF(AND(AR$5&gt;=$K15,AR$5&lt;=$L15),IF(NETWORKDAYS($K15,AR$5,休日)=1,"○",IF(NETWORKDAYS(AR$5,$L15,休日)=1,"▶","→")),"")))</f>
        <v/>
      </c>
      <c r="AS15" s="116">
        <f>IF(OR($K15="",$L15=""),"",IF(NETWORKDAYS(AS$5,AS$5,休日)=0,"",IF(AND(AS$5&gt;=$K15,AS$5&lt;=$L15),IF(NETWORKDAYS($K15,AS$5,休日)=1,"○",IF(NETWORKDAYS(AS$5,$L15,休日)=1,"▶","→")),"")))</f>
        <v/>
      </c>
      <c r="AT15" s="116">
        <f>IF(OR($K15="",$L15=""),"",IF(NETWORKDAYS(AT$5,AT$5,休日)=0,"",IF(AND(AT$5&gt;=$K15,AT$5&lt;=$L15),IF(NETWORKDAYS($K15,AT$5,休日)=1,"○",IF(NETWORKDAYS(AT$5,$L15,休日)=1,"▶","→")),"")))</f>
        <v/>
      </c>
      <c r="AU15" s="116">
        <f>IF(OR($K15="",$L15=""),"",IF(NETWORKDAYS(AU$5,AU$5,休日)=0,"",IF(AND(AU$5&gt;=$K15,AU$5&lt;=$L15),IF(NETWORKDAYS($K15,AU$5,休日)=1,"○",IF(NETWORKDAYS(AU$5,$L15,休日)=1,"▶","→")),"")))</f>
        <v/>
      </c>
      <c r="AV15" s="116">
        <f>IF(OR($K15="",$L15=""),"",IF(NETWORKDAYS(AV$5,AV$5,休日)=0,"",IF(AND(AV$5&gt;=$K15,AV$5&lt;=$L15),IF(NETWORKDAYS($K15,AV$5,休日)=1,"○",IF(NETWORKDAYS(AV$5,$L15,休日)=1,"▶","→")),"")))</f>
        <v/>
      </c>
      <c r="AW15" s="116">
        <f>IF(OR($K15="",$L15=""),"",IF(NETWORKDAYS(AW$5,AW$5,休日)=0,"",IF(AND(AW$5&gt;=$K15,AW$5&lt;=$L15),IF(NETWORKDAYS($K15,AW$5,休日)=1,"○",IF(NETWORKDAYS(AW$5,$L15,休日)=1,"▶","→")),"")))</f>
        <v/>
      </c>
      <c r="AX15" s="116">
        <f>IF(OR($K15="",$L15=""),"",IF(NETWORKDAYS(AX$5,AX$5,休日)=0,"",IF(AND(AX$5&gt;=$K15,AX$5&lt;=$L15),IF(NETWORKDAYS($K15,AX$5,休日)=1,"○",IF(NETWORKDAYS(AX$5,$L15,休日)=1,"▶","→")),"")))</f>
        <v/>
      </c>
      <c r="AY15" s="116">
        <f>IF(OR($K15="",$L15=""),"",IF(NETWORKDAYS(AY$5,AY$5,休日)=0,"",IF(AND(AY$5&gt;=$K15,AY$5&lt;=$L15),IF(NETWORKDAYS($K15,AY$5,休日)=1,"○",IF(NETWORKDAYS(AY$5,$L15,休日)=1,"▶","→")),"")))</f>
        <v/>
      </c>
      <c r="AZ15" s="116">
        <f>IF(OR($K15="",$L15=""),"",IF(NETWORKDAYS(AZ$5,AZ$5,休日)=0,"",IF(AND(AZ$5&gt;=$K15,AZ$5&lt;=$L15),IF(NETWORKDAYS($K15,AZ$5,休日)=1,"○",IF(NETWORKDAYS(AZ$5,$L15,休日)=1,"▶","→")),"")))</f>
        <v/>
      </c>
      <c r="BA15" s="116">
        <f>IF(OR($K15="",$L15=""),"",IF(NETWORKDAYS(BA$5,BA$5,休日)=0,"",IF(AND(BA$5&gt;=$K15,BA$5&lt;=$L15),IF(NETWORKDAYS($K15,BA$5,休日)=1,"○",IF(NETWORKDAYS(BA$5,$L15,休日)=1,"▶","→")),"")))</f>
        <v/>
      </c>
      <c r="BB15" s="116">
        <f>IF(OR($K15="",$L15=""),"",IF(NETWORKDAYS(BB$5,BB$5,休日)=0,"",IF(AND(BB$5&gt;=$K15,BB$5&lt;=$L15),IF(NETWORKDAYS($K15,BB$5,休日)=1,"○",IF(NETWORKDAYS(BB$5,$L15,休日)=1,"▶","→")),"")))</f>
        <v/>
      </c>
      <c r="BC15" s="116">
        <f>IF(OR($K15="",$L15=""),"",IF(NETWORKDAYS(BC$5,BC$5,休日)=0,"",IF(AND(BC$5&gt;=$K15,BC$5&lt;=$L15),IF(NETWORKDAYS($K15,BC$5,休日)=1,"○",IF(NETWORKDAYS(BC$5,$L15,休日)=1,"▶","→")),"")))</f>
        <v/>
      </c>
      <c r="BD15" s="116">
        <f>IF(OR($K15="",$L15=""),"",IF(NETWORKDAYS(BD$5,BD$5,休日)=0,"",IF(AND(BD$5&gt;=$K15,BD$5&lt;=$L15),IF(NETWORKDAYS($K15,BD$5,休日)=1,"○",IF(NETWORKDAYS(BD$5,$L15,休日)=1,"▶","→")),"")))</f>
        <v/>
      </c>
      <c r="BE15" s="116">
        <f>IF(OR($K15="",$L15=""),"",IF(NETWORKDAYS(BE$5,BE$5,休日)=0,"",IF(AND(BE$5&gt;=$K15,BE$5&lt;=$L15),IF(NETWORKDAYS($K15,BE$5,休日)=1,"○",IF(NETWORKDAYS(BE$5,$L15,休日)=1,"▶","→")),"")))</f>
        <v/>
      </c>
      <c r="BF15" s="116">
        <f>IF(OR($K15="",$L15=""),"",IF(NETWORKDAYS(BF$5,BF$5,休日)=0,"",IF(AND(BF$5&gt;=$K15,BF$5&lt;=$L15),IF(NETWORKDAYS($K15,BF$5,休日)=1,"○",IF(NETWORKDAYS(BF$5,$L15,休日)=1,"▶","→")),"")))</f>
        <v/>
      </c>
      <c r="BG15" s="116">
        <f>IF(OR($K15="",$L15=""),"",IF(NETWORKDAYS(BG$5,BG$5,休日)=0,"",IF(AND(BG$5&gt;=$K15,BG$5&lt;=$L15),IF(NETWORKDAYS($K15,BG$5,休日)=1,"○",IF(NETWORKDAYS(BG$5,$L15,休日)=1,"▶","→")),"")))</f>
        <v/>
      </c>
      <c r="BH15" s="116">
        <f>IF(OR($K15="",$L15=""),"",IF(NETWORKDAYS(BH$5,BH$5,休日)=0,"",IF(AND(BH$5&gt;=$K15,BH$5&lt;=$L15),IF(NETWORKDAYS($K15,BH$5,休日)=1,"○",IF(NETWORKDAYS(BH$5,$L15,休日)=1,"▶","→")),"")))</f>
        <v/>
      </c>
      <c r="BI15" s="116">
        <f>IF(OR($K15="",$L15=""),"",IF(NETWORKDAYS(BI$5,BI$5,休日)=0,"",IF(AND(BI$5&gt;=$K15,BI$5&lt;=$L15),IF(NETWORKDAYS($K15,BI$5,休日)=1,"○",IF(NETWORKDAYS(BI$5,$L15,休日)=1,"▶","→")),"")))</f>
        <v/>
      </c>
      <c r="BJ15" s="116">
        <f>IF(OR($K15="",$L15=""),"",IF(NETWORKDAYS(BJ$5,BJ$5,休日)=0,"",IF(AND(BJ$5&gt;=$K15,BJ$5&lt;=$L15),IF(NETWORKDAYS($K15,BJ$5,休日)=1,"○",IF(NETWORKDAYS(BJ$5,$L15,休日)=1,"▶","→")),"")))</f>
        <v/>
      </c>
      <c r="BK15" s="116">
        <f>IF(OR($K15="",$L15=""),"",IF(NETWORKDAYS(BK$5,BK$5,休日)=0,"",IF(AND(BK$5&gt;=$K15,BK$5&lt;=$L15),IF(NETWORKDAYS($K15,BK$5,休日)=1,"○",IF(NETWORKDAYS(BK$5,$L15,休日)=1,"▶","→")),"")))</f>
        <v/>
      </c>
      <c r="BL15" s="116">
        <f>IF(OR($K15="",$L15=""),"",IF(NETWORKDAYS(BL$5,BL$5,休日)=0,"",IF(AND(BL$5&gt;=$K15,BL$5&lt;=$L15),IF(NETWORKDAYS($K15,BL$5,休日)=1,"○",IF(NETWORKDAYS(BL$5,$L15,休日)=1,"▶","→")),"")))</f>
        <v/>
      </c>
      <c r="BM15" s="116">
        <f>IF(OR($K15="",$L15=""),"",IF(NETWORKDAYS(BM$5,BM$5,休日)=0,"",IF(AND(BM$5&gt;=$K15,BM$5&lt;=$L15),IF(NETWORKDAYS($K15,BM$5,休日)=1,"○",IF(NETWORKDAYS(BM$5,$L15,休日)=1,"▶","→")),"")))</f>
        <v/>
      </c>
      <c r="BN15" s="116">
        <f>IF(OR($K15="",$L15=""),"",IF(NETWORKDAYS(BN$5,BN$5,休日)=0,"",IF(AND(BN$5&gt;=$K15,BN$5&lt;=$L15),IF(NETWORKDAYS($K15,BN$5,休日)=1,"○",IF(NETWORKDAYS(BN$5,$L15,休日)=1,"▶","→")),"")))</f>
        <v/>
      </c>
      <c r="BO15" s="116">
        <f>IF(OR($K15="",$L15=""),"",IF(NETWORKDAYS(BO$5,BO$5,休日)=0,"",IF(AND(BO$5&gt;=$K15,BO$5&lt;=$L15),IF(NETWORKDAYS($K15,BO$5,休日)=1,"○",IF(NETWORKDAYS(BO$5,$L15,休日)=1,"▶","→")),"")))</f>
        <v/>
      </c>
      <c r="BP15" s="116">
        <f>IF(OR($K15="",$L15=""),"",IF(NETWORKDAYS(BP$5,BP$5,休日)=0,"",IF(AND(BP$5&gt;=$K15,BP$5&lt;=$L15),IF(NETWORKDAYS($K15,BP$5,休日)=1,"○",IF(NETWORKDAYS(BP$5,$L15,休日)=1,"▶","→")),"")))</f>
        <v/>
      </c>
      <c r="BQ15" s="116">
        <f>IF(OR($K15="",$L15=""),"",IF(NETWORKDAYS(BQ$5,BQ$5,休日)=0,"",IF(AND(BQ$5&gt;=$K15,BQ$5&lt;=$L15),IF(NETWORKDAYS($K15,BQ$5,休日)=1,"○",IF(NETWORKDAYS(BQ$5,$L15,休日)=1,"▶","→")),"")))</f>
        <v/>
      </c>
      <c r="BR15" s="116">
        <f>IF(OR($K15="",$L15=""),"",IF(NETWORKDAYS(BR$5,BR$5,休日)=0,"",IF(AND(BR$5&gt;=$K15,BR$5&lt;=$L15),IF(NETWORKDAYS($K15,BR$5,休日)=1,"○",IF(NETWORKDAYS(BR$5,$L15,休日)=1,"▶","→")),"")))</f>
        <v/>
      </c>
      <c r="BS15" s="116">
        <f>IF(OR($K15="",$L15=""),"",IF(NETWORKDAYS(BS$5,BS$5,休日)=0,"",IF(AND(BS$5&gt;=$K15,BS$5&lt;=$L15),IF(NETWORKDAYS($K15,BS$5,休日)=1,"○",IF(NETWORKDAYS(BS$5,$L15,休日)=1,"▶","→")),"")))</f>
        <v/>
      </c>
      <c r="BT15" s="116">
        <f>IF(OR($K15="",$L15=""),"",IF(NETWORKDAYS(BT$5,BT$5,休日)=0,"",IF(AND(BT$5&gt;=$K15,BT$5&lt;=$L15),IF(NETWORKDAYS($K15,BT$5,休日)=1,"○",IF(NETWORKDAYS(BT$5,$L15,休日)=1,"▶","→")),"")))</f>
        <v/>
      </c>
      <c r="BU15" s="116">
        <f>IF(OR($K15="",$L15=""),"",IF(NETWORKDAYS(BU$5,BU$5,休日)=0,"",IF(AND(BU$5&gt;=$K15,BU$5&lt;=$L15),IF(NETWORKDAYS($K15,BU$5,休日)=1,"○",IF(NETWORKDAYS(BU$5,$L15,休日)=1,"▶","→")),"")))</f>
        <v/>
      </c>
      <c r="BV15" s="116">
        <f>IF(OR($K15="",$L15=""),"",IF(NETWORKDAYS(BV$5,BV$5,休日)=0,"",IF(AND(BV$5&gt;=$K15,BV$5&lt;=$L15),IF(NETWORKDAYS($K15,BV$5,休日)=1,"○",IF(NETWORKDAYS(BV$5,$L15,休日)=1,"▶","→")),"")))</f>
        <v/>
      </c>
      <c r="BW15" s="116">
        <f>IF(OR($K15="",$L15=""),"",IF(NETWORKDAYS(BW$5,BW$5,休日)=0,"",IF(AND(BW$5&gt;=$K15,BW$5&lt;=$L15),IF(NETWORKDAYS($K15,BW$5,休日)=1,"○",IF(NETWORKDAYS(BW$5,$L15,休日)=1,"▶","→")),"")))</f>
        <v/>
      </c>
      <c r="BX15" s="116">
        <f>IF(OR($K15="",$L15=""),"",IF(NETWORKDAYS(BX$5,BX$5,休日)=0,"",IF(AND(BX$5&gt;=$K15,BX$5&lt;=$L15),IF(NETWORKDAYS($K15,BX$5,休日)=1,"○",IF(NETWORKDAYS(BX$5,$L15,休日)=1,"▶","→")),"")))</f>
        <v/>
      </c>
      <c r="BY15" s="116">
        <f>IF(OR($K15="",$L15=""),"",IF(NETWORKDAYS(BY$5,BY$5,休日)=0,"",IF(AND(BY$5&gt;=$K15,BY$5&lt;=$L15),IF(NETWORKDAYS($K15,BY$5,休日)=1,"○",IF(NETWORKDAYS(BY$5,$L15,休日)=1,"▶","→")),"")))</f>
        <v/>
      </c>
      <c r="BZ15" s="116">
        <f>IF(OR($K15="",$L15=""),"",IF(NETWORKDAYS(BZ$5,BZ$5,休日)=0,"",IF(AND(BZ$5&gt;=$K15,BZ$5&lt;=$L15),IF(NETWORKDAYS($K15,BZ$5,休日)=1,"○",IF(NETWORKDAYS(BZ$5,$L15,休日)=1,"▶","→")),"")))</f>
        <v/>
      </c>
      <c r="CA15" s="116">
        <f>IF(OR($K15="",$L15=""),"",IF(NETWORKDAYS(CA$5,CA$5,休日)=0,"",IF(AND(CA$5&gt;=$K15,CA$5&lt;=$L15),IF(NETWORKDAYS($K15,CA$5,休日)=1,"○",IF(NETWORKDAYS(CA$5,$L15,休日)=1,"▶","→")),"")))</f>
        <v/>
      </c>
      <c r="CB15" s="116">
        <f>IF(OR($K15="",$L15=""),"",IF(NETWORKDAYS(CB$5,CB$5,休日)=0,"",IF(AND(CB$5&gt;=$K15,CB$5&lt;=$L15),IF(NETWORKDAYS($K15,CB$5,休日)=1,"○",IF(NETWORKDAYS(CB$5,$L15,休日)=1,"▶","→")),"")))</f>
        <v/>
      </c>
      <c r="CC15" s="116">
        <f>IF(OR($K15="",$L15=""),"",IF(NETWORKDAYS(CC$5,CC$5,休日)=0,"",IF(AND(CC$5&gt;=$K15,CC$5&lt;=$L15),IF(NETWORKDAYS($K15,CC$5,休日)=1,"○",IF(NETWORKDAYS(CC$5,$L15,休日)=1,"▶","→")),"")))</f>
        <v/>
      </c>
      <c r="CD15" s="116">
        <f>IF(OR($K15="",$L15=""),"",IF(NETWORKDAYS(CD$5,CD$5,休日)=0,"",IF(AND(CD$5&gt;=$K15,CD$5&lt;=$L15),IF(NETWORKDAYS($K15,CD$5,休日)=1,"○",IF(NETWORKDAYS(CD$5,$L15,休日)=1,"▶","→")),"")))</f>
        <v/>
      </c>
      <c r="CE15" s="116">
        <f>IF(OR($K15="",$L15=""),"",IF(NETWORKDAYS(CE$5,CE$5,休日)=0,"",IF(AND(CE$5&gt;=$K15,CE$5&lt;=$L15),IF(NETWORKDAYS($K15,CE$5,休日)=1,"○",IF(NETWORKDAYS(CE$5,$L15,休日)=1,"▶","→")),"")))</f>
        <v/>
      </c>
      <c r="CF15" s="116">
        <f>IF(OR($K15="",$L15=""),"",IF(NETWORKDAYS(CF$5,CF$5,休日)=0,"",IF(AND(CF$5&gt;=$K15,CF$5&lt;=$L15),IF(NETWORKDAYS($K15,CF$5,休日)=1,"○",IF(NETWORKDAYS(CF$5,$L15,休日)=1,"▶","→")),"")))</f>
        <v/>
      </c>
      <c r="CG15" s="116">
        <f>IF(OR($K15="",$L15=""),"",IF(NETWORKDAYS(CG$5,CG$5,休日)=0,"",IF(AND(CG$5&gt;=$K15,CG$5&lt;=$L15),IF(NETWORKDAYS($K15,CG$5,休日)=1,"○",IF(NETWORKDAYS(CG$5,$L15,休日)=1,"▶","→")),"")))</f>
        <v/>
      </c>
      <c r="CH15" s="116">
        <f>IF(OR($K15="",$L15=""),"",IF(NETWORKDAYS(CH$5,CH$5,休日)=0,"",IF(AND(CH$5&gt;=$K15,CH$5&lt;=$L15),IF(NETWORKDAYS($K15,CH$5,休日)=1,"○",IF(NETWORKDAYS(CH$5,$L15,休日)=1,"▶","→")),"")))</f>
        <v/>
      </c>
      <c r="CI15" s="116">
        <f>IF(OR($K15="",$L15=""),"",IF(NETWORKDAYS(CI$5,CI$5,休日)=0,"",IF(AND(CI$5&gt;=$K15,CI$5&lt;=$L15),IF(NETWORKDAYS($K15,CI$5,休日)=1,"○",IF(NETWORKDAYS(CI$5,$L15,休日)=1,"▶","→")),"")))</f>
        <v/>
      </c>
      <c r="CJ15" s="116">
        <f>IF(OR($K15="",$L15=""),"",IF(NETWORKDAYS(CJ$5,CJ$5,休日)=0,"",IF(AND(CJ$5&gt;=$K15,CJ$5&lt;=$L15),IF(NETWORKDAYS($K15,CJ$5,休日)=1,"○",IF(NETWORKDAYS(CJ$5,$L15,休日)=1,"▶","→")),"")))</f>
        <v/>
      </c>
      <c r="CK15" s="116">
        <f>IF(OR($K15="",$L15=""),"",IF(NETWORKDAYS(CK$5,CK$5,休日)=0,"",IF(AND(CK$5&gt;=$K15,CK$5&lt;=$L15),IF(NETWORKDAYS($K15,CK$5,休日)=1,"○",IF(NETWORKDAYS(CK$5,$L15,休日)=1,"▶","→")),"")))</f>
        <v/>
      </c>
      <c r="CL15" s="116">
        <f>IF(OR($K15="",$L15=""),"",IF(NETWORKDAYS(CL$5,CL$5,休日)=0,"",IF(AND(CL$5&gt;=$K15,CL$5&lt;=$L15),IF(NETWORKDAYS($K15,CL$5,休日)=1,"○",IF(NETWORKDAYS(CL$5,$L15,休日)=1,"▶","→")),"")))</f>
        <v/>
      </c>
      <c r="CM15" s="116">
        <f>IF(OR($K15="",$L15=""),"",IF(NETWORKDAYS(CM$5,CM$5,休日)=0,"",IF(AND(CM$5&gt;=$K15,CM$5&lt;=$L15),IF(NETWORKDAYS($K15,CM$5,休日)=1,"○",IF(NETWORKDAYS(CM$5,$L15,休日)=1,"▶","→")),"")))</f>
        <v/>
      </c>
      <c r="CN15" s="116">
        <f>IF(OR($K15="",$L15=""),"",IF(NETWORKDAYS(CN$5,CN$5,休日)=0,"",IF(AND(CN$5&gt;=$K15,CN$5&lt;=$L15),IF(NETWORKDAYS($K15,CN$5,休日)=1,"○",IF(NETWORKDAYS(CN$5,$L15,休日)=1,"▶","→")),"")))</f>
        <v/>
      </c>
      <c r="CO15" s="116">
        <f>IF(OR($K15="",$L15=""),"",IF(NETWORKDAYS(CO$5,CO$5,休日)=0,"",IF(AND(CO$5&gt;=$K15,CO$5&lt;=$L15),IF(NETWORKDAYS($K15,CO$5,休日)=1,"○",IF(NETWORKDAYS(CO$5,$L15,休日)=1,"▶","→")),"")))</f>
        <v/>
      </c>
    </row>
    <row r="16" ht="32" customHeight="1" s="98">
      <c r="A16" s="5" t="n"/>
      <c r="B16" s="100" t="inlineStr">
        <is>
          <t>1.9</t>
        </is>
      </c>
      <c r="C16" s="101" t="inlineStr">
        <is>
          <t>調査・Mapping</t>
        </is>
      </c>
      <c r="D16" s="101" t="inlineStr">
        <is>
          <t>B1</t>
        </is>
      </c>
      <c r="E16" s="101" t="inlineStr">
        <is>
          <t>店舗系12本の流用突合</t>
        </is>
      </c>
      <c r="F16" s="101" t="inlineStr">
        <is>
          <t>店舗系12本</t>
        </is>
      </c>
      <c r="G16" s="100" t="inlineStr">
        <is>
          <t>B1</t>
        </is>
      </c>
      <c r="H16" s="100" t="inlineStr">
        <is>
          <t>王静</t>
        </is>
      </c>
      <c r="I16" s="113" t="n">
        <v>4</v>
      </c>
      <c r="J16" s="100" t="inlineStr">
        <is>
          <t>－</t>
        </is>
      </c>
      <c r="K16" s="114" t="n">
        <v>46308</v>
      </c>
      <c r="L16" s="114" t="n">
        <v>46318</v>
      </c>
      <c r="M16" s="114" t="n"/>
      <c r="N16" s="114" t="n"/>
      <c r="O16" s="100" t="inlineStr">
        <is>
          <t>未着手</t>
        </is>
      </c>
      <c r="P16" s="115" t="n">
        <v>0</v>
      </c>
      <c r="Q16" s="100" t="inlineStr">
        <is>
          <t>G①</t>
        </is>
      </c>
      <c r="R16" s="101" t="inlineStr">
        <is>
          <t>先方協議では流用。当社は未同席。個別のIF IDは未定</t>
        </is>
      </c>
      <c r="S16" s="116">
        <f>IF(OR($K16="",$L16=""),"",IF(NETWORKDAYS(S$5,S$5,休日)=0,"",IF(AND(S$5&gt;=$K16,S$5&lt;=$L16),IF(NETWORKDAYS($K16,S$5,休日)=1,"○",IF(NETWORKDAYS(S$5,$L16,休日)=1,"▶","→")),"")))</f>
        <v/>
      </c>
      <c r="T16" s="116">
        <f>IF(OR($K16="",$L16=""),"",IF(NETWORKDAYS(T$5,T$5,休日)=0,"",IF(AND(T$5&gt;=$K16,T$5&lt;=$L16),IF(NETWORKDAYS($K16,T$5,休日)=1,"○",IF(NETWORKDAYS(T$5,$L16,休日)=1,"▶","→")),"")))</f>
        <v/>
      </c>
      <c r="U16" s="116">
        <f>IF(OR($K16="",$L16=""),"",IF(NETWORKDAYS(U$5,U$5,休日)=0,"",IF(AND(U$5&gt;=$K16,U$5&lt;=$L16),IF(NETWORKDAYS($K16,U$5,休日)=1,"○",IF(NETWORKDAYS(U$5,$L16,休日)=1,"▶","→")),"")))</f>
        <v/>
      </c>
      <c r="V16" s="116">
        <f>IF(OR($K16="",$L16=""),"",IF(NETWORKDAYS(V$5,V$5,休日)=0,"",IF(AND(V$5&gt;=$K16,V$5&lt;=$L16),IF(NETWORKDAYS($K16,V$5,休日)=1,"○",IF(NETWORKDAYS(V$5,$L16,休日)=1,"▶","→")),"")))</f>
        <v/>
      </c>
      <c r="W16" s="116">
        <f>IF(OR($K16="",$L16=""),"",IF(NETWORKDAYS(W$5,W$5,休日)=0,"",IF(AND(W$5&gt;=$K16,W$5&lt;=$L16),IF(NETWORKDAYS($K16,W$5,休日)=1,"○",IF(NETWORKDAYS(W$5,$L16,休日)=1,"▶","→")),"")))</f>
        <v/>
      </c>
      <c r="X16" s="116">
        <f>IF(OR($K16="",$L16=""),"",IF(NETWORKDAYS(X$5,X$5,休日)=0,"",IF(AND(X$5&gt;=$K16,X$5&lt;=$L16),IF(NETWORKDAYS($K16,X$5,休日)=1,"○",IF(NETWORKDAYS(X$5,$L16,休日)=1,"▶","→")),"")))</f>
        <v/>
      </c>
      <c r="Y16" s="116">
        <f>IF(OR($K16="",$L16=""),"",IF(NETWORKDAYS(Y$5,Y$5,休日)=0,"",IF(AND(Y$5&gt;=$K16,Y$5&lt;=$L16),IF(NETWORKDAYS($K16,Y$5,休日)=1,"○",IF(NETWORKDAYS(Y$5,$L16,休日)=1,"▶","→")),"")))</f>
        <v/>
      </c>
      <c r="Z16" s="116">
        <f>IF(OR($K16="",$L16=""),"",IF(NETWORKDAYS(Z$5,Z$5,休日)=0,"",IF(AND(Z$5&gt;=$K16,Z$5&lt;=$L16),IF(NETWORKDAYS($K16,Z$5,休日)=1,"○",IF(NETWORKDAYS(Z$5,$L16,休日)=1,"▶","→")),"")))</f>
        <v/>
      </c>
      <c r="AA16" s="116">
        <f>IF(OR($K16="",$L16=""),"",IF(NETWORKDAYS(AA$5,AA$5,休日)=0,"",IF(AND(AA$5&gt;=$K16,AA$5&lt;=$L16),IF(NETWORKDAYS($K16,AA$5,休日)=1,"○",IF(NETWORKDAYS(AA$5,$L16,休日)=1,"▶","→")),"")))</f>
        <v/>
      </c>
      <c r="AB16" s="116">
        <f>IF(OR($K16="",$L16=""),"",IF(NETWORKDAYS(AB$5,AB$5,休日)=0,"",IF(AND(AB$5&gt;=$K16,AB$5&lt;=$L16),IF(NETWORKDAYS($K16,AB$5,休日)=1,"○",IF(NETWORKDAYS(AB$5,$L16,休日)=1,"▶","→")),"")))</f>
        <v/>
      </c>
      <c r="AC16" s="116">
        <f>IF(OR($K16="",$L16=""),"",IF(NETWORKDAYS(AC$5,AC$5,休日)=0,"",IF(AND(AC$5&gt;=$K16,AC$5&lt;=$L16),IF(NETWORKDAYS($K16,AC$5,休日)=1,"○",IF(NETWORKDAYS(AC$5,$L16,休日)=1,"▶","→")),"")))</f>
        <v/>
      </c>
      <c r="AD16" s="116">
        <f>IF(OR($K16="",$L16=""),"",IF(NETWORKDAYS(AD$5,AD$5,休日)=0,"",IF(AND(AD$5&gt;=$K16,AD$5&lt;=$L16),IF(NETWORKDAYS($K16,AD$5,休日)=1,"○",IF(NETWORKDAYS(AD$5,$L16,休日)=1,"▶","→")),"")))</f>
        <v/>
      </c>
      <c r="AE16" s="116">
        <f>IF(OR($K16="",$L16=""),"",IF(NETWORKDAYS(AE$5,AE$5,休日)=0,"",IF(AND(AE$5&gt;=$K16,AE$5&lt;=$L16),IF(NETWORKDAYS($K16,AE$5,休日)=1,"○",IF(NETWORKDAYS(AE$5,$L16,休日)=1,"▶","→")),"")))</f>
        <v/>
      </c>
      <c r="AF16" s="116">
        <f>IF(OR($K16="",$L16=""),"",IF(NETWORKDAYS(AF$5,AF$5,休日)=0,"",IF(AND(AF$5&gt;=$K16,AF$5&lt;=$L16),IF(NETWORKDAYS($K16,AF$5,休日)=1,"○",IF(NETWORKDAYS(AF$5,$L16,休日)=1,"▶","→")),"")))</f>
        <v/>
      </c>
      <c r="AG16" s="116">
        <f>IF(OR($K16="",$L16=""),"",IF(NETWORKDAYS(AG$5,AG$5,休日)=0,"",IF(AND(AG$5&gt;=$K16,AG$5&lt;=$L16),IF(NETWORKDAYS($K16,AG$5,休日)=1,"○",IF(NETWORKDAYS(AG$5,$L16,休日)=1,"▶","→")),"")))</f>
        <v/>
      </c>
      <c r="AH16" s="116">
        <f>IF(OR($K16="",$L16=""),"",IF(NETWORKDAYS(AH$5,AH$5,休日)=0,"",IF(AND(AH$5&gt;=$K16,AH$5&lt;=$L16),IF(NETWORKDAYS($K16,AH$5,休日)=1,"○",IF(NETWORKDAYS(AH$5,$L16,休日)=1,"▶","→")),"")))</f>
        <v/>
      </c>
      <c r="AI16" s="116">
        <f>IF(OR($K16="",$L16=""),"",IF(NETWORKDAYS(AI$5,AI$5,休日)=0,"",IF(AND(AI$5&gt;=$K16,AI$5&lt;=$L16),IF(NETWORKDAYS($K16,AI$5,休日)=1,"○",IF(NETWORKDAYS(AI$5,$L16,休日)=1,"▶","→")),"")))</f>
        <v/>
      </c>
      <c r="AJ16" s="116">
        <f>IF(OR($K16="",$L16=""),"",IF(NETWORKDAYS(AJ$5,AJ$5,休日)=0,"",IF(AND(AJ$5&gt;=$K16,AJ$5&lt;=$L16),IF(NETWORKDAYS($K16,AJ$5,休日)=1,"○",IF(NETWORKDAYS(AJ$5,$L16,休日)=1,"▶","→")),"")))</f>
        <v/>
      </c>
      <c r="AK16" s="116">
        <f>IF(OR($K16="",$L16=""),"",IF(NETWORKDAYS(AK$5,AK$5,休日)=0,"",IF(AND(AK$5&gt;=$K16,AK$5&lt;=$L16),IF(NETWORKDAYS($K16,AK$5,休日)=1,"○",IF(NETWORKDAYS(AK$5,$L16,休日)=1,"▶","→")),"")))</f>
        <v/>
      </c>
      <c r="AL16" s="116">
        <f>IF(OR($K16="",$L16=""),"",IF(NETWORKDAYS(AL$5,AL$5,休日)=0,"",IF(AND(AL$5&gt;=$K16,AL$5&lt;=$L16),IF(NETWORKDAYS($K16,AL$5,休日)=1,"○",IF(NETWORKDAYS(AL$5,$L16,休日)=1,"▶","→")),"")))</f>
        <v/>
      </c>
      <c r="AM16" s="116">
        <f>IF(OR($K16="",$L16=""),"",IF(NETWORKDAYS(AM$5,AM$5,休日)=0,"",IF(AND(AM$5&gt;=$K16,AM$5&lt;=$L16),IF(NETWORKDAYS($K16,AM$5,休日)=1,"○",IF(NETWORKDAYS(AM$5,$L16,休日)=1,"▶","→")),"")))</f>
        <v/>
      </c>
      <c r="AN16" s="116">
        <f>IF(OR($K16="",$L16=""),"",IF(NETWORKDAYS(AN$5,AN$5,休日)=0,"",IF(AND(AN$5&gt;=$K16,AN$5&lt;=$L16),IF(NETWORKDAYS($K16,AN$5,休日)=1,"○",IF(NETWORKDAYS(AN$5,$L16,休日)=1,"▶","→")),"")))</f>
        <v/>
      </c>
      <c r="AO16" s="116">
        <f>IF(OR($K16="",$L16=""),"",IF(NETWORKDAYS(AO$5,AO$5,休日)=0,"",IF(AND(AO$5&gt;=$K16,AO$5&lt;=$L16),IF(NETWORKDAYS($K16,AO$5,休日)=1,"○",IF(NETWORKDAYS(AO$5,$L16,休日)=1,"▶","→")),"")))</f>
        <v/>
      </c>
      <c r="AP16" s="116">
        <f>IF(OR($K16="",$L16=""),"",IF(NETWORKDAYS(AP$5,AP$5,休日)=0,"",IF(AND(AP$5&gt;=$K16,AP$5&lt;=$L16),IF(NETWORKDAYS($K16,AP$5,休日)=1,"○",IF(NETWORKDAYS(AP$5,$L16,休日)=1,"▶","→")),"")))</f>
        <v/>
      </c>
      <c r="AQ16" s="116">
        <f>IF(OR($K16="",$L16=""),"",IF(NETWORKDAYS(AQ$5,AQ$5,休日)=0,"",IF(AND(AQ$5&gt;=$K16,AQ$5&lt;=$L16),IF(NETWORKDAYS($K16,AQ$5,休日)=1,"○",IF(NETWORKDAYS(AQ$5,$L16,休日)=1,"▶","→")),"")))</f>
        <v/>
      </c>
      <c r="AR16" s="116">
        <f>IF(OR($K16="",$L16=""),"",IF(NETWORKDAYS(AR$5,AR$5,休日)=0,"",IF(AND(AR$5&gt;=$K16,AR$5&lt;=$L16),IF(NETWORKDAYS($K16,AR$5,休日)=1,"○",IF(NETWORKDAYS(AR$5,$L16,休日)=1,"▶","→")),"")))</f>
        <v/>
      </c>
      <c r="AS16" s="116">
        <f>IF(OR($K16="",$L16=""),"",IF(NETWORKDAYS(AS$5,AS$5,休日)=0,"",IF(AND(AS$5&gt;=$K16,AS$5&lt;=$L16),IF(NETWORKDAYS($K16,AS$5,休日)=1,"○",IF(NETWORKDAYS(AS$5,$L16,休日)=1,"▶","→")),"")))</f>
        <v/>
      </c>
      <c r="AT16" s="116">
        <f>IF(OR($K16="",$L16=""),"",IF(NETWORKDAYS(AT$5,AT$5,休日)=0,"",IF(AND(AT$5&gt;=$K16,AT$5&lt;=$L16),IF(NETWORKDAYS($K16,AT$5,休日)=1,"○",IF(NETWORKDAYS(AT$5,$L16,休日)=1,"▶","→")),"")))</f>
        <v/>
      </c>
      <c r="AU16" s="116">
        <f>IF(OR($K16="",$L16=""),"",IF(NETWORKDAYS(AU$5,AU$5,休日)=0,"",IF(AND(AU$5&gt;=$K16,AU$5&lt;=$L16),IF(NETWORKDAYS($K16,AU$5,休日)=1,"○",IF(NETWORKDAYS(AU$5,$L16,休日)=1,"▶","→")),"")))</f>
        <v/>
      </c>
      <c r="AV16" s="116">
        <f>IF(OR($K16="",$L16=""),"",IF(NETWORKDAYS(AV$5,AV$5,休日)=0,"",IF(AND(AV$5&gt;=$K16,AV$5&lt;=$L16),IF(NETWORKDAYS($K16,AV$5,休日)=1,"○",IF(NETWORKDAYS(AV$5,$L16,休日)=1,"▶","→")),"")))</f>
        <v/>
      </c>
      <c r="AW16" s="116">
        <f>IF(OR($K16="",$L16=""),"",IF(NETWORKDAYS(AW$5,AW$5,休日)=0,"",IF(AND(AW$5&gt;=$K16,AW$5&lt;=$L16),IF(NETWORKDAYS($K16,AW$5,休日)=1,"○",IF(NETWORKDAYS(AW$5,$L16,休日)=1,"▶","→")),"")))</f>
        <v/>
      </c>
      <c r="AX16" s="116">
        <f>IF(OR($K16="",$L16=""),"",IF(NETWORKDAYS(AX$5,AX$5,休日)=0,"",IF(AND(AX$5&gt;=$K16,AX$5&lt;=$L16),IF(NETWORKDAYS($K16,AX$5,休日)=1,"○",IF(NETWORKDAYS(AX$5,$L16,休日)=1,"▶","→")),"")))</f>
        <v/>
      </c>
      <c r="AY16" s="116">
        <f>IF(OR($K16="",$L16=""),"",IF(NETWORKDAYS(AY$5,AY$5,休日)=0,"",IF(AND(AY$5&gt;=$K16,AY$5&lt;=$L16),IF(NETWORKDAYS($K16,AY$5,休日)=1,"○",IF(NETWORKDAYS(AY$5,$L16,休日)=1,"▶","→")),"")))</f>
        <v/>
      </c>
      <c r="AZ16" s="116">
        <f>IF(OR($K16="",$L16=""),"",IF(NETWORKDAYS(AZ$5,AZ$5,休日)=0,"",IF(AND(AZ$5&gt;=$K16,AZ$5&lt;=$L16),IF(NETWORKDAYS($K16,AZ$5,休日)=1,"○",IF(NETWORKDAYS(AZ$5,$L16,休日)=1,"▶","→")),"")))</f>
        <v/>
      </c>
      <c r="BA16" s="116">
        <f>IF(OR($K16="",$L16=""),"",IF(NETWORKDAYS(BA$5,BA$5,休日)=0,"",IF(AND(BA$5&gt;=$K16,BA$5&lt;=$L16),IF(NETWORKDAYS($K16,BA$5,休日)=1,"○",IF(NETWORKDAYS(BA$5,$L16,休日)=1,"▶","→")),"")))</f>
        <v/>
      </c>
      <c r="BB16" s="116">
        <f>IF(OR($K16="",$L16=""),"",IF(NETWORKDAYS(BB$5,BB$5,休日)=0,"",IF(AND(BB$5&gt;=$K16,BB$5&lt;=$L16),IF(NETWORKDAYS($K16,BB$5,休日)=1,"○",IF(NETWORKDAYS(BB$5,$L16,休日)=1,"▶","→")),"")))</f>
        <v/>
      </c>
      <c r="BC16" s="116">
        <f>IF(OR($K16="",$L16=""),"",IF(NETWORKDAYS(BC$5,BC$5,休日)=0,"",IF(AND(BC$5&gt;=$K16,BC$5&lt;=$L16),IF(NETWORKDAYS($K16,BC$5,休日)=1,"○",IF(NETWORKDAYS(BC$5,$L16,休日)=1,"▶","→")),"")))</f>
        <v/>
      </c>
      <c r="BD16" s="116">
        <f>IF(OR($K16="",$L16=""),"",IF(NETWORKDAYS(BD$5,BD$5,休日)=0,"",IF(AND(BD$5&gt;=$K16,BD$5&lt;=$L16),IF(NETWORKDAYS($K16,BD$5,休日)=1,"○",IF(NETWORKDAYS(BD$5,$L16,休日)=1,"▶","→")),"")))</f>
        <v/>
      </c>
      <c r="BE16" s="116">
        <f>IF(OR($K16="",$L16=""),"",IF(NETWORKDAYS(BE$5,BE$5,休日)=0,"",IF(AND(BE$5&gt;=$K16,BE$5&lt;=$L16),IF(NETWORKDAYS($K16,BE$5,休日)=1,"○",IF(NETWORKDAYS(BE$5,$L16,休日)=1,"▶","→")),"")))</f>
        <v/>
      </c>
      <c r="BF16" s="116">
        <f>IF(OR($K16="",$L16=""),"",IF(NETWORKDAYS(BF$5,BF$5,休日)=0,"",IF(AND(BF$5&gt;=$K16,BF$5&lt;=$L16),IF(NETWORKDAYS($K16,BF$5,休日)=1,"○",IF(NETWORKDAYS(BF$5,$L16,休日)=1,"▶","→")),"")))</f>
        <v/>
      </c>
      <c r="BG16" s="116">
        <f>IF(OR($K16="",$L16=""),"",IF(NETWORKDAYS(BG$5,BG$5,休日)=0,"",IF(AND(BG$5&gt;=$K16,BG$5&lt;=$L16),IF(NETWORKDAYS($K16,BG$5,休日)=1,"○",IF(NETWORKDAYS(BG$5,$L16,休日)=1,"▶","→")),"")))</f>
        <v/>
      </c>
      <c r="BH16" s="116">
        <f>IF(OR($K16="",$L16=""),"",IF(NETWORKDAYS(BH$5,BH$5,休日)=0,"",IF(AND(BH$5&gt;=$K16,BH$5&lt;=$L16),IF(NETWORKDAYS($K16,BH$5,休日)=1,"○",IF(NETWORKDAYS(BH$5,$L16,休日)=1,"▶","→")),"")))</f>
        <v/>
      </c>
      <c r="BI16" s="116">
        <f>IF(OR($K16="",$L16=""),"",IF(NETWORKDAYS(BI$5,BI$5,休日)=0,"",IF(AND(BI$5&gt;=$K16,BI$5&lt;=$L16),IF(NETWORKDAYS($K16,BI$5,休日)=1,"○",IF(NETWORKDAYS(BI$5,$L16,休日)=1,"▶","→")),"")))</f>
        <v/>
      </c>
      <c r="BJ16" s="116">
        <f>IF(OR($K16="",$L16=""),"",IF(NETWORKDAYS(BJ$5,BJ$5,休日)=0,"",IF(AND(BJ$5&gt;=$K16,BJ$5&lt;=$L16),IF(NETWORKDAYS($K16,BJ$5,休日)=1,"○",IF(NETWORKDAYS(BJ$5,$L16,休日)=1,"▶","→")),"")))</f>
        <v/>
      </c>
      <c r="BK16" s="116">
        <f>IF(OR($K16="",$L16=""),"",IF(NETWORKDAYS(BK$5,BK$5,休日)=0,"",IF(AND(BK$5&gt;=$K16,BK$5&lt;=$L16),IF(NETWORKDAYS($K16,BK$5,休日)=1,"○",IF(NETWORKDAYS(BK$5,$L16,休日)=1,"▶","→")),"")))</f>
        <v/>
      </c>
      <c r="BL16" s="116">
        <f>IF(OR($K16="",$L16=""),"",IF(NETWORKDAYS(BL$5,BL$5,休日)=0,"",IF(AND(BL$5&gt;=$K16,BL$5&lt;=$L16),IF(NETWORKDAYS($K16,BL$5,休日)=1,"○",IF(NETWORKDAYS(BL$5,$L16,休日)=1,"▶","→")),"")))</f>
        <v/>
      </c>
      <c r="BM16" s="116">
        <f>IF(OR($K16="",$L16=""),"",IF(NETWORKDAYS(BM$5,BM$5,休日)=0,"",IF(AND(BM$5&gt;=$K16,BM$5&lt;=$L16),IF(NETWORKDAYS($K16,BM$5,休日)=1,"○",IF(NETWORKDAYS(BM$5,$L16,休日)=1,"▶","→")),"")))</f>
        <v/>
      </c>
      <c r="BN16" s="116">
        <f>IF(OR($K16="",$L16=""),"",IF(NETWORKDAYS(BN$5,BN$5,休日)=0,"",IF(AND(BN$5&gt;=$K16,BN$5&lt;=$L16),IF(NETWORKDAYS($K16,BN$5,休日)=1,"○",IF(NETWORKDAYS(BN$5,$L16,休日)=1,"▶","→")),"")))</f>
        <v/>
      </c>
      <c r="BO16" s="116">
        <f>IF(OR($K16="",$L16=""),"",IF(NETWORKDAYS(BO$5,BO$5,休日)=0,"",IF(AND(BO$5&gt;=$K16,BO$5&lt;=$L16),IF(NETWORKDAYS($K16,BO$5,休日)=1,"○",IF(NETWORKDAYS(BO$5,$L16,休日)=1,"▶","→")),"")))</f>
        <v/>
      </c>
      <c r="BP16" s="116">
        <f>IF(OR($K16="",$L16=""),"",IF(NETWORKDAYS(BP$5,BP$5,休日)=0,"",IF(AND(BP$5&gt;=$K16,BP$5&lt;=$L16),IF(NETWORKDAYS($K16,BP$5,休日)=1,"○",IF(NETWORKDAYS(BP$5,$L16,休日)=1,"▶","→")),"")))</f>
        <v/>
      </c>
      <c r="BQ16" s="116">
        <f>IF(OR($K16="",$L16=""),"",IF(NETWORKDAYS(BQ$5,BQ$5,休日)=0,"",IF(AND(BQ$5&gt;=$K16,BQ$5&lt;=$L16),IF(NETWORKDAYS($K16,BQ$5,休日)=1,"○",IF(NETWORKDAYS(BQ$5,$L16,休日)=1,"▶","→")),"")))</f>
        <v/>
      </c>
      <c r="BR16" s="116">
        <f>IF(OR($K16="",$L16=""),"",IF(NETWORKDAYS(BR$5,BR$5,休日)=0,"",IF(AND(BR$5&gt;=$K16,BR$5&lt;=$L16),IF(NETWORKDAYS($K16,BR$5,休日)=1,"○",IF(NETWORKDAYS(BR$5,$L16,休日)=1,"▶","→")),"")))</f>
        <v/>
      </c>
      <c r="BS16" s="116">
        <f>IF(OR($K16="",$L16=""),"",IF(NETWORKDAYS(BS$5,BS$5,休日)=0,"",IF(AND(BS$5&gt;=$K16,BS$5&lt;=$L16),IF(NETWORKDAYS($K16,BS$5,休日)=1,"○",IF(NETWORKDAYS(BS$5,$L16,休日)=1,"▶","→")),"")))</f>
        <v/>
      </c>
      <c r="BT16" s="116">
        <f>IF(OR($K16="",$L16=""),"",IF(NETWORKDAYS(BT$5,BT$5,休日)=0,"",IF(AND(BT$5&gt;=$K16,BT$5&lt;=$L16),IF(NETWORKDAYS($K16,BT$5,休日)=1,"○",IF(NETWORKDAYS(BT$5,$L16,休日)=1,"▶","→")),"")))</f>
        <v/>
      </c>
      <c r="BU16" s="116">
        <f>IF(OR($K16="",$L16=""),"",IF(NETWORKDAYS(BU$5,BU$5,休日)=0,"",IF(AND(BU$5&gt;=$K16,BU$5&lt;=$L16),IF(NETWORKDAYS($K16,BU$5,休日)=1,"○",IF(NETWORKDAYS(BU$5,$L16,休日)=1,"▶","→")),"")))</f>
        <v/>
      </c>
      <c r="BV16" s="116">
        <f>IF(OR($K16="",$L16=""),"",IF(NETWORKDAYS(BV$5,BV$5,休日)=0,"",IF(AND(BV$5&gt;=$K16,BV$5&lt;=$L16),IF(NETWORKDAYS($K16,BV$5,休日)=1,"○",IF(NETWORKDAYS(BV$5,$L16,休日)=1,"▶","→")),"")))</f>
        <v/>
      </c>
      <c r="BW16" s="116">
        <f>IF(OR($K16="",$L16=""),"",IF(NETWORKDAYS(BW$5,BW$5,休日)=0,"",IF(AND(BW$5&gt;=$K16,BW$5&lt;=$L16),IF(NETWORKDAYS($K16,BW$5,休日)=1,"○",IF(NETWORKDAYS(BW$5,$L16,休日)=1,"▶","→")),"")))</f>
        <v/>
      </c>
      <c r="BX16" s="116">
        <f>IF(OR($K16="",$L16=""),"",IF(NETWORKDAYS(BX$5,BX$5,休日)=0,"",IF(AND(BX$5&gt;=$K16,BX$5&lt;=$L16),IF(NETWORKDAYS($K16,BX$5,休日)=1,"○",IF(NETWORKDAYS(BX$5,$L16,休日)=1,"▶","→")),"")))</f>
        <v/>
      </c>
      <c r="BY16" s="116">
        <f>IF(OR($K16="",$L16=""),"",IF(NETWORKDAYS(BY$5,BY$5,休日)=0,"",IF(AND(BY$5&gt;=$K16,BY$5&lt;=$L16),IF(NETWORKDAYS($K16,BY$5,休日)=1,"○",IF(NETWORKDAYS(BY$5,$L16,休日)=1,"▶","→")),"")))</f>
        <v/>
      </c>
      <c r="BZ16" s="116">
        <f>IF(OR($K16="",$L16=""),"",IF(NETWORKDAYS(BZ$5,BZ$5,休日)=0,"",IF(AND(BZ$5&gt;=$K16,BZ$5&lt;=$L16),IF(NETWORKDAYS($K16,BZ$5,休日)=1,"○",IF(NETWORKDAYS(BZ$5,$L16,休日)=1,"▶","→")),"")))</f>
        <v/>
      </c>
      <c r="CA16" s="116">
        <f>IF(OR($K16="",$L16=""),"",IF(NETWORKDAYS(CA$5,CA$5,休日)=0,"",IF(AND(CA$5&gt;=$K16,CA$5&lt;=$L16),IF(NETWORKDAYS($K16,CA$5,休日)=1,"○",IF(NETWORKDAYS(CA$5,$L16,休日)=1,"▶","→")),"")))</f>
        <v/>
      </c>
      <c r="CB16" s="116">
        <f>IF(OR($K16="",$L16=""),"",IF(NETWORKDAYS(CB$5,CB$5,休日)=0,"",IF(AND(CB$5&gt;=$K16,CB$5&lt;=$L16),IF(NETWORKDAYS($K16,CB$5,休日)=1,"○",IF(NETWORKDAYS(CB$5,$L16,休日)=1,"▶","→")),"")))</f>
        <v/>
      </c>
      <c r="CC16" s="116">
        <f>IF(OR($K16="",$L16=""),"",IF(NETWORKDAYS(CC$5,CC$5,休日)=0,"",IF(AND(CC$5&gt;=$K16,CC$5&lt;=$L16),IF(NETWORKDAYS($K16,CC$5,休日)=1,"○",IF(NETWORKDAYS(CC$5,$L16,休日)=1,"▶","→")),"")))</f>
        <v/>
      </c>
      <c r="CD16" s="116">
        <f>IF(OR($K16="",$L16=""),"",IF(NETWORKDAYS(CD$5,CD$5,休日)=0,"",IF(AND(CD$5&gt;=$K16,CD$5&lt;=$L16),IF(NETWORKDAYS($K16,CD$5,休日)=1,"○",IF(NETWORKDAYS(CD$5,$L16,休日)=1,"▶","→")),"")))</f>
        <v/>
      </c>
      <c r="CE16" s="116">
        <f>IF(OR($K16="",$L16=""),"",IF(NETWORKDAYS(CE$5,CE$5,休日)=0,"",IF(AND(CE$5&gt;=$K16,CE$5&lt;=$L16),IF(NETWORKDAYS($K16,CE$5,休日)=1,"○",IF(NETWORKDAYS(CE$5,$L16,休日)=1,"▶","→")),"")))</f>
        <v/>
      </c>
      <c r="CF16" s="116">
        <f>IF(OR($K16="",$L16=""),"",IF(NETWORKDAYS(CF$5,CF$5,休日)=0,"",IF(AND(CF$5&gt;=$K16,CF$5&lt;=$L16),IF(NETWORKDAYS($K16,CF$5,休日)=1,"○",IF(NETWORKDAYS(CF$5,$L16,休日)=1,"▶","→")),"")))</f>
        <v/>
      </c>
      <c r="CG16" s="116">
        <f>IF(OR($K16="",$L16=""),"",IF(NETWORKDAYS(CG$5,CG$5,休日)=0,"",IF(AND(CG$5&gt;=$K16,CG$5&lt;=$L16),IF(NETWORKDAYS($K16,CG$5,休日)=1,"○",IF(NETWORKDAYS(CG$5,$L16,休日)=1,"▶","→")),"")))</f>
        <v/>
      </c>
      <c r="CH16" s="116">
        <f>IF(OR($K16="",$L16=""),"",IF(NETWORKDAYS(CH$5,CH$5,休日)=0,"",IF(AND(CH$5&gt;=$K16,CH$5&lt;=$L16),IF(NETWORKDAYS($K16,CH$5,休日)=1,"○",IF(NETWORKDAYS(CH$5,$L16,休日)=1,"▶","→")),"")))</f>
        <v/>
      </c>
      <c r="CI16" s="116">
        <f>IF(OR($K16="",$L16=""),"",IF(NETWORKDAYS(CI$5,CI$5,休日)=0,"",IF(AND(CI$5&gt;=$K16,CI$5&lt;=$L16),IF(NETWORKDAYS($K16,CI$5,休日)=1,"○",IF(NETWORKDAYS(CI$5,$L16,休日)=1,"▶","→")),"")))</f>
        <v/>
      </c>
      <c r="CJ16" s="116">
        <f>IF(OR($K16="",$L16=""),"",IF(NETWORKDAYS(CJ$5,CJ$5,休日)=0,"",IF(AND(CJ$5&gt;=$K16,CJ$5&lt;=$L16),IF(NETWORKDAYS($K16,CJ$5,休日)=1,"○",IF(NETWORKDAYS(CJ$5,$L16,休日)=1,"▶","→")),"")))</f>
        <v/>
      </c>
      <c r="CK16" s="116">
        <f>IF(OR($K16="",$L16=""),"",IF(NETWORKDAYS(CK$5,CK$5,休日)=0,"",IF(AND(CK$5&gt;=$K16,CK$5&lt;=$L16),IF(NETWORKDAYS($K16,CK$5,休日)=1,"○",IF(NETWORKDAYS(CK$5,$L16,休日)=1,"▶","→")),"")))</f>
        <v/>
      </c>
      <c r="CL16" s="116">
        <f>IF(OR($K16="",$L16=""),"",IF(NETWORKDAYS(CL$5,CL$5,休日)=0,"",IF(AND(CL$5&gt;=$K16,CL$5&lt;=$L16),IF(NETWORKDAYS($K16,CL$5,休日)=1,"○",IF(NETWORKDAYS(CL$5,$L16,休日)=1,"▶","→")),"")))</f>
        <v/>
      </c>
      <c r="CM16" s="116">
        <f>IF(OR($K16="",$L16=""),"",IF(NETWORKDAYS(CM$5,CM$5,休日)=0,"",IF(AND(CM$5&gt;=$K16,CM$5&lt;=$L16),IF(NETWORKDAYS($K16,CM$5,休日)=1,"○",IF(NETWORKDAYS(CM$5,$L16,休日)=1,"▶","→")),"")))</f>
        <v/>
      </c>
      <c r="CN16" s="116">
        <f>IF(OR($K16="",$L16=""),"",IF(NETWORKDAYS(CN$5,CN$5,休日)=0,"",IF(AND(CN$5&gt;=$K16,CN$5&lt;=$L16),IF(NETWORKDAYS($K16,CN$5,休日)=1,"○",IF(NETWORKDAYS(CN$5,$L16,休日)=1,"▶","→")),"")))</f>
        <v/>
      </c>
      <c r="CO16" s="116">
        <f>IF(OR($K16="",$L16=""),"",IF(NETWORKDAYS(CO$5,CO$5,休日)=0,"",IF(AND(CO$5&gt;=$K16,CO$5&lt;=$L16),IF(NETWORKDAYS($K16,CO$5,休日)=1,"○",IF(NETWORKDAYS(CO$5,$L16,休日)=1,"▶","→")),"")))</f>
        <v/>
      </c>
    </row>
    <row r="17" ht="32" customHeight="1" s="98">
      <c r="A17" s="5" t="n"/>
      <c r="B17" s="100" t="inlineStr">
        <is>
          <t>1.10</t>
        </is>
      </c>
      <c r="C17" s="101" t="inlineStr">
        <is>
          <t>調査・Mapping</t>
        </is>
      </c>
      <c r="D17" s="101" t="inlineStr">
        <is>
          <t>B1</t>
        </is>
      </c>
      <c r="E17" s="101" t="inlineStr">
        <is>
          <t>GCSアップロード要否の確認</t>
        </is>
      </c>
      <c r="F17" s="101" t="inlineStr">
        <is>
          <t>GCS</t>
        </is>
      </c>
      <c r="G17" s="100" t="inlineStr">
        <is>
          <t>B1</t>
        </is>
      </c>
      <c r="H17" s="100" t="inlineStr">
        <is>
          <t>王静</t>
        </is>
      </c>
      <c r="I17" s="113" t="n">
        <v>1</v>
      </c>
      <c r="J17" s="100" t="inlineStr">
        <is>
          <t>－</t>
        </is>
      </c>
      <c r="K17" s="114" t="n">
        <v>46308</v>
      </c>
      <c r="L17" s="114" t="n">
        <v>46318</v>
      </c>
      <c r="M17" s="114" t="n"/>
      <c r="N17" s="114" t="n"/>
      <c r="O17" s="100" t="inlineStr">
        <is>
          <t>未着手</t>
        </is>
      </c>
      <c r="P17" s="115" t="n">
        <v>0</v>
      </c>
      <c r="Q17" s="100" t="inlineStr">
        <is>
          <t>G①</t>
        </is>
      </c>
      <c r="R17" s="101" t="inlineStr">
        <is>
          <t>尹启林の2.0人日と合わせ、GCS確認は3.0人日</t>
        </is>
      </c>
      <c r="S17" s="116">
        <f>IF(OR($K17="",$L17=""),"",IF(NETWORKDAYS(S$5,S$5,休日)=0,"",IF(AND(S$5&gt;=$K17,S$5&lt;=$L17),IF(NETWORKDAYS($K17,S$5,休日)=1,"○",IF(NETWORKDAYS(S$5,$L17,休日)=1,"▶","→")),"")))</f>
        <v/>
      </c>
      <c r="T17" s="116">
        <f>IF(OR($K17="",$L17=""),"",IF(NETWORKDAYS(T$5,T$5,休日)=0,"",IF(AND(T$5&gt;=$K17,T$5&lt;=$L17),IF(NETWORKDAYS($K17,T$5,休日)=1,"○",IF(NETWORKDAYS(T$5,$L17,休日)=1,"▶","→")),"")))</f>
        <v/>
      </c>
      <c r="U17" s="116">
        <f>IF(OR($K17="",$L17=""),"",IF(NETWORKDAYS(U$5,U$5,休日)=0,"",IF(AND(U$5&gt;=$K17,U$5&lt;=$L17),IF(NETWORKDAYS($K17,U$5,休日)=1,"○",IF(NETWORKDAYS(U$5,$L17,休日)=1,"▶","→")),"")))</f>
        <v/>
      </c>
      <c r="V17" s="116">
        <f>IF(OR($K17="",$L17=""),"",IF(NETWORKDAYS(V$5,V$5,休日)=0,"",IF(AND(V$5&gt;=$K17,V$5&lt;=$L17),IF(NETWORKDAYS($K17,V$5,休日)=1,"○",IF(NETWORKDAYS(V$5,$L17,休日)=1,"▶","→")),"")))</f>
        <v/>
      </c>
      <c r="W17" s="116">
        <f>IF(OR($K17="",$L17=""),"",IF(NETWORKDAYS(W$5,W$5,休日)=0,"",IF(AND(W$5&gt;=$K17,W$5&lt;=$L17),IF(NETWORKDAYS($K17,W$5,休日)=1,"○",IF(NETWORKDAYS(W$5,$L17,休日)=1,"▶","→")),"")))</f>
        <v/>
      </c>
      <c r="X17" s="116">
        <f>IF(OR($K17="",$L17=""),"",IF(NETWORKDAYS(X$5,X$5,休日)=0,"",IF(AND(X$5&gt;=$K17,X$5&lt;=$L17),IF(NETWORKDAYS($K17,X$5,休日)=1,"○",IF(NETWORKDAYS(X$5,$L17,休日)=1,"▶","→")),"")))</f>
        <v/>
      </c>
      <c r="Y17" s="116">
        <f>IF(OR($K17="",$L17=""),"",IF(NETWORKDAYS(Y$5,Y$5,休日)=0,"",IF(AND(Y$5&gt;=$K17,Y$5&lt;=$L17),IF(NETWORKDAYS($K17,Y$5,休日)=1,"○",IF(NETWORKDAYS(Y$5,$L17,休日)=1,"▶","→")),"")))</f>
        <v/>
      </c>
      <c r="Z17" s="116">
        <f>IF(OR($K17="",$L17=""),"",IF(NETWORKDAYS(Z$5,Z$5,休日)=0,"",IF(AND(Z$5&gt;=$K17,Z$5&lt;=$L17),IF(NETWORKDAYS($K17,Z$5,休日)=1,"○",IF(NETWORKDAYS(Z$5,$L17,休日)=1,"▶","→")),"")))</f>
        <v/>
      </c>
      <c r="AA17" s="116">
        <f>IF(OR($K17="",$L17=""),"",IF(NETWORKDAYS(AA$5,AA$5,休日)=0,"",IF(AND(AA$5&gt;=$K17,AA$5&lt;=$L17),IF(NETWORKDAYS($K17,AA$5,休日)=1,"○",IF(NETWORKDAYS(AA$5,$L17,休日)=1,"▶","→")),"")))</f>
        <v/>
      </c>
      <c r="AB17" s="116">
        <f>IF(OR($K17="",$L17=""),"",IF(NETWORKDAYS(AB$5,AB$5,休日)=0,"",IF(AND(AB$5&gt;=$K17,AB$5&lt;=$L17),IF(NETWORKDAYS($K17,AB$5,休日)=1,"○",IF(NETWORKDAYS(AB$5,$L17,休日)=1,"▶","→")),"")))</f>
        <v/>
      </c>
      <c r="AC17" s="116">
        <f>IF(OR($K17="",$L17=""),"",IF(NETWORKDAYS(AC$5,AC$5,休日)=0,"",IF(AND(AC$5&gt;=$K17,AC$5&lt;=$L17),IF(NETWORKDAYS($K17,AC$5,休日)=1,"○",IF(NETWORKDAYS(AC$5,$L17,休日)=1,"▶","→")),"")))</f>
        <v/>
      </c>
      <c r="AD17" s="116">
        <f>IF(OR($K17="",$L17=""),"",IF(NETWORKDAYS(AD$5,AD$5,休日)=0,"",IF(AND(AD$5&gt;=$K17,AD$5&lt;=$L17),IF(NETWORKDAYS($K17,AD$5,休日)=1,"○",IF(NETWORKDAYS(AD$5,$L17,休日)=1,"▶","→")),"")))</f>
        <v/>
      </c>
      <c r="AE17" s="116">
        <f>IF(OR($K17="",$L17=""),"",IF(NETWORKDAYS(AE$5,AE$5,休日)=0,"",IF(AND(AE$5&gt;=$K17,AE$5&lt;=$L17),IF(NETWORKDAYS($K17,AE$5,休日)=1,"○",IF(NETWORKDAYS(AE$5,$L17,休日)=1,"▶","→")),"")))</f>
        <v/>
      </c>
      <c r="AF17" s="116">
        <f>IF(OR($K17="",$L17=""),"",IF(NETWORKDAYS(AF$5,AF$5,休日)=0,"",IF(AND(AF$5&gt;=$K17,AF$5&lt;=$L17),IF(NETWORKDAYS($K17,AF$5,休日)=1,"○",IF(NETWORKDAYS(AF$5,$L17,休日)=1,"▶","→")),"")))</f>
        <v/>
      </c>
      <c r="AG17" s="116">
        <f>IF(OR($K17="",$L17=""),"",IF(NETWORKDAYS(AG$5,AG$5,休日)=0,"",IF(AND(AG$5&gt;=$K17,AG$5&lt;=$L17),IF(NETWORKDAYS($K17,AG$5,休日)=1,"○",IF(NETWORKDAYS(AG$5,$L17,休日)=1,"▶","→")),"")))</f>
        <v/>
      </c>
      <c r="AH17" s="116">
        <f>IF(OR($K17="",$L17=""),"",IF(NETWORKDAYS(AH$5,AH$5,休日)=0,"",IF(AND(AH$5&gt;=$K17,AH$5&lt;=$L17),IF(NETWORKDAYS($K17,AH$5,休日)=1,"○",IF(NETWORKDAYS(AH$5,$L17,休日)=1,"▶","→")),"")))</f>
        <v/>
      </c>
      <c r="AI17" s="116">
        <f>IF(OR($K17="",$L17=""),"",IF(NETWORKDAYS(AI$5,AI$5,休日)=0,"",IF(AND(AI$5&gt;=$K17,AI$5&lt;=$L17),IF(NETWORKDAYS($K17,AI$5,休日)=1,"○",IF(NETWORKDAYS(AI$5,$L17,休日)=1,"▶","→")),"")))</f>
        <v/>
      </c>
      <c r="AJ17" s="116">
        <f>IF(OR($K17="",$L17=""),"",IF(NETWORKDAYS(AJ$5,AJ$5,休日)=0,"",IF(AND(AJ$5&gt;=$K17,AJ$5&lt;=$L17),IF(NETWORKDAYS($K17,AJ$5,休日)=1,"○",IF(NETWORKDAYS(AJ$5,$L17,休日)=1,"▶","→")),"")))</f>
        <v/>
      </c>
      <c r="AK17" s="116">
        <f>IF(OR($K17="",$L17=""),"",IF(NETWORKDAYS(AK$5,AK$5,休日)=0,"",IF(AND(AK$5&gt;=$K17,AK$5&lt;=$L17),IF(NETWORKDAYS($K17,AK$5,休日)=1,"○",IF(NETWORKDAYS(AK$5,$L17,休日)=1,"▶","→")),"")))</f>
        <v/>
      </c>
      <c r="AL17" s="116">
        <f>IF(OR($K17="",$L17=""),"",IF(NETWORKDAYS(AL$5,AL$5,休日)=0,"",IF(AND(AL$5&gt;=$K17,AL$5&lt;=$L17),IF(NETWORKDAYS($K17,AL$5,休日)=1,"○",IF(NETWORKDAYS(AL$5,$L17,休日)=1,"▶","→")),"")))</f>
        <v/>
      </c>
      <c r="AM17" s="116">
        <f>IF(OR($K17="",$L17=""),"",IF(NETWORKDAYS(AM$5,AM$5,休日)=0,"",IF(AND(AM$5&gt;=$K17,AM$5&lt;=$L17),IF(NETWORKDAYS($K17,AM$5,休日)=1,"○",IF(NETWORKDAYS(AM$5,$L17,休日)=1,"▶","→")),"")))</f>
        <v/>
      </c>
      <c r="AN17" s="116">
        <f>IF(OR($K17="",$L17=""),"",IF(NETWORKDAYS(AN$5,AN$5,休日)=0,"",IF(AND(AN$5&gt;=$K17,AN$5&lt;=$L17),IF(NETWORKDAYS($K17,AN$5,休日)=1,"○",IF(NETWORKDAYS(AN$5,$L17,休日)=1,"▶","→")),"")))</f>
        <v/>
      </c>
      <c r="AO17" s="116">
        <f>IF(OR($K17="",$L17=""),"",IF(NETWORKDAYS(AO$5,AO$5,休日)=0,"",IF(AND(AO$5&gt;=$K17,AO$5&lt;=$L17),IF(NETWORKDAYS($K17,AO$5,休日)=1,"○",IF(NETWORKDAYS(AO$5,$L17,休日)=1,"▶","→")),"")))</f>
        <v/>
      </c>
      <c r="AP17" s="116">
        <f>IF(OR($K17="",$L17=""),"",IF(NETWORKDAYS(AP$5,AP$5,休日)=0,"",IF(AND(AP$5&gt;=$K17,AP$5&lt;=$L17),IF(NETWORKDAYS($K17,AP$5,休日)=1,"○",IF(NETWORKDAYS(AP$5,$L17,休日)=1,"▶","→")),"")))</f>
        <v/>
      </c>
      <c r="AQ17" s="116">
        <f>IF(OR($K17="",$L17=""),"",IF(NETWORKDAYS(AQ$5,AQ$5,休日)=0,"",IF(AND(AQ$5&gt;=$K17,AQ$5&lt;=$L17),IF(NETWORKDAYS($K17,AQ$5,休日)=1,"○",IF(NETWORKDAYS(AQ$5,$L17,休日)=1,"▶","→")),"")))</f>
        <v/>
      </c>
      <c r="AR17" s="116">
        <f>IF(OR($K17="",$L17=""),"",IF(NETWORKDAYS(AR$5,AR$5,休日)=0,"",IF(AND(AR$5&gt;=$K17,AR$5&lt;=$L17),IF(NETWORKDAYS($K17,AR$5,休日)=1,"○",IF(NETWORKDAYS(AR$5,$L17,休日)=1,"▶","→")),"")))</f>
        <v/>
      </c>
      <c r="AS17" s="116">
        <f>IF(OR($K17="",$L17=""),"",IF(NETWORKDAYS(AS$5,AS$5,休日)=0,"",IF(AND(AS$5&gt;=$K17,AS$5&lt;=$L17),IF(NETWORKDAYS($K17,AS$5,休日)=1,"○",IF(NETWORKDAYS(AS$5,$L17,休日)=1,"▶","→")),"")))</f>
        <v/>
      </c>
      <c r="AT17" s="116">
        <f>IF(OR($K17="",$L17=""),"",IF(NETWORKDAYS(AT$5,AT$5,休日)=0,"",IF(AND(AT$5&gt;=$K17,AT$5&lt;=$L17),IF(NETWORKDAYS($K17,AT$5,休日)=1,"○",IF(NETWORKDAYS(AT$5,$L17,休日)=1,"▶","→")),"")))</f>
        <v/>
      </c>
      <c r="AU17" s="116">
        <f>IF(OR($K17="",$L17=""),"",IF(NETWORKDAYS(AU$5,AU$5,休日)=0,"",IF(AND(AU$5&gt;=$K17,AU$5&lt;=$L17),IF(NETWORKDAYS($K17,AU$5,休日)=1,"○",IF(NETWORKDAYS(AU$5,$L17,休日)=1,"▶","→")),"")))</f>
        <v/>
      </c>
      <c r="AV17" s="116">
        <f>IF(OR($K17="",$L17=""),"",IF(NETWORKDAYS(AV$5,AV$5,休日)=0,"",IF(AND(AV$5&gt;=$K17,AV$5&lt;=$L17),IF(NETWORKDAYS($K17,AV$5,休日)=1,"○",IF(NETWORKDAYS(AV$5,$L17,休日)=1,"▶","→")),"")))</f>
        <v/>
      </c>
      <c r="AW17" s="116">
        <f>IF(OR($K17="",$L17=""),"",IF(NETWORKDAYS(AW$5,AW$5,休日)=0,"",IF(AND(AW$5&gt;=$K17,AW$5&lt;=$L17),IF(NETWORKDAYS($K17,AW$5,休日)=1,"○",IF(NETWORKDAYS(AW$5,$L17,休日)=1,"▶","→")),"")))</f>
        <v/>
      </c>
      <c r="AX17" s="116">
        <f>IF(OR($K17="",$L17=""),"",IF(NETWORKDAYS(AX$5,AX$5,休日)=0,"",IF(AND(AX$5&gt;=$K17,AX$5&lt;=$L17),IF(NETWORKDAYS($K17,AX$5,休日)=1,"○",IF(NETWORKDAYS(AX$5,$L17,休日)=1,"▶","→")),"")))</f>
        <v/>
      </c>
      <c r="AY17" s="116">
        <f>IF(OR($K17="",$L17=""),"",IF(NETWORKDAYS(AY$5,AY$5,休日)=0,"",IF(AND(AY$5&gt;=$K17,AY$5&lt;=$L17),IF(NETWORKDAYS($K17,AY$5,休日)=1,"○",IF(NETWORKDAYS(AY$5,$L17,休日)=1,"▶","→")),"")))</f>
        <v/>
      </c>
      <c r="AZ17" s="116">
        <f>IF(OR($K17="",$L17=""),"",IF(NETWORKDAYS(AZ$5,AZ$5,休日)=0,"",IF(AND(AZ$5&gt;=$K17,AZ$5&lt;=$L17),IF(NETWORKDAYS($K17,AZ$5,休日)=1,"○",IF(NETWORKDAYS(AZ$5,$L17,休日)=1,"▶","→")),"")))</f>
        <v/>
      </c>
      <c r="BA17" s="116">
        <f>IF(OR($K17="",$L17=""),"",IF(NETWORKDAYS(BA$5,BA$5,休日)=0,"",IF(AND(BA$5&gt;=$K17,BA$5&lt;=$L17),IF(NETWORKDAYS($K17,BA$5,休日)=1,"○",IF(NETWORKDAYS(BA$5,$L17,休日)=1,"▶","→")),"")))</f>
        <v/>
      </c>
      <c r="BB17" s="116">
        <f>IF(OR($K17="",$L17=""),"",IF(NETWORKDAYS(BB$5,BB$5,休日)=0,"",IF(AND(BB$5&gt;=$K17,BB$5&lt;=$L17),IF(NETWORKDAYS($K17,BB$5,休日)=1,"○",IF(NETWORKDAYS(BB$5,$L17,休日)=1,"▶","→")),"")))</f>
        <v/>
      </c>
      <c r="BC17" s="116">
        <f>IF(OR($K17="",$L17=""),"",IF(NETWORKDAYS(BC$5,BC$5,休日)=0,"",IF(AND(BC$5&gt;=$K17,BC$5&lt;=$L17),IF(NETWORKDAYS($K17,BC$5,休日)=1,"○",IF(NETWORKDAYS(BC$5,$L17,休日)=1,"▶","→")),"")))</f>
        <v/>
      </c>
      <c r="BD17" s="116">
        <f>IF(OR($K17="",$L17=""),"",IF(NETWORKDAYS(BD$5,BD$5,休日)=0,"",IF(AND(BD$5&gt;=$K17,BD$5&lt;=$L17),IF(NETWORKDAYS($K17,BD$5,休日)=1,"○",IF(NETWORKDAYS(BD$5,$L17,休日)=1,"▶","→")),"")))</f>
        <v/>
      </c>
      <c r="BE17" s="116">
        <f>IF(OR($K17="",$L17=""),"",IF(NETWORKDAYS(BE$5,BE$5,休日)=0,"",IF(AND(BE$5&gt;=$K17,BE$5&lt;=$L17),IF(NETWORKDAYS($K17,BE$5,休日)=1,"○",IF(NETWORKDAYS(BE$5,$L17,休日)=1,"▶","→")),"")))</f>
        <v/>
      </c>
      <c r="BF17" s="116">
        <f>IF(OR($K17="",$L17=""),"",IF(NETWORKDAYS(BF$5,BF$5,休日)=0,"",IF(AND(BF$5&gt;=$K17,BF$5&lt;=$L17),IF(NETWORKDAYS($K17,BF$5,休日)=1,"○",IF(NETWORKDAYS(BF$5,$L17,休日)=1,"▶","→")),"")))</f>
        <v/>
      </c>
      <c r="BG17" s="116">
        <f>IF(OR($K17="",$L17=""),"",IF(NETWORKDAYS(BG$5,BG$5,休日)=0,"",IF(AND(BG$5&gt;=$K17,BG$5&lt;=$L17),IF(NETWORKDAYS($K17,BG$5,休日)=1,"○",IF(NETWORKDAYS(BG$5,$L17,休日)=1,"▶","→")),"")))</f>
        <v/>
      </c>
      <c r="BH17" s="116">
        <f>IF(OR($K17="",$L17=""),"",IF(NETWORKDAYS(BH$5,BH$5,休日)=0,"",IF(AND(BH$5&gt;=$K17,BH$5&lt;=$L17),IF(NETWORKDAYS($K17,BH$5,休日)=1,"○",IF(NETWORKDAYS(BH$5,$L17,休日)=1,"▶","→")),"")))</f>
        <v/>
      </c>
      <c r="BI17" s="116">
        <f>IF(OR($K17="",$L17=""),"",IF(NETWORKDAYS(BI$5,BI$5,休日)=0,"",IF(AND(BI$5&gt;=$K17,BI$5&lt;=$L17),IF(NETWORKDAYS($K17,BI$5,休日)=1,"○",IF(NETWORKDAYS(BI$5,$L17,休日)=1,"▶","→")),"")))</f>
        <v/>
      </c>
      <c r="BJ17" s="116">
        <f>IF(OR($K17="",$L17=""),"",IF(NETWORKDAYS(BJ$5,BJ$5,休日)=0,"",IF(AND(BJ$5&gt;=$K17,BJ$5&lt;=$L17),IF(NETWORKDAYS($K17,BJ$5,休日)=1,"○",IF(NETWORKDAYS(BJ$5,$L17,休日)=1,"▶","→")),"")))</f>
        <v/>
      </c>
      <c r="BK17" s="116">
        <f>IF(OR($K17="",$L17=""),"",IF(NETWORKDAYS(BK$5,BK$5,休日)=0,"",IF(AND(BK$5&gt;=$K17,BK$5&lt;=$L17),IF(NETWORKDAYS($K17,BK$5,休日)=1,"○",IF(NETWORKDAYS(BK$5,$L17,休日)=1,"▶","→")),"")))</f>
        <v/>
      </c>
      <c r="BL17" s="116">
        <f>IF(OR($K17="",$L17=""),"",IF(NETWORKDAYS(BL$5,BL$5,休日)=0,"",IF(AND(BL$5&gt;=$K17,BL$5&lt;=$L17),IF(NETWORKDAYS($K17,BL$5,休日)=1,"○",IF(NETWORKDAYS(BL$5,$L17,休日)=1,"▶","→")),"")))</f>
        <v/>
      </c>
      <c r="BM17" s="116">
        <f>IF(OR($K17="",$L17=""),"",IF(NETWORKDAYS(BM$5,BM$5,休日)=0,"",IF(AND(BM$5&gt;=$K17,BM$5&lt;=$L17),IF(NETWORKDAYS($K17,BM$5,休日)=1,"○",IF(NETWORKDAYS(BM$5,$L17,休日)=1,"▶","→")),"")))</f>
        <v/>
      </c>
      <c r="BN17" s="116">
        <f>IF(OR($K17="",$L17=""),"",IF(NETWORKDAYS(BN$5,BN$5,休日)=0,"",IF(AND(BN$5&gt;=$K17,BN$5&lt;=$L17),IF(NETWORKDAYS($K17,BN$5,休日)=1,"○",IF(NETWORKDAYS(BN$5,$L17,休日)=1,"▶","→")),"")))</f>
        <v/>
      </c>
      <c r="BO17" s="116">
        <f>IF(OR($K17="",$L17=""),"",IF(NETWORKDAYS(BO$5,BO$5,休日)=0,"",IF(AND(BO$5&gt;=$K17,BO$5&lt;=$L17),IF(NETWORKDAYS($K17,BO$5,休日)=1,"○",IF(NETWORKDAYS(BO$5,$L17,休日)=1,"▶","→")),"")))</f>
        <v/>
      </c>
      <c r="BP17" s="116">
        <f>IF(OR($K17="",$L17=""),"",IF(NETWORKDAYS(BP$5,BP$5,休日)=0,"",IF(AND(BP$5&gt;=$K17,BP$5&lt;=$L17),IF(NETWORKDAYS($K17,BP$5,休日)=1,"○",IF(NETWORKDAYS(BP$5,$L17,休日)=1,"▶","→")),"")))</f>
        <v/>
      </c>
      <c r="BQ17" s="116">
        <f>IF(OR($K17="",$L17=""),"",IF(NETWORKDAYS(BQ$5,BQ$5,休日)=0,"",IF(AND(BQ$5&gt;=$K17,BQ$5&lt;=$L17),IF(NETWORKDAYS($K17,BQ$5,休日)=1,"○",IF(NETWORKDAYS(BQ$5,$L17,休日)=1,"▶","→")),"")))</f>
        <v/>
      </c>
      <c r="BR17" s="116">
        <f>IF(OR($K17="",$L17=""),"",IF(NETWORKDAYS(BR$5,BR$5,休日)=0,"",IF(AND(BR$5&gt;=$K17,BR$5&lt;=$L17),IF(NETWORKDAYS($K17,BR$5,休日)=1,"○",IF(NETWORKDAYS(BR$5,$L17,休日)=1,"▶","→")),"")))</f>
        <v/>
      </c>
      <c r="BS17" s="116">
        <f>IF(OR($K17="",$L17=""),"",IF(NETWORKDAYS(BS$5,BS$5,休日)=0,"",IF(AND(BS$5&gt;=$K17,BS$5&lt;=$L17),IF(NETWORKDAYS($K17,BS$5,休日)=1,"○",IF(NETWORKDAYS(BS$5,$L17,休日)=1,"▶","→")),"")))</f>
        <v/>
      </c>
      <c r="BT17" s="116">
        <f>IF(OR($K17="",$L17=""),"",IF(NETWORKDAYS(BT$5,BT$5,休日)=0,"",IF(AND(BT$5&gt;=$K17,BT$5&lt;=$L17),IF(NETWORKDAYS($K17,BT$5,休日)=1,"○",IF(NETWORKDAYS(BT$5,$L17,休日)=1,"▶","→")),"")))</f>
        <v/>
      </c>
      <c r="BU17" s="116">
        <f>IF(OR($K17="",$L17=""),"",IF(NETWORKDAYS(BU$5,BU$5,休日)=0,"",IF(AND(BU$5&gt;=$K17,BU$5&lt;=$L17),IF(NETWORKDAYS($K17,BU$5,休日)=1,"○",IF(NETWORKDAYS(BU$5,$L17,休日)=1,"▶","→")),"")))</f>
        <v/>
      </c>
      <c r="BV17" s="116">
        <f>IF(OR($K17="",$L17=""),"",IF(NETWORKDAYS(BV$5,BV$5,休日)=0,"",IF(AND(BV$5&gt;=$K17,BV$5&lt;=$L17),IF(NETWORKDAYS($K17,BV$5,休日)=1,"○",IF(NETWORKDAYS(BV$5,$L17,休日)=1,"▶","→")),"")))</f>
        <v/>
      </c>
      <c r="BW17" s="116">
        <f>IF(OR($K17="",$L17=""),"",IF(NETWORKDAYS(BW$5,BW$5,休日)=0,"",IF(AND(BW$5&gt;=$K17,BW$5&lt;=$L17),IF(NETWORKDAYS($K17,BW$5,休日)=1,"○",IF(NETWORKDAYS(BW$5,$L17,休日)=1,"▶","→")),"")))</f>
        <v/>
      </c>
      <c r="BX17" s="116">
        <f>IF(OR($K17="",$L17=""),"",IF(NETWORKDAYS(BX$5,BX$5,休日)=0,"",IF(AND(BX$5&gt;=$K17,BX$5&lt;=$L17),IF(NETWORKDAYS($K17,BX$5,休日)=1,"○",IF(NETWORKDAYS(BX$5,$L17,休日)=1,"▶","→")),"")))</f>
        <v/>
      </c>
      <c r="BY17" s="116">
        <f>IF(OR($K17="",$L17=""),"",IF(NETWORKDAYS(BY$5,BY$5,休日)=0,"",IF(AND(BY$5&gt;=$K17,BY$5&lt;=$L17),IF(NETWORKDAYS($K17,BY$5,休日)=1,"○",IF(NETWORKDAYS(BY$5,$L17,休日)=1,"▶","→")),"")))</f>
        <v/>
      </c>
      <c r="BZ17" s="116">
        <f>IF(OR($K17="",$L17=""),"",IF(NETWORKDAYS(BZ$5,BZ$5,休日)=0,"",IF(AND(BZ$5&gt;=$K17,BZ$5&lt;=$L17),IF(NETWORKDAYS($K17,BZ$5,休日)=1,"○",IF(NETWORKDAYS(BZ$5,$L17,休日)=1,"▶","→")),"")))</f>
        <v/>
      </c>
      <c r="CA17" s="116">
        <f>IF(OR($K17="",$L17=""),"",IF(NETWORKDAYS(CA$5,CA$5,休日)=0,"",IF(AND(CA$5&gt;=$K17,CA$5&lt;=$L17),IF(NETWORKDAYS($K17,CA$5,休日)=1,"○",IF(NETWORKDAYS(CA$5,$L17,休日)=1,"▶","→")),"")))</f>
        <v/>
      </c>
      <c r="CB17" s="116">
        <f>IF(OR($K17="",$L17=""),"",IF(NETWORKDAYS(CB$5,CB$5,休日)=0,"",IF(AND(CB$5&gt;=$K17,CB$5&lt;=$L17),IF(NETWORKDAYS($K17,CB$5,休日)=1,"○",IF(NETWORKDAYS(CB$5,$L17,休日)=1,"▶","→")),"")))</f>
        <v/>
      </c>
      <c r="CC17" s="116">
        <f>IF(OR($K17="",$L17=""),"",IF(NETWORKDAYS(CC$5,CC$5,休日)=0,"",IF(AND(CC$5&gt;=$K17,CC$5&lt;=$L17),IF(NETWORKDAYS($K17,CC$5,休日)=1,"○",IF(NETWORKDAYS(CC$5,$L17,休日)=1,"▶","→")),"")))</f>
        <v/>
      </c>
      <c r="CD17" s="116">
        <f>IF(OR($K17="",$L17=""),"",IF(NETWORKDAYS(CD$5,CD$5,休日)=0,"",IF(AND(CD$5&gt;=$K17,CD$5&lt;=$L17),IF(NETWORKDAYS($K17,CD$5,休日)=1,"○",IF(NETWORKDAYS(CD$5,$L17,休日)=1,"▶","→")),"")))</f>
        <v/>
      </c>
      <c r="CE17" s="116">
        <f>IF(OR($K17="",$L17=""),"",IF(NETWORKDAYS(CE$5,CE$5,休日)=0,"",IF(AND(CE$5&gt;=$K17,CE$5&lt;=$L17),IF(NETWORKDAYS($K17,CE$5,休日)=1,"○",IF(NETWORKDAYS(CE$5,$L17,休日)=1,"▶","→")),"")))</f>
        <v/>
      </c>
      <c r="CF17" s="116">
        <f>IF(OR($K17="",$L17=""),"",IF(NETWORKDAYS(CF$5,CF$5,休日)=0,"",IF(AND(CF$5&gt;=$K17,CF$5&lt;=$L17),IF(NETWORKDAYS($K17,CF$5,休日)=1,"○",IF(NETWORKDAYS(CF$5,$L17,休日)=1,"▶","→")),"")))</f>
        <v/>
      </c>
      <c r="CG17" s="116">
        <f>IF(OR($K17="",$L17=""),"",IF(NETWORKDAYS(CG$5,CG$5,休日)=0,"",IF(AND(CG$5&gt;=$K17,CG$5&lt;=$L17),IF(NETWORKDAYS($K17,CG$5,休日)=1,"○",IF(NETWORKDAYS(CG$5,$L17,休日)=1,"▶","→")),"")))</f>
        <v/>
      </c>
      <c r="CH17" s="116">
        <f>IF(OR($K17="",$L17=""),"",IF(NETWORKDAYS(CH$5,CH$5,休日)=0,"",IF(AND(CH$5&gt;=$K17,CH$5&lt;=$L17),IF(NETWORKDAYS($K17,CH$5,休日)=1,"○",IF(NETWORKDAYS(CH$5,$L17,休日)=1,"▶","→")),"")))</f>
        <v/>
      </c>
      <c r="CI17" s="116">
        <f>IF(OR($K17="",$L17=""),"",IF(NETWORKDAYS(CI$5,CI$5,休日)=0,"",IF(AND(CI$5&gt;=$K17,CI$5&lt;=$L17),IF(NETWORKDAYS($K17,CI$5,休日)=1,"○",IF(NETWORKDAYS(CI$5,$L17,休日)=1,"▶","→")),"")))</f>
        <v/>
      </c>
      <c r="CJ17" s="116">
        <f>IF(OR($K17="",$L17=""),"",IF(NETWORKDAYS(CJ$5,CJ$5,休日)=0,"",IF(AND(CJ$5&gt;=$K17,CJ$5&lt;=$L17),IF(NETWORKDAYS($K17,CJ$5,休日)=1,"○",IF(NETWORKDAYS(CJ$5,$L17,休日)=1,"▶","→")),"")))</f>
        <v/>
      </c>
      <c r="CK17" s="116">
        <f>IF(OR($K17="",$L17=""),"",IF(NETWORKDAYS(CK$5,CK$5,休日)=0,"",IF(AND(CK$5&gt;=$K17,CK$5&lt;=$L17),IF(NETWORKDAYS($K17,CK$5,休日)=1,"○",IF(NETWORKDAYS(CK$5,$L17,休日)=1,"▶","→")),"")))</f>
        <v/>
      </c>
      <c r="CL17" s="116">
        <f>IF(OR($K17="",$L17=""),"",IF(NETWORKDAYS(CL$5,CL$5,休日)=0,"",IF(AND(CL$5&gt;=$K17,CL$5&lt;=$L17),IF(NETWORKDAYS($K17,CL$5,休日)=1,"○",IF(NETWORKDAYS(CL$5,$L17,休日)=1,"▶","→")),"")))</f>
        <v/>
      </c>
      <c r="CM17" s="116">
        <f>IF(OR($K17="",$L17=""),"",IF(NETWORKDAYS(CM$5,CM$5,休日)=0,"",IF(AND(CM$5&gt;=$K17,CM$5&lt;=$L17),IF(NETWORKDAYS($K17,CM$5,休日)=1,"○",IF(NETWORKDAYS(CM$5,$L17,休日)=1,"▶","→")),"")))</f>
        <v/>
      </c>
      <c r="CN17" s="116">
        <f>IF(OR($K17="",$L17=""),"",IF(NETWORKDAYS(CN$5,CN$5,休日)=0,"",IF(AND(CN$5&gt;=$K17,CN$5&lt;=$L17),IF(NETWORKDAYS($K17,CN$5,休日)=1,"○",IF(NETWORKDAYS(CN$5,$L17,休日)=1,"▶","→")),"")))</f>
        <v/>
      </c>
      <c r="CO17" s="116">
        <f>IF(OR($K17="",$L17=""),"",IF(NETWORKDAYS(CO$5,CO$5,休日)=0,"",IF(AND(CO$5&gt;=$K17,CO$5&lt;=$L17),IF(NETWORKDAYS($K17,CO$5,休日)=1,"○",IF(NETWORKDAYS(CO$5,$L17,休日)=1,"▶","→")),"")))</f>
        <v/>
      </c>
    </row>
    <row r="18" ht="32" customHeight="1" s="98">
      <c r="A18" s="5" t="n"/>
      <c r="B18" s="100" t="inlineStr">
        <is>
          <t>1.11</t>
        </is>
      </c>
      <c r="C18" s="101" t="inlineStr">
        <is>
          <t>調査・Mapping</t>
        </is>
      </c>
      <c r="D18" s="101" t="inlineStr">
        <is>
          <t>B1</t>
        </is>
      </c>
      <c r="E18" s="101" t="inlineStr">
        <is>
          <t>流用突合</t>
        </is>
      </c>
      <c r="F18" s="101" t="inlineStr">
        <is>
          <t>店舗系12本</t>
        </is>
      </c>
      <c r="G18" s="100" t="inlineStr">
        <is>
          <t>B1</t>
        </is>
      </c>
      <c r="H18" s="100" t="inlineStr">
        <is>
          <t>杨艳</t>
        </is>
      </c>
      <c r="I18" s="113" t="n">
        <v>4</v>
      </c>
      <c r="J18" s="100" t="inlineStr">
        <is>
          <t>－</t>
        </is>
      </c>
      <c r="K18" s="114" t="n">
        <v>46308</v>
      </c>
      <c r="L18" s="114" t="n">
        <v>46318</v>
      </c>
      <c r="M18" s="114" t="n"/>
      <c r="N18" s="114" t="n"/>
      <c r="O18" s="100" t="inlineStr">
        <is>
          <t>未着手</t>
        </is>
      </c>
      <c r="P18" s="115" t="n">
        <v>0</v>
      </c>
      <c r="Q18" s="100" t="inlineStr">
        <is>
          <t>G①</t>
        </is>
      </c>
      <c r="R18" s="101" t="inlineStr">
        <is>
          <t>出典は「流用突合 4」。対象の内訳は未記載</t>
        </is>
      </c>
      <c r="S18" s="116">
        <f>IF(OR($K18="",$L18=""),"",IF(NETWORKDAYS(S$5,S$5,休日)=0,"",IF(AND(S$5&gt;=$K18,S$5&lt;=$L18),IF(NETWORKDAYS($K18,S$5,休日)=1,"○",IF(NETWORKDAYS(S$5,$L18,休日)=1,"▶","→")),"")))</f>
        <v/>
      </c>
      <c r="T18" s="116">
        <f>IF(OR($K18="",$L18=""),"",IF(NETWORKDAYS(T$5,T$5,休日)=0,"",IF(AND(T$5&gt;=$K18,T$5&lt;=$L18),IF(NETWORKDAYS($K18,T$5,休日)=1,"○",IF(NETWORKDAYS(T$5,$L18,休日)=1,"▶","→")),"")))</f>
        <v/>
      </c>
      <c r="U18" s="116">
        <f>IF(OR($K18="",$L18=""),"",IF(NETWORKDAYS(U$5,U$5,休日)=0,"",IF(AND(U$5&gt;=$K18,U$5&lt;=$L18),IF(NETWORKDAYS($K18,U$5,休日)=1,"○",IF(NETWORKDAYS(U$5,$L18,休日)=1,"▶","→")),"")))</f>
        <v/>
      </c>
      <c r="V18" s="116">
        <f>IF(OR($K18="",$L18=""),"",IF(NETWORKDAYS(V$5,V$5,休日)=0,"",IF(AND(V$5&gt;=$K18,V$5&lt;=$L18),IF(NETWORKDAYS($K18,V$5,休日)=1,"○",IF(NETWORKDAYS(V$5,$L18,休日)=1,"▶","→")),"")))</f>
        <v/>
      </c>
      <c r="W18" s="116">
        <f>IF(OR($K18="",$L18=""),"",IF(NETWORKDAYS(W$5,W$5,休日)=0,"",IF(AND(W$5&gt;=$K18,W$5&lt;=$L18),IF(NETWORKDAYS($K18,W$5,休日)=1,"○",IF(NETWORKDAYS(W$5,$L18,休日)=1,"▶","→")),"")))</f>
        <v/>
      </c>
      <c r="X18" s="116">
        <f>IF(OR($K18="",$L18=""),"",IF(NETWORKDAYS(X$5,X$5,休日)=0,"",IF(AND(X$5&gt;=$K18,X$5&lt;=$L18),IF(NETWORKDAYS($K18,X$5,休日)=1,"○",IF(NETWORKDAYS(X$5,$L18,休日)=1,"▶","→")),"")))</f>
        <v/>
      </c>
      <c r="Y18" s="116">
        <f>IF(OR($K18="",$L18=""),"",IF(NETWORKDAYS(Y$5,Y$5,休日)=0,"",IF(AND(Y$5&gt;=$K18,Y$5&lt;=$L18),IF(NETWORKDAYS($K18,Y$5,休日)=1,"○",IF(NETWORKDAYS(Y$5,$L18,休日)=1,"▶","→")),"")))</f>
        <v/>
      </c>
      <c r="Z18" s="116">
        <f>IF(OR($K18="",$L18=""),"",IF(NETWORKDAYS(Z$5,Z$5,休日)=0,"",IF(AND(Z$5&gt;=$K18,Z$5&lt;=$L18),IF(NETWORKDAYS($K18,Z$5,休日)=1,"○",IF(NETWORKDAYS(Z$5,$L18,休日)=1,"▶","→")),"")))</f>
        <v/>
      </c>
      <c r="AA18" s="116">
        <f>IF(OR($K18="",$L18=""),"",IF(NETWORKDAYS(AA$5,AA$5,休日)=0,"",IF(AND(AA$5&gt;=$K18,AA$5&lt;=$L18),IF(NETWORKDAYS($K18,AA$5,休日)=1,"○",IF(NETWORKDAYS(AA$5,$L18,休日)=1,"▶","→")),"")))</f>
        <v/>
      </c>
      <c r="AB18" s="116">
        <f>IF(OR($K18="",$L18=""),"",IF(NETWORKDAYS(AB$5,AB$5,休日)=0,"",IF(AND(AB$5&gt;=$K18,AB$5&lt;=$L18),IF(NETWORKDAYS($K18,AB$5,休日)=1,"○",IF(NETWORKDAYS(AB$5,$L18,休日)=1,"▶","→")),"")))</f>
        <v/>
      </c>
      <c r="AC18" s="116">
        <f>IF(OR($K18="",$L18=""),"",IF(NETWORKDAYS(AC$5,AC$5,休日)=0,"",IF(AND(AC$5&gt;=$K18,AC$5&lt;=$L18),IF(NETWORKDAYS($K18,AC$5,休日)=1,"○",IF(NETWORKDAYS(AC$5,$L18,休日)=1,"▶","→")),"")))</f>
        <v/>
      </c>
      <c r="AD18" s="116">
        <f>IF(OR($K18="",$L18=""),"",IF(NETWORKDAYS(AD$5,AD$5,休日)=0,"",IF(AND(AD$5&gt;=$K18,AD$5&lt;=$L18),IF(NETWORKDAYS($K18,AD$5,休日)=1,"○",IF(NETWORKDAYS(AD$5,$L18,休日)=1,"▶","→")),"")))</f>
        <v/>
      </c>
      <c r="AE18" s="116">
        <f>IF(OR($K18="",$L18=""),"",IF(NETWORKDAYS(AE$5,AE$5,休日)=0,"",IF(AND(AE$5&gt;=$K18,AE$5&lt;=$L18),IF(NETWORKDAYS($K18,AE$5,休日)=1,"○",IF(NETWORKDAYS(AE$5,$L18,休日)=1,"▶","→")),"")))</f>
        <v/>
      </c>
      <c r="AF18" s="116">
        <f>IF(OR($K18="",$L18=""),"",IF(NETWORKDAYS(AF$5,AF$5,休日)=0,"",IF(AND(AF$5&gt;=$K18,AF$5&lt;=$L18),IF(NETWORKDAYS($K18,AF$5,休日)=1,"○",IF(NETWORKDAYS(AF$5,$L18,休日)=1,"▶","→")),"")))</f>
        <v/>
      </c>
      <c r="AG18" s="116">
        <f>IF(OR($K18="",$L18=""),"",IF(NETWORKDAYS(AG$5,AG$5,休日)=0,"",IF(AND(AG$5&gt;=$K18,AG$5&lt;=$L18),IF(NETWORKDAYS($K18,AG$5,休日)=1,"○",IF(NETWORKDAYS(AG$5,$L18,休日)=1,"▶","→")),"")))</f>
        <v/>
      </c>
      <c r="AH18" s="116">
        <f>IF(OR($K18="",$L18=""),"",IF(NETWORKDAYS(AH$5,AH$5,休日)=0,"",IF(AND(AH$5&gt;=$K18,AH$5&lt;=$L18),IF(NETWORKDAYS($K18,AH$5,休日)=1,"○",IF(NETWORKDAYS(AH$5,$L18,休日)=1,"▶","→")),"")))</f>
        <v/>
      </c>
      <c r="AI18" s="116">
        <f>IF(OR($K18="",$L18=""),"",IF(NETWORKDAYS(AI$5,AI$5,休日)=0,"",IF(AND(AI$5&gt;=$K18,AI$5&lt;=$L18),IF(NETWORKDAYS($K18,AI$5,休日)=1,"○",IF(NETWORKDAYS(AI$5,$L18,休日)=1,"▶","→")),"")))</f>
        <v/>
      </c>
      <c r="AJ18" s="116">
        <f>IF(OR($K18="",$L18=""),"",IF(NETWORKDAYS(AJ$5,AJ$5,休日)=0,"",IF(AND(AJ$5&gt;=$K18,AJ$5&lt;=$L18),IF(NETWORKDAYS($K18,AJ$5,休日)=1,"○",IF(NETWORKDAYS(AJ$5,$L18,休日)=1,"▶","→")),"")))</f>
        <v/>
      </c>
      <c r="AK18" s="116">
        <f>IF(OR($K18="",$L18=""),"",IF(NETWORKDAYS(AK$5,AK$5,休日)=0,"",IF(AND(AK$5&gt;=$K18,AK$5&lt;=$L18),IF(NETWORKDAYS($K18,AK$5,休日)=1,"○",IF(NETWORKDAYS(AK$5,$L18,休日)=1,"▶","→")),"")))</f>
        <v/>
      </c>
      <c r="AL18" s="116">
        <f>IF(OR($K18="",$L18=""),"",IF(NETWORKDAYS(AL$5,AL$5,休日)=0,"",IF(AND(AL$5&gt;=$K18,AL$5&lt;=$L18),IF(NETWORKDAYS($K18,AL$5,休日)=1,"○",IF(NETWORKDAYS(AL$5,$L18,休日)=1,"▶","→")),"")))</f>
        <v/>
      </c>
      <c r="AM18" s="116">
        <f>IF(OR($K18="",$L18=""),"",IF(NETWORKDAYS(AM$5,AM$5,休日)=0,"",IF(AND(AM$5&gt;=$K18,AM$5&lt;=$L18),IF(NETWORKDAYS($K18,AM$5,休日)=1,"○",IF(NETWORKDAYS(AM$5,$L18,休日)=1,"▶","→")),"")))</f>
        <v/>
      </c>
      <c r="AN18" s="116">
        <f>IF(OR($K18="",$L18=""),"",IF(NETWORKDAYS(AN$5,AN$5,休日)=0,"",IF(AND(AN$5&gt;=$K18,AN$5&lt;=$L18),IF(NETWORKDAYS($K18,AN$5,休日)=1,"○",IF(NETWORKDAYS(AN$5,$L18,休日)=1,"▶","→")),"")))</f>
        <v/>
      </c>
      <c r="AO18" s="116">
        <f>IF(OR($K18="",$L18=""),"",IF(NETWORKDAYS(AO$5,AO$5,休日)=0,"",IF(AND(AO$5&gt;=$K18,AO$5&lt;=$L18),IF(NETWORKDAYS($K18,AO$5,休日)=1,"○",IF(NETWORKDAYS(AO$5,$L18,休日)=1,"▶","→")),"")))</f>
        <v/>
      </c>
      <c r="AP18" s="116">
        <f>IF(OR($K18="",$L18=""),"",IF(NETWORKDAYS(AP$5,AP$5,休日)=0,"",IF(AND(AP$5&gt;=$K18,AP$5&lt;=$L18),IF(NETWORKDAYS($K18,AP$5,休日)=1,"○",IF(NETWORKDAYS(AP$5,$L18,休日)=1,"▶","→")),"")))</f>
        <v/>
      </c>
      <c r="AQ18" s="116">
        <f>IF(OR($K18="",$L18=""),"",IF(NETWORKDAYS(AQ$5,AQ$5,休日)=0,"",IF(AND(AQ$5&gt;=$K18,AQ$5&lt;=$L18),IF(NETWORKDAYS($K18,AQ$5,休日)=1,"○",IF(NETWORKDAYS(AQ$5,$L18,休日)=1,"▶","→")),"")))</f>
        <v/>
      </c>
      <c r="AR18" s="116">
        <f>IF(OR($K18="",$L18=""),"",IF(NETWORKDAYS(AR$5,AR$5,休日)=0,"",IF(AND(AR$5&gt;=$K18,AR$5&lt;=$L18),IF(NETWORKDAYS($K18,AR$5,休日)=1,"○",IF(NETWORKDAYS(AR$5,$L18,休日)=1,"▶","→")),"")))</f>
        <v/>
      </c>
      <c r="AS18" s="116">
        <f>IF(OR($K18="",$L18=""),"",IF(NETWORKDAYS(AS$5,AS$5,休日)=0,"",IF(AND(AS$5&gt;=$K18,AS$5&lt;=$L18),IF(NETWORKDAYS($K18,AS$5,休日)=1,"○",IF(NETWORKDAYS(AS$5,$L18,休日)=1,"▶","→")),"")))</f>
        <v/>
      </c>
      <c r="AT18" s="116">
        <f>IF(OR($K18="",$L18=""),"",IF(NETWORKDAYS(AT$5,AT$5,休日)=0,"",IF(AND(AT$5&gt;=$K18,AT$5&lt;=$L18),IF(NETWORKDAYS($K18,AT$5,休日)=1,"○",IF(NETWORKDAYS(AT$5,$L18,休日)=1,"▶","→")),"")))</f>
        <v/>
      </c>
      <c r="AU18" s="116">
        <f>IF(OR($K18="",$L18=""),"",IF(NETWORKDAYS(AU$5,AU$5,休日)=0,"",IF(AND(AU$5&gt;=$K18,AU$5&lt;=$L18),IF(NETWORKDAYS($K18,AU$5,休日)=1,"○",IF(NETWORKDAYS(AU$5,$L18,休日)=1,"▶","→")),"")))</f>
        <v/>
      </c>
      <c r="AV18" s="116">
        <f>IF(OR($K18="",$L18=""),"",IF(NETWORKDAYS(AV$5,AV$5,休日)=0,"",IF(AND(AV$5&gt;=$K18,AV$5&lt;=$L18),IF(NETWORKDAYS($K18,AV$5,休日)=1,"○",IF(NETWORKDAYS(AV$5,$L18,休日)=1,"▶","→")),"")))</f>
        <v/>
      </c>
      <c r="AW18" s="116">
        <f>IF(OR($K18="",$L18=""),"",IF(NETWORKDAYS(AW$5,AW$5,休日)=0,"",IF(AND(AW$5&gt;=$K18,AW$5&lt;=$L18),IF(NETWORKDAYS($K18,AW$5,休日)=1,"○",IF(NETWORKDAYS(AW$5,$L18,休日)=1,"▶","→")),"")))</f>
        <v/>
      </c>
      <c r="AX18" s="116">
        <f>IF(OR($K18="",$L18=""),"",IF(NETWORKDAYS(AX$5,AX$5,休日)=0,"",IF(AND(AX$5&gt;=$K18,AX$5&lt;=$L18),IF(NETWORKDAYS($K18,AX$5,休日)=1,"○",IF(NETWORKDAYS(AX$5,$L18,休日)=1,"▶","→")),"")))</f>
        <v/>
      </c>
      <c r="AY18" s="116">
        <f>IF(OR($K18="",$L18=""),"",IF(NETWORKDAYS(AY$5,AY$5,休日)=0,"",IF(AND(AY$5&gt;=$K18,AY$5&lt;=$L18),IF(NETWORKDAYS($K18,AY$5,休日)=1,"○",IF(NETWORKDAYS(AY$5,$L18,休日)=1,"▶","→")),"")))</f>
        <v/>
      </c>
      <c r="AZ18" s="116">
        <f>IF(OR($K18="",$L18=""),"",IF(NETWORKDAYS(AZ$5,AZ$5,休日)=0,"",IF(AND(AZ$5&gt;=$K18,AZ$5&lt;=$L18),IF(NETWORKDAYS($K18,AZ$5,休日)=1,"○",IF(NETWORKDAYS(AZ$5,$L18,休日)=1,"▶","→")),"")))</f>
        <v/>
      </c>
      <c r="BA18" s="116">
        <f>IF(OR($K18="",$L18=""),"",IF(NETWORKDAYS(BA$5,BA$5,休日)=0,"",IF(AND(BA$5&gt;=$K18,BA$5&lt;=$L18),IF(NETWORKDAYS($K18,BA$5,休日)=1,"○",IF(NETWORKDAYS(BA$5,$L18,休日)=1,"▶","→")),"")))</f>
        <v/>
      </c>
      <c r="BB18" s="116">
        <f>IF(OR($K18="",$L18=""),"",IF(NETWORKDAYS(BB$5,BB$5,休日)=0,"",IF(AND(BB$5&gt;=$K18,BB$5&lt;=$L18),IF(NETWORKDAYS($K18,BB$5,休日)=1,"○",IF(NETWORKDAYS(BB$5,$L18,休日)=1,"▶","→")),"")))</f>
        <v/>
      </c>
      <c r="BC18" s="116">
        <f>IF(OR($K18="",$L18=""),"",IF(NETWORKDAYS(BC$5,BC$5,休日)=0,"",IF(AND(BC$5&gt;=$K18,BC$5&lt;=$L18),IF(NETWORKDAYS($K18,BC$5,休日)=1,"○",IF(NETWORKDAYS(BC$5,$L18,休日)=1,"▶","→")),"")))</f>
        <v/>
      </c>
      <c r="BD18" s="116">
        <f>IF(OR($K18="",$L18=""),"",IF(NETWORKDAYS(BD$5,BD$5,休日)=0,"",IF(AND(BD$5&gt;=$K18,BD$5&lt;=$L18),IF(NETWORKDAYS($K18,BD$5,休日)=1,"○",IF(NETWORKDAYS(BD$5,$L18,休日)=1,"▶","→")),"")))</f>
        <v/>
      </c>
      <c r="BE18" s="116">
        <f>IF(OR($K18="",$L18=""),"",IF(NETWORKDAYS(BE$5,BE$5,休日)=0,"",IF(AND(BE$5&gt;=$K18,BE$5&lt;=$L18),IF(NETWORKDAYS($K18,BE$5,休日)=1,"○",IF(NETWORKDAYS(BE$5,$L18,休日)=1,"▶","→")),"")))</f>
        <v/>
      </c>
      <c r="BF18" s="116">
        <f>IF(OR($K18="",$L18=""),"",IF(NETWORKDAYS(BF$5,BF$5,休日)=0,"",IF(AND(BF$5&gt;=$K18,BF$5&lt;=$L18),IF(NETWORKDAYS($K18,BF$5,休日)=1,"○",IF(NETWORKDAYS(BF$5,$L18,休日)=1,"▶","→")),"")))</f>
        <v/>
      </c>
      <c r="BG18" s="116">
        <f>IF(OR($K18="",$L18=""),"",IF(NETWORKDAYS(BG$5,BG$5,休日)=0,"",IF(AND(BG$5&gt;=$K18,BG$5&lt;=$L18),IF(NETWORKDAYS($K18,BG$5,休日)=1,"○",IF(NETWORKDAYS(BG$5,$L18,休日)=1,"▶","→")),"")))</f>
        <v/>
      </c>
      <c r="BH18" s="116">
        <f>IF(OR($K18="",$L18=""),"",IF(NETWORKDAYS(BH$5,BH$5,休日)=0,"",IF(AND(BH$5&gt;=$K18,BH$5&lt;=$L18),IF(NETWORKDAYS($K18,BH$5,休日)=1,"○",IF(NETWORKDAYS(BH$5,$L18,休日)=1,"▶","→")),"")))</f>
        <v/>
      </c>
      <c r="BI18" s="116">
        <f>IF(OR($K18="",$L18=""),"",IF(NETWORKDAYS(BI$5,BI$5,休日)=0,"",IF(AND(BI$5&gt;=$K18,BI$5&lt;=$L18),IF(NETWORKDAYS($K18,BI$5,休日)=1,"○",IF(NETWORKDAYS(BI$5,$L18,休日)=1,"▶","→")),"")))</f>
        <v/>
      </c>
      <c r="BJ18" s="116">
        <f>IF(OR($K18="",$L18=""),"",IF(NETWORKDAYS(BJ$5,BJ$5,休日)=0,"",IF(AND(BJ$5&gt;=$K18,BJ$5&lt;=$L18),IF(NETWORKDAYS($K18,BJ$5,休日)=1,"○",IF(NETWORKDAYS(BJ$5,$L18,休日)=1,"▶","→")),"")))</f>
        <v/>
      </c>
      <c r="BK18" s="116">
        <f>IF(OR($K18="",$L18=""),"",IF(NETWORKDAYS(BK$5,BK$5,休日)=0,"",IF(AND(BK$5&gt;=$K18,BK$5&lt;=$L18),IF(NETWORKDAYS($K18,BK$5,休日)=1,"○",IF(NETWORKDAYS(BK$5,$L18,休日)=1,"▶","→")),"")))</f>
        <v/>
      </c>
      <c r="BL18" s="116">
        <f>IF(OR($K18="",$L18=""),"",IF(NETWORKDAYS(BL$5,BL$5,休日)=0,"",IF(AND(BL$5&gt;=$K18,BL$5&lt;=$L18),IF(NETWORKDAYS($K18,BL$5,休日)=1,"○",IF(NETWORKDAYS(BL$5,$L18,休日)=1,"▶","→")),"")))</f>
        <v/>
      </c>
      <c r="BM18" s="116">
        <f>IF(OR($K18="",$L18=""),"",IF(NETWORKDAYS(BM$5,BM$5,休日)=0,"",IF(AND(BM$5&gt;=$K18,BM$5&lt;=$L18),IF(NETWORKDAYS($K18,BM$5,休日)=1,"○",IF(NETWORKDAYS(BM$5,$L18,休日)=1,"▶","→")),"")))</f>
        <v/>
      </c>
      <c r="BN18" s="116">
        <f>IF(OR($K18="",$L18=""),"",IF(NETWORKDAYS(BN$5,BN$5,休日)=0,"",IF(AND(BN$5&gt;=$K18,BN$5&lt;=$L18),IF(NETWORKDAYS($K18,BN$5,休日)=1,"○",IF(NETWORKDAYS(BN$5,$L18,休日)=1,"▶","→")),"")))</f>
        <v/>
      </c>
      <c r="BO18" s="116">
        <f>IF(OR($K18="",$L18=""),"",IF(NETWORKDAYS(BO$5,BO$5,休日)=0,"",IF(AND(BO$5&gt;=$K18,BO$5&lt;=$L18),IF(NETWORKDAYS($K18,BO$5,休日)=1,"○",IF(NETWORKDAYS(BO$5,$L18,休日)=1,"▶","→")),"")))</f>
        <v/>
      </c>
      <c r="BP18" s="116">
        <f>IF(OR($K18="",$L18=""),"",IF(NETWORKDAYS(BP$5,BP$5,休日)=0,"",IF(AND(BP$5&gt;=$K18,BP$5&lt;=$L18),IF(NETWORKDAYS($K18,BP$5,休日)=1,"○",IF(NETWORKDAYS(BP$5,$L18,休日)=1,"▶","→")),"")))</f>
        <v/>
      </c>
      <c r="BQ18" s="116">
        <f>IF(OR($K18="",$L18=""),"",IF(NETWORKDAYS(BQ$5,BQ$5,休日)=0,"",IF(AND(BQ$5&gt;=$K18,BQ$5&lt;=$L18),IF(NETWORKDAYS($K18,BQ$5,休日)=1,"○",IF(NETWORKDAYS(BQ$5,$L18,休日)=1,"▶","→")),"")))</f>
        <v/>
      </c>
      <c r="BR18" s="116">
        <f>IF(OR($K18="",$L18=""),"",IF(NETWORKDAYS(BR$5,BR$5,休日)=0,"",IF(AND(BR$5&gt;=$K18,BR$5&lt;=$L18),IF(NETWORKDAYS($K18,BR$5,休日)=1,"○",IF(NETWORKDAYS(BR$5,$L18,休日)=1,"▶","→")),"")))</f>
        <v/>
      </c>
      <c r="BS18" s="116">
        <f>IF(OR($K18="",$L18=""),"",IF(NETWORKDAYS(BS$5,BS$5,休日)=0,"",IF(AND(BS$5&gt;=$K18,BS$5&lt;=$L18),IF(NETWORKDAYS($K18,BS$5,休日)=1,"○",IF(NETWORKDAYS(BS$5,$L18,休日)=1,"▶","→")),"")))</f>
        <v/>
      </c>
      <c r="BT18" s="116">
        <f>IF(OR($K18="",$L18=""),"",IF(NETWORKDAYS(BT$5,BT$5,休日)=0,"",IF(AND(BT$5&gt;=$K18,BT$5&lt;=$L18),IF(NETWORKDAYS($K18,BT$5,休日)=1,"○",IF(NETWORKDAYS(BT$5,$L18,休日)=1,"▶","→")),"")))</f>
        <v/>
      </c>
      <c r="BU18" s="116">
        <f>IF(OR($K18="",$L18=""),"",IF(NETWORKDAYS(BU$5,BU$5,休日)=0,"",IF(AND(BU$5&gt;=$K18,BU$5&lt;=$L18),IF(NETWORKDAYS($K18,BU$5,休日)=1,"○",IF(NETWORKDAYS(BU$5,$L18,休日)=1,"▶","→")),"")))</f>
        <v/>
      </c>
      <c r="BV18" s="116">
        <f>IF(OR($K18="",$L18=""),"",IF(NETWORKDAYS(BV$5,BV$5,休日)=0,"",IF(AND(BV$5&gt;=$K18,BV$5&lt;=$L18),IF(NETWORKDAYS($K18,BV$5,休日)=1,"○",IF(NETWORKDAYS(BV$5,$L18,休日)=1,"▶","→")),"")))</f>
        <v/>
      </c>
      <c r="BW18" s="116">
        <f>IF(OR($K18="",$L18=""),"",IF(NETWORKDAYS(BW$5,BW$5,休日)=0,"",IF(AND(BW$5&gt;=$K18,BW$5&lt;=$L18),IF(NETWORKDAYS($K18,BW$5,休日)=1,"○",IF(NETWORKDAYS(BW$5,$L18,休日)=1,"▶","→")),"")))</f>
        <v/>
      </c>
      <c r="BX18" s="116">
        <f>IF(OR($K18="",$L18=""),"",IF(NETWORKDAYS(BX$5,BX$5,休日)=0,"",IF(AND(BX$5&gt;=$K18,BX$5&lt;=$L18),IF(NETWORKDAYS($K18,BX$5,休日)=1,"○",IF(NETWORKDAYS(BX$5,$L18,休日)=1,"▶","→")),"")))</f>
        <v/>
      </c>
      <c r="BY18" s="116">
        <f>IF(OR($K18="",$L18=""),"",IF(NETWORKDAYS(BY$5,BY$5,休日)=0,"",IF(AND(BY$5&gt;=$K18,BY$5&lt;=$L18),IF(NETWORKDAYS($K18,BY$5,休日)=1,"○",IF(NETWORKDAYS(BY$5,$L18,休日)=1,"▶","→")),"")))</f>
        <v/>
      </c>
      <c r="BZ18" s="116">
        <f>IF(OR($K18="",$L18=""),"",IF(NETWORKDAYS(BZ$5,BZ$5,休日)=0,"",IF(AND(BZ$5&gt;=$K18,BZ$5&lt;=$L18),IF(NETWORKDAYS($K18,BZ$5,休日)=1,"○",IF(NETWORKDAYS(BZ$5,$L18,休日)=1,"▶","→")),"")))</f>
        <v/>
      </c>
      <c r="CA18" s="116">
        <f>IF(OR($K18="",$L18=""),"",IF(NETWORKDAYS(CA$5,CA$5,休日)=0,"",IF(AND(CA$5&gt;=$K18,CA$5&lt;=$L18),IF(NETWORKDAYS($K18,CA$5,休日)=1,"○",IF(NETWORKDAYS(CA$5,$L18,休日)=1,"▶","→")),"")))</f>
        <v/>
      </c>
      <c r="CB18" s="116">
        <f>IF(OR($K18="",$L18=""),"",IF(NETWORKDAYS(CB$5,CB$5,休日)=0,"",IF(AND(CB$5&gt;=$K18,CB$5&lt;=$L18),IF(NETWORKDAYS($K18,CB$5,休日)=1,"○",IF(NETWORKDAYS(CB$5,$L18,休日)=1,"▶","→")),"")))</f>
        <v/>
      </c>
      <c r="CC18" s="116">
        <f>IF(OR($K18="",$L18=""),"",IF(NETWORKDAYS(CC$5,CC$5,休日)=0,"",IF(AND(CC$5&gt;=$K18,CC$5&lt;=$L18),IF(NETWORKDAYS($K18,CC$5,休日)=1,"○",IF(NETWORKDAYS(CC$5,$L18,休日)=1,"▶","→")),"")))</f>
        <v/>
      </c>
      <c r="CD18" s="116">
        <f>IF(OR($K18="",$L18=""),"",IF(NETWORKDAYS(CD$5,CD$5,休日)=0,"",IF(AND(CD$5&gt;=$K18,CD$5&lt;=$L18),IF(NETWORKDAYS($K18,CD$5,休日)=1,"○",IF(NETWORKDAYS(CD$5,$L18,休日)=1,"▶","→")),"")))</f>
        <v/>
      </c>
      <c r="CE18" s="116">
        <f>IF(OR($K18="",$L18=""),"",IF(NETWORKDAYS(CE$5,CE$5,休日)=0,"",IF(AND(CE$5&gt;=$K18,CE$5&lt;=$L18),IF(NETWORKDAYS($K18,CE$5,休日)=1,"○",IF(NETWORKDAYS(CE$5,$L18,休日)=1,"▶","→")),"")))</f>
        <v/>
      </c>
      <c r="CF18" s="116">
        <f>IF(OR($K18="",$L18=""),"",IF(NETWORKDAYS(CF$5,CF$5,休日)=0,"",IF(AND(CF$5&gt;=$K18,CF$5&lt;=$L18),IF(NETWORKDAYS($K18,CF$5,休日)=1,"○",IF(NETWORKDAYS(CF$5,$L18,休日)=1,"▶","→")),"")))</f>
        <v/>
      </c>
      <c r="CG18" s="116">
        <f>IF(OR($K18="",$L18=""),"",IF(NETWORKDAYS(CG$5,CG$5,休日)=0,"",IF(AND(CG$5&gt;=$K18,CG$5&lt;=$L18),IF(NETWORKDAYS($K18,CG$5,休日)=1,"○",IF(NETWORKDAYS(CG$5,$L18,休日)=1,"▶","→")),"")))</f>
        <v/>
      </c>
      <c r="CH18" s="116">
        <f>IF(OR($K18="",$L18=""),"",IF(NETWORKDAYS(CH$5,CH$5,休日)=0,"",IF(AND(CH$5&gt;=$K18,CH$5&lt;=$L18),IF(NETWORKDAYS($K18,CH$5,休日)=1,"○",IF(NETWORKDAYS(CH$5,$L18,休日)=1,"▶","→")),"")))</f>
        <v/>
      </c>
      <c r="CI18" s="116">
        <f>IF(OR($K18="",$L18=""),"",IF(NETWORKDAYS(CI$5,CI$5,休日)=0,"",IF(AND(CI$5&gt;=$K18,CI$5&lt;=$L18),IF(NETWORKDAYS($K18,CI$5,休日)=1,"○",IF(NETWORKDAYS(CI$5,$L18,休日)=1,"▶","→")),"")))</f>
        <v/>
      </c>
      <c r="CJ18" s="116">
        <f>IF(OR($K18="",$L18=""),"",IF(NETWORKDAYS(CJ$5,CJ$5,休日)=0,"",IF(AND(CJ$5&gt;=$K18,CJ$5&lt;=$L18),IF(NETWORKDAYS($K18,CJ$5,休日)=1,"○",IF(NETWORKDAYS(CJ$5,$L18,休日)=1,"▶","→")),"")))</f>
        <v/>
      </c>
      <c r="CK18" s="116">
        <f>IF(OR($K18="",$L18=""),"",IF(NETWORKDAYS(CK$5,CK$5,休日)=0,"",IF(AND(CK$5&gt;=$K18,CK$5&lt;=$L18),IF(NETWORKDAYS($K18,CK$5,休日)=1,"○",IF(NETWORKDAYS(CK$5,$L18,休日)=1,"▶","→")),"")))</f>
        <v/>
      </c>
      <c r="CL18" s="116">
        <f>IF(OR($K18="",$L18=""),"",IF(NETWORKDAYS(CL$5,CL$5,休日)=0,"",IF(AND(CL$5&gt;=$K18,CL$5&lt;=$L18),IF(NETWORKDAYS($K18,CL$5,休日)=1,"○",IF(NETWORKDAYS(CL$5,$L18,休日)=1,"▶","→")),"")))</f>
        <v/>
      </c>
      <c r="CM18" s="116">
        <f>IF(OR($K18="",$L18=""),"",IF(NETWORKDAYS(CM$5,CM$5,休日)=0,"",IF(AND(CM$5&gt;=$K18,CM$5&lt;=$L18),IF(NETWORKDAYS($K18,CM$5,休日)=1,"○",IF(NETWORKDAYS(CM$5,$L18,休日)=1,"▶","→")),"")))</f>
        <v/>
      </c>
      <c r="CN18" s="116">
        <f>IF(OR($K18="",$L18=""),"",IF(NETWORKDAYS(CN$5,CN$5,休日)=0,"",IF(AND(CN$5&gt;=$K18,CN$5&lt;=$L18),IF(NETWORKDAYS($K18,CN$5,休日)=1,"○",IF(NETWORKDAYS(CN$5,$L18,休日)=1,"▶","→")),"")))</f>
        <v/>
      </c>
      <c r="CO18" s="116">
        <f>IF(OR($K18="",$L18=""),"",IF(NETWORKDAYS(CO$5,CO$5,休日)=0,"",IF(AND(CO$5&gt;=$K18,CO$5&lt;=$L18),IF(NETWORKDAYS($K18,CO$5,休日)=1,"○",IF(NETWORKDAYS(CO$5,$L18,休日)=1,"▶","→")),"")))</f>
        <v/>
      </c>
    </row>
    <row r="19" ht="19.5" customHeight="1" s="98">
      <c r="A19" s="5" t="n"/>
      <c r="B19" s="109" t="inlineStr">
        <is>
          <t>2</t>
        </is>
      </c>
      <c r="C19" s="110" t="inlineStr">
        <is>
          <t>詳細設計</t>
        </is>
      </c>
      <c r="D19" s="117" t="n"/>
      <c r="E19" s="118" t="n"/>
      <c r="F19" s="119" t="n"/>
      <c r="G19" s="120" t="n"/>
      <c r="H19" s="120" t="n"/>
      <c r="I19" s="121" t="n"/>
      <c r="J19" s="117" t="n"/>
      <c r="K19" s="122" t="n"/>
      <c r="L19" s="122" t="n"/>
      <c r="M19" s="122" t="n"/>
      <c r="N19" s="122" t="n"/>
      <c r="O19" s="120" t="n"/>
      <c r="P19" s="123" t="n"/>
      <c r="Q19" s="120" t="n"/>
      <c r="R19" s="124" t="n"/>
      <c r="S19" s="61" t="n"/>
      <c r="T19" s="61" t="n"/>
      <c r="U19" s="61" t="n"/>
      <c r="V19" s="61" t="n"/>
      <c r="W19" s="61" t="n"/>
      <c r="X19" s="61" t="n"/>
      <c r="Y19" s="61" t="n"/>
      <c r="Z19" s="61" t="n"/>
      <c r="AA19" s="61" t="n"/>
      <c r="AB19" s="61" t="n"/>
      <c r="AC19" s="61" t="n"/>
      <c r="AD19" s="61" t="n"/>
      <c r="AE19" s="61" t="n"/>
      <c r="AF19" s="61" t="n"/>
      <c r="AG19" s="61" t="n"/>
      <c r="AH19" s="61" t="n"/>
      <c r="AI19" s="61" t="n"/>
      <c r="AJ19" s="61" t="n"/>
      <c r="AK19" s="61" t="n"/>
      <c r="AL19" s="61" t="n"/>
      <c r="AM19" s="61" t="n"/>
      <c r="AN19" s="61" t="n"/>
      <c r="AO19" s="61" t="n"/>
      <c r="AP19" s="61" t="n"/>
      <c r="AQ19" s="61" t="n"/>
      <c r="AR19" s="61" t="n"/>
      <c r="AS19" s="61" t="n"/>
      <c r="AT19" s="61" t="n"/>
      <c r="AU19" s="61" t="n"/>
      <c r="AV19" s="61" t="n"/>
      <c r="AW19" s="61" t="n"/>
      <c r="AX19" s="61" t="n"/>
      <c r="AY19" s="61" t="n"/>
      <c r="AZ19" s="61" t="n"/>
      <c r="BA19" s="61" t="n"/>
      <c r="BB19" s="61" t="n"/>
      <c r="BC19" s="61" t="n"/>
      <c r="BD19" s="61" t="n"/>
      <c r="BE19" s="61" t="n"/>
      <c r="BF19" s="61" t="n"/>
      <c r="BG19" s="61" t="n"/>
      <c r="BH19" s="61" t="n"/>
      <c r="BI19" s="61" t="n"/>
      <c r="BJ19" s="61" t="n"/>
      <c r="BK19" s="61" t="n"/>
      <c r="BL19" s="61" t="n"/>
      <c r="BM19" s="61" t="n"/>
      <c r="BN19" s="61" t="n"/>
      <c r="BO19" s="61" t="n"/>
      <c r="BP19" s="61" t="n"/>
      <c r="BQ19" s="61" t="n"/>
      <c r="BR19" s="61" t="n"/>
      <c r="BS19" s="61" t="n"/>
      <c r="BT19" s="61" t="n"/>
      <c r="BU19" s="61" t="n"/>
      <c r="BV19" s="61" t="n"/>
      <c r="BW19" s="61" t="n"/>
      <c r="BX19" s="61" t="n"/>
      <c r="BY19" s="61" t="n"/>
      <c r="BZ19" s="61" t="n"/>
      <c r="CA19" s="61" t="n"/>
      <c r="CB19" s="61" t="n"/>
      <c r="CC19" s="61" t="n"/>
      <c r="CD19" s="61" t="n"/>
      <c r="CE19" s="61" t="n"/>
      <c r="CF19" s="61" t="n"/>
      <c r="CG19" s="61" t="n"/>
      <c r="CH19" s="61" t="n"/>
    </row>
    <row r="20" ht="32" customHeight="1" s="98">
      <c r="A20" s="5" t="n"/>
      <c r="B20" s="100" t="inlineStr">
        <is>
          <t>2.0</t>
        </is>
      </c>
      <c r="C20" s="101" t="inlineStr">
        <is>
          <t>詳細設計</t>
        </is>
      </c>
      <c r="D20" s="101" t="inlineStr">
        <is>
          <t>Layer②</t>
        </is>
      </c>
      <c r="E20" s="101" t="inlineStr">
        <is>
          <t>対象外（標準案 0人日）</t>
        </is>
      </c>
      <c r="F20" s="101" t="n"/>
      <c r="G20" s="100" t="inlineStr">
        <is>
          <t>－</t>
        </is>
      </c>
      <c r="H20" s="100" t="n"/>
      <c r="I20" s="113" t="n"/>
      <c r="J20" s="100" t="inlineStr">
        <is>
          <t>－</t>
        </is>
      </c>
      <c r="K20" s="114" t="n"/>
      <c r="L20" s="114" t="n"/>
      <c r="M20" s="114" t="n"/>
      <c r="N20" s="114" t="n"/>
      <c r="O20" s="100" t="n"/>
      <c r="P20" s="115" t="n"/>
      <c r="Q20" s="100" t="inlineStr">
        <is>
          <t>－</t>
        </is>
      </c>
      <c r="R20" s="101" t="inlineStr">
        <is>
          <t>Layer②（GCS→DWH）は標準案で0。作業行は作らない</t>
        </is>
      </c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 t="n"/>
      <c r="AL20" s="125" t="n"/>
      <c r="AM20" s="125" t="n"/>
      <c r="AN20" s="125" t="n"/>
      <c r="AO20" s="125" t="n"/>
      <c r="AP20" s="125" t="n"/>
      <c r="AQ20" s="125" t="n"/>
      <c r="AR20" s="125" t="n"/>
      <c r="AS20" s="125" t="n"/>
      <c r="AT20" s="125" t="n"/>
      <c r="AU20" s="125" t="n"/>
      <c r="AV20" s="125" t="n"/>
      <c r="AW20" s="125" t="n"/>
      <c r="AX20" s="125" t="n"/>
      <c r="AY20" s="125" t="n"/>
      <c r="AZ20" s="125" t="n"/>
      <c r="BA20" s="125" t="n"/>
      <c r="BB20" s="125" t="n"/>
      <c r="BC20" s="125" t="n"/>
      <c r="BD20" s="125" t="n"/>
      <c r="BE20" s="125" t="n"/>
      <c r="BF20" s="125" t="n"/>
      <c r="BG20" s="125" t="n"/>
      <c r="BH20" s="125" t="n"/>
      <c r="BI20" s="125" t="n"/>
      <c r="BJ20" s="125" t="n"/>
      <c r="BK20" s="125" t="n"/>
      <c r="BL20" s="125" t="n"/>
      <c r="BM20" s="125" t="n"/>
      <c r="BN20" s="125" t="n"/>
      <c r="BO20" s="125" t="n"/>
      <c r="BP20" s="125" t="n"/>
      <c r="BQ20" s="125" t="n"/>
      <c r="BR20" s="125" t="n"/>
      <c r="BS20" s="125" t="n"/>
      <c r="BT20" s="125" t="n"/>
      <c r="BU20" s="125" t="n"/>
      <c r="BV20" s="125" t="n"/>
      <c r="BW20" s="125" t="n"/>
      <c r="BX20" s="125" t="n"/>
      <c r="BY20" s="125" t="n"/>
      <c r="BZ20" s="125" t="n"/>
      <c r="CA20" s="125" t="n"/>
      <c r="CB20" s="125" t="n"/>
      <c r="CC20" s="125" t="n"/>
      <c r="CD20" s="125" t="n"/>
      <c r="CE20" s="125" t="n"/>
      <c r="CF20" s="125" t="n"/>
      <c r="CG20" s="125" t="n"/>
      <c r="CH20" s="125" t="n"/>
      <c r="CI20" s="126" t="n"/>
      <c r="CJ20" s="126" t="n"/>
      <c r="CK20" s="126" t="n"/>
      <c r="CL20" s="126" t="n"/>
      <c r="CM20" s="126" t="n"/>
      <c r="CN20" s="126" t="n"/>
      <c r="CO20" s="126" t="n"/>
    </row>
    <row r="21" ht="32" customHeight="1" s="98">
      <c r="A21" s="5" t="n"/>
      <c r="B21" s="100" t="inlineStr">
        <is>
          <t>2.1.1</t>
        </is>
      </c>
      <c r="C21" s="101" t="inlineStr">
        <is>
          <t>詳細設計</t>
        </is>
      </c>
      <c r="D21" s="101" t="inlineStr">
        <is>
          <t>Layer①</t>
        </is>
      </c>
      <c r="E21" s="101" t="inlineStr">
        <is>
          <t>生鮮発注勧告（当日分）</t>
        </is>
      </c>
      <c r="F21" s="101" t="inlineStr">
        <is>
          <t>生鮮発注勧告（当日分）</t>
        </is>
      </c>
      <c r="G21" s="100" t="inlineStr">
        <is>
          <t>新規</t>
        </is>
      </c>
      <c r="H21" s="100" t="inlineStr">
        <is>
          <t>臧鹏仕</t>
        </is>
      </c>
      <c r="I21" s="113" t="n">
        <v>6</v>
      </c>
      <c r="J21" s="100" t="inlineStr">
        <is>
          <t>－</t>
        </is>
      </c>
      <c r="K21" s="114" t="n">
        <v>46317</v>
      </c>
      <c r="L21" s="114" t="n">
        <v>46335</v>
      </c>
      <c r="M21" s="114" t="n"/>
      <c r="N21" s="114" t="n"/>
      <c r="O21" s="100" t="inlineStr">
        <is>
          <t>未着手</t>
        </is>
      </c>
      <c r="P21" s="115" t="n">
        <v>0</v>
      </c>
      <c r="Q21" s="100" t="inlineStr">
        <is>
          <t>－</t>
        </is>
      </c>
      <c r="R21" s="101" t="inlineStr">
        <is>
          <t>終了は11/9朝。開発へは11/10以降に渡せる。Layer①とLayer③の期間は出典で分離されていない。同一期間を記入</t>
        </is>
      </c>
      <c r="S21" s="116">
        <f>IF(OR($K21="",$L21=""),"",IF(NETWORKDAYS(S$5,S$5,休日)=0,"",IF(AND(S$5&gt;=$K21,S$5&lt;=$L21),IF(NETWORKDAYS($K21,S$5,休日)=1,"○",IF(NETWORKDAYS(S$5,$L21,休日)=1,"▶","→")),"")))</f>
        <v/>
      </c>
      <c r="T21" s="116">
        <f>IF(OR($K21="",$L21=""),"",IF(NETWORKDAYS(T$5,T$5,休日)=0,"",IF(AND(T$5&gt;=$K21,T$5&lt;=$L21),IF(NETWORKDAYS($K21,T$5,休日)=1,"○",IF(NETWORKDAYS(T$5,$L21,休日)=1,"▶","→")),"")))</f>
        <v/>
      </c>
      <c r="U21" s="116">
        <f>IF(OR($K21="",$L21=""),"",IF(NETWORKDAYS(U$5,U$5,休日)=0,"",IF(AND(U$5&gt;=$K21,U$5&lt;=$L21),IF(NETWORKDAYS($K21,U$5,休日)=1,"○",IF(NETWORKDAYS(U$5,$L21,休日)=1,"▶","→")),"")))</f>
        <v/>
      </c>
      <c r="V21" s="116">
        <f>IF(OR($K21="",$L21=""),"",IF(NETWORKDAYS(V$5,V$5,休日)=0,"",IF(AND(V$5&gt;=$K21,V$5&lt;=$L21),IF(NETWORKDAYS($K21,V$5,休日)=1,"○",IF(NETWORKDAYS(V$5,$L21,休日)=1,"▶","→")),"")))</f>
        <v/>
      </c>
      <c r="W21" s="116">
        <f>IF(OR($K21="",$L21=""),"",IF(NETWORKDAYS(W$5,W$5,休日)=0,"",IF(AND(W$5&gt;=$K21,W$5&lt;=$L21),IF(NETWORKDAYS($K21,W$5,休日)=1,"○",IF(NETWORKDAYS(W$5,$L21,休日)=1,"▶","→")),"")))</f>
        <v/>
      </c>
      <c r="X21" s="116">
        <f>IF(OR($K21="",$L21=""),"",IF(NETWORKDAYS(X$5,X$5,休日)=0,"",IF(AND(X$5&gt;=$K21,X$5&lt;=$L21),IF(NETWORKDAYS($K21,X$5,休日)=1,"○",IF(NETWORKDAYS(X$5,$L21,休日)=1,"▶","→")),"")))</f>
        <v/>
      </c>
      <c r="Y21" s="116">
        <f>IF(OR($K21="",$L21=""),"",IF(NETWORKDAYS(Y$5,Y$5,休日)=0,"",IF(AND(Y$5&gt;=$K21,Y$5&lt;=$L21),IF(NETWORKDAYS($K21,Y$5,休日)=1,"○",IF(NETWORKDAYS(Y$5,$L21,休日)=1,"▶","→")),"")))</f>
        <v/>
      </c>
      <c r="Z21" s="116">
        <f>IF(OR($K21="",$L21=""),"",IF(NETWORKDAYS(Z$5,Z$5,休日)=0,"",IF(AND(Z$5&gt;=$K21,Z$5&lt;=$L21),IF(NETWORKDAYS($K21,Z$5,休日)=1,"○",IF(NETWORKDAYS(Z$5,$L21,休日)=1,"▶","→")),"")))</f>
        <v/>
      </c>
      <c r="AA21" s="116">
        <f>IF(OR($K21="",$L21=""),"",IF(NETWORKDAYS(AA$5,AA$5,休日)=0,"",IF(AND(AA$5&gt;=$K21,AA$5&lt;=$L21),IF(NETWORKDAYS($K21,AA$5,休日)=1,"○",IF(NETWORKDAYS(AA$5,$L21,休日)=1,"▶","→")),"")))</f>
        <v/>
      </c>
      <c r="AB21" s="116">
        <f>IF(OR($K21="",$L21=""),"",IF(NETWORKDAYS(AB$5,AB$5,休日)=0,"",IF(AND(AB$5&gt;=$K21,AB$5&lt;=$L21),IF(NETWORKDAYS($K21,AB$5,休日)=1,"○",IF(NETWORKDAYS(AB$5,$L21,休日)=1,"▶","→")),"")))</f>
        <v/>
      </c>
      <c r="AC21" s="116">
        <f>IF(OR($K21="",$L21=""),"",IF(NETWORKDAYS(AC$5,AC$5,休日)=0,"",IF(AND(AC$5&gt;=$K21,AC$5&lt;=$L21),IF(NETWORKDAYS($K21,AC$5,休日)=1,"○",IF(NETWORKDAYS(AC$5,$L21,休日)=1,"▶","→")),"")))</f>
        <v/>
      </c>
      <c r="AD21" s="116">
        <f>IF(OR($K21="",$L21=""),"",IF(NETWORKDAYS(AD$5,AD$5,休日)=0,"",IF(AND(AD$5&gt;=$K21,AD$5&lt;=$L21),IF(NETWORKDAYS($K21,AD$5,休日)=1,"○",IF(NETWORKDAYS(AD$5,$L21,休日)=1,"▶","→")),"")))</f>
        <v/>
      </c>
      <c r="AE21" s="116">
        <f>IF(OR($K21="",$L21=""),"",IF(NETWORKDAYS(AE$5,AE$5,休日)=0,"",IF(AND(AE$5&gt;=$K21,AE$5&lt;=$L21),IF(NETWORKDAYS($K21,AE$5,休日)=1,"○",IF(NETWORKDAYS(AE$5,$L21,休日)=1,"▶","→")),"")))</f>
        <v/>
      </c>
      <c r="AF21" s="116">
        <f>IF(OR($K21="",$L21=""),"",IF(NETWORKDAYS(AF$5,AF$5,休日)=0,"",IF(AND(AF$5&gt;=$K21,AF$5&lt;=$L21),IF(NETWORKDAYS($K21,AF$5,休日)=1,"○",IF(NETWORKDAYS(AF$5,$L21,休日)=1,"▶","→")),"")))</f>
        <v/>
      </c>
      <c r="AG21" s="116">
        <f>IF(OR($K21="",$L21=""),"",IF(NETWORKDAYS(AG$5,AG$5,休日)=0,"",IF(AND(AG$5&gt;=$K21,AG$5&lt;=$L21),IF(NETWORKDAYS($K21,AG$5,休日)=1,"○",IF(NETWORKDAYS(AG$5,$L21,休日)=1,"▶","→")),"")))</f>
        <v/>
      </c>
      <c r="AH21" s="116">
        <f>IF(OR($K21="",$L21=""),"",IF(NETWORKDAYS(AH$5,AH$5,休日)=0,"",IF(AND(AH$5&gt;=$K21,AH$5&lt;=$L21),IF(NETWORKDAYS($K21,AH$5,休日)=1,"○",IF(NETWORKDAYS(AH$5,$L21,休日)=1,"▶","→")),"")))</f>
        <v/>
      </c>
      <c r="AI21" s="116">
        <f>IF(OR($K21="",$L21=""),"",IF(NETWORKDAYS(AI$5,AI$5,休日)=0,"",IF(AND(AI$5&gt;=$K21,AI$5&lt;=$L21),IF(NETWORKDAYS($K21,AI$5,休日)=1,"○",IF(NETWORKDAYS(AI$5,$L21,休日)=1,"▶","→")),"")))</f>
        <v/>
      </c>
      <c r="AJ21" s="116">
        <f>IF(OR($K21="",$L21=""),"",IF(NETWORKDAYS(AJ$5,AJ$5,休日)=0,"",IF(AND(AJ$5&gt;=$K21,AJ$5&lt;=$L21),IF(NETWORKDAYS($K21,AJ$5,休日)=1,"○",IF(NETWORKDAYS(AJ$5,$L21,休日)=1,"▶","→")),"")))</f>
        <v/>
      </c>
      <c r="AK21" s="116">
        <f>IF(OR($K21="",$L21=""),"",IF(NETWORKDAYS(AK$5,AK$5,休日)=0,"",IF(AND(AK$5&gt;=$K21,AK$5&lt;=$L21),IF(NETWORKDAYS($K21,AK$5,休日)=1,"○",IF(NETWORKDAYS(AK$5,$L21,休日)=1,"▶","→")),"")))</f>
        <v/>
      </c>
      <c r="AL21" s="116">
        <f>IF(OR($K21="",$L21=""),"",IF(NETWORKDAYS(AL$5,AL$5,休日)=0,"",IF(AND(AL$5&gt;=$K21,AL$5&lt;=$L21),IF(NETWORKDAYS($K21,AL$5,休日)=1,"○",IF(NETWORKDAYS(AL$5,$L21,休日)=1,"▶","→")),"")))</f>
        <v/>
      </c>
      <c r="AM21" s="116">
        <f>IF(OR($K21="",$L21=""),"",IF(NETWORKDAYS(AM$5,AM$5,休日)=0,"",IF(AND(AM$5&gt;=$K21,AM$5&lt;=$L21),IF(NETWORKDAYS($K21,AM$5,休日)=1,"○",IF(NETWORKDAYS(AM$5,$L21,休日)=1,"▶","→")),"")))</f>
        <v/>
      </c>
      <c r="AN21" s="116">
        <f>IF(OR($K21="",$L21=""),"",IF(NETWORKDAYS(AN$5,AN$5,休日)=0,"",IF(AND(AN$5&gt;=$K21,AN$5&lt;=$L21),IF(NETWORKDAYS($K21,AN$5,休日)=1,"○",IF(NETWORKDAYS(AN$5,$L21,休日)=1,"▶","→")),"")))</f>
        <v/>
      </c>
      <c r="AO21" s="116">
        <f>IF(OR($K21="",$L21=""),"",IF(NETWORKDAYS(AO$5,AO$5,休日)=0,"",IF(AND(AO$5&gt;=$K21,AO$5&lt;=$L21),IF(NETWORKDAYS($K21,AO$5,休日)=1,"○",IF(NETWORKDAYS(AO$5,$L21,休日)=1,"▶","→")),"")))</f>
        <v/>
      </c>
      <c r="AP21" s="116">
        <f>IF(OR($K21="",$L21=""),"",IF(NETWORKDAYS(AP$5,AP$5,休日)=0,"",IF(AND(AP$5&gt;=$K21,AP$5&lt;=$L21),IF(NETWORKDAYS($K21,AP$5,休日)=1,"○",IF(NETWORKDAYS(AP$5,$L21,休日)=1,"▶","→")),"")))</f>
        <v/>
      </c>
      <c r="AQ21" s="116">
        <f>IF(OR($K21="",$L21=""),"",IF(NETWORKDAYS(AQ$5,AQ$5,休日)=0,"",IF(AND(AQ$5&gt;=$K21,AQ$5&lt;=$L21),IF(NETWORKDAYS($K21,AQ$5,休日)=1,"○",IF(NETWORKDAYS(AQ$5,$L21,休日)=1,"▶","→")),"")))</f>
        <v/>
      </c>
      <c r="AR21" s="116">
        <f>IF(OR($K21="",$L21=""),"",IF(NETWORKDAYS(AR$5,AR$5,休日)=0,"",IF(AND(AR$5&gt;=$K21,AR$5&lt;=$L21),IF(NETWORKDAYS($K21,AR$5,休日)=1,"○",IF(NETWORKDAYS(AR$5,$L21,休日)=1,"▶","→")),"")))</f>
        <v/>
      </c>
      <c r="AS21" s="116">
        <f>IF(OR($K21="",$L21=""),"",IF(NETWORKDAYS(AS$5,AS$5,休日)=0,"",IF(AND(AS$5&gt;=$K21,AS$5&lt;=$L21),IF(NETWORKDAYS($K21,AS$5,休日)=1,"○",IF(NETWORKDAYS(AS$5,$L21,休日)=1,"▶","→")),"")))</f>
        <v/>
      </c>
      <c r="AT21" s="116">
        <f>IF(OR($K21="",$L21=""),"",IF(NETWORKDAYS(AT$5,AT$5,休日)=0,"",IF(AND(AT$5&gt;=$K21,AT$5&lt;=$L21),IF(NETWORKDAYS($K21,AT$5,休日)=1,"○",IF(NETWORKDAYS(AT$5,$L21,休日)=1,"▶","→")),"")))</f>
        <v/>
      </c>
      <c r="AU21" s="116">
        <f>IF(OR($K21="",$L21=""),"",IF(NETWORKDAYS(AU$5,AU$5,休日)=0,"",IF(AND(AU$5&gt;=$K21,AU$5&lt;=$L21),IF(NETWORKDAYS($K21,AU$5,休日)=1,"○",IF(NETWORKDAYS(AU$5,$L21,休日)=1,"▶","→")),"")))</f>
        <v/>
      </c>
      <c r="AV21" s="116">
        <f>IF(OR($K21="",$L21=""),"",IF(NETWORKDAYS(AV$5,AV$5,休日)=0,"",IF(AND(AV$5&gt;=$K21,AV$5&lt;=$L21),IF(NETWORKDAYS($K21,AV$5,休日)=1,"○",IF(NETWORKDAYS(AV$5,$L21,休日)=1,"▶","→")),"")))</f>
        <v/>
      </c>
      <c r="AW21" s="116">
        <f>IF(OR($K21="",$L21=""),"",IF(NETWORKDAYS(AW$5,AW$5,休日)=0,"",IF(AND(AW$5&gt;=$K21,AW$5&lt;=$L21),IF(NETWORKDAYS($K21,AW$5,休日)=1,"○",IF(NETWORKDAYS(AW$5,$L21,休日)=1,"▶","→")),"")))</f>
        <v/>
      </c>
      <c r="AX21" s="116">
        <f>IF(OR($K21="",$L21=""),"",IF(NETWORKDAYS(AX$5,AX$5,休日)=0,"",IF(AND(AX$5&gt;=$K21,AX$5&lt;=$L21),IF(NETWORKDAYS($K21,AX$5,休日)=1,"○",IF(NETWORKDAYS(AX$5,$L21,休日)=1,"▶","→")),"")))</f>
        <v/>
      </c>
      <c r="AY21" s="116">
        <f>IF(OR($K21="",$L21=""),"",IF(NETWORKDAYS(AY$5,AY$5,休日)=0,"",IF(AND(AY$5&gt;=$K21,AY$5&lt;=$L21),IF(NETWORKDAYS($K21,AY$5,休日)=1,"○",IF(NETWORKDAYS(AY$5,$L21,休日)=1,"▶","→")),"")))</f>
        <v/>
      </c>
      <c r="AZ21" s="116">
        <f>IF(OR($K21="",$L21=""),"",IF(NETWORKDAYS(AZ$5,AZ$5,休日)=0,"",IF(AND(AZ$5&gt;=$K21,AZ$5&lt;=$L21),IF(NETWORKDAYS($K21,AZ$5,休日)=1,"○",IF(NETWORKDAYS(AZ$5,$L21,休日)=1,"▶","→")),"")))</f>
        <v/>
      </c>
      <c r="BA21" s="116">
        <f>IF(OR($K21="",$L21=""),"",IF(NETWORKDAYS(BA$5,BA$5,休日)=0,"",IF(AND(BA$5&gt;=$K21,BA$5&lt;=$L21),IF(NETWORKDAYS($K21,BA$5,休日)=1,"○",IF(NETWORKDAYS(BA$5,$L21,休日)=1,"▶","→")),"")))</f>
        <v/>
      </c>
      <c r="BB21" s="116">
        <f>IF(OR($K21="",$L21=""),"",IF(NETWORKDAYS(BB$5,BB$5,休日)=0,"",IF(AND(BB$5&gt;=$K21,BB$5&lt;=$L21),IF(NETWORKDAYS($K21,BB$5,休日)=1,"○",IF(NETWORKDAYS(BB$5,$L21,休日)=1,"▶","→")),"")))</f>
        <v/>
      </c>
      <c r="BC21" s="116">
        <f>IF(OR($K21="",$L21=""),"",IF(NETWORKDAYS(BC$5,BC$5,休日)=0,"",IF(AND(BC$5&gt;=$K21,BC$5&lt;=$L21),IF(NETWORKDAYS($K21,BC$5,休日)=1,"○",IF(NETWORKDAYS(BC$5,$L21,休日)=1,"▶","→")),"")))</f>
        <v/>
      </c>
      <c r="BD21" s="116">
        <f>IF(OR($K21="",$L21=""),"",IF(NETWORKDAYS(BD$5,BD$5,休日)=0,"",IF(AND(BD$5&gt;=$K21,BD$5&lt;=$L21),IF(NETWORKDAYS($K21,BD$5,休日)=1,"○",IF(NETWORKDAYS(BD$5,$L21,休日)=1,"▶","→")),"")))</f>
        <v/>
      </c>
      <c r="BE21" s="116">
        <f>IF(OR($K21="",$L21=""),"",IF(NETWORKDAYS(BE$5,BE$5,休日)=0,"",IF(AND(BE$5&gt;=$K21,BE$5&lt;=$L21),IF(NETWORKDAYS($K21,BE$5,休日)=1,"○",IF(NETWORKDAYS(BE$5,$L21,休日)=1,"▶","→")),"")))</f>
        <v/>
      </c>
      <c r="BF21" s="116">
        <f>IF(OR($K21="",$L21=""),"",IF(NETWORKDAYS(BF$5,BF$5,休日)=0,"",IF(AND(BF$5&gt;=$K21,BF$5&lt;=$L21),IF(NETWORKDAYS($K21,BF$5,休日)=1,"○",IF(NETWORKDAYS(BF$5,$L21,休日)=1,"▶","→")),"")))</f>
        <v/>
      </c>
      <c r="BG21" s="116">
        <f>IF(OR($K21="",$L21=""),"",IF(NETWORKDAYS(BG$5,BG$5,休日)=0,"",IF(AND(BG$5&gt;=$K21,BG$5&lt;=$L21),IF(NETWORKDAYS($K21,BG$5,休日)=1,"○",IF(NETWORKDAYS(BG$5,$L21,休日)=1,"▶","→")),"")))</f>
        <v/>
      </c>
      <c r="BH21" s="116">
        <f>IF(OR($K21="",$L21=""),"",IF(NETWORKDAYS(BH$5,BH$5,休日)=0,"",IF(AND(BH$5&gt;=$K21,BH$5&lt;=$L21),IF(NETWORKDAYS($K21,BH$5,休日)=1,"○",IF(NETWORKDAYS(BH$5,$L21,休日)=1,"▶","→")),"")))</f>
        <v/>
      </c>
      <c r="BI21" s="116">
        <f>IF(OR($K21="",$L21=""),"",IF(NETWORKDAYS(BI$5,BI$5,休日)=0,"",IF(AND(BI$5&gt;=$K21,BI$5&lt;=$L21),IF(NETWORKDAYS($K21,BI$5,休日)=1,"○",IF(NETWORKDAYS(BI$5,$L21,休日)=1,"▶","→")),"")))</f>
        <v/>
      </c>
      <c r="BJ21" s="116">
        <f>IF(OR($K21="",$L21=""),"",IF(NETWORKDAYS(BJ$5,BJ$5,休日)=0,"",IF(AND(BJ$5&gt;=$K21,BJ$5&lt;=$L21),IF(NETWORKDAYS($K21,BJ$5,休日)=1,"○",IF(NETWORKDAYS(BJ$5,$L21,休日)=1,"▶","→")),"")))</f>
        <v/>
      </c>
      <c r="BK21" s="116">
        <f>IF(OR($K21="",$L21=""),"",IF(NETWORKDAYS(BK$5,BK$5,休日)=0,"",IF(AND(BK$5&gt;=$K21,BK$5&lt;=$L21),IF(NETWORKDAYS($K21,BK$5,休日)=1,"○",IF(NETWORKDAYS(BK$5,$L21,休日)=1,"▶","→")),"")))</f>
        <v/>
      </c>
      <c r="BL21" s="116">
        <f>IF(OR($K21="",$L21=""),"",IF(NETWORKDAYS(BL$5,BL$5,休日)=0,"",IF(AND(BL$5&gt;=$K21,BL$5&lt;=$L21),IF(NETWORKDAYS($K21,BL$5,休日)=1,"○",IF(NETWORKDAYS(BL$5,$L21,休日)=1,"▶","→")),"")))</f>
        <v/>
      </c>
      <c r="BM21" s="116">
        <f>IF(OR($K21="",$L21=""),"",IF(NETWORKDAYS(BM$5,BM$5,休日)=0,"",IF(AND(BM$5&gt;=$K21,BM$5&lt;=$L21),IF(NETWORKDAYS($K21,BM$5,休日)=1,"○",IF(NETWORKDAYS(BM$5,$L21,休日)=1,"▶","→")),"")))</f>
        <v/>
      </c>
      <c r="BN21" s="116">
        <f>IF(OR($K21="",$L21=""),"",IF(NETWORKDAYS(BN$5,BN$5,休日)=0,"",IF(AND(BN$5&gt;=$K21,BN$5&lt;=$L21),IF(NETWORKDAYS($K21,BN$5,休日)=1,"○",IF(NETWORKDAYS(BN$5,$L21,休日)=1,"▶","→")),"")))</f>
        <v/>
      </c>
      <c r="BO21" s="116">
        <f>IF(OR($K21="",$L21=""),"",IF(NETWORKDAYS(BO$5,BO$5,休日)=0,"",IF(AND(BO$5&gt;=$K21,BO$5&lt;=$L21),IF(NETWORKDAYS($K21,BO$5,休日)=1,"○",IF(NETWORKDAYS(BO$5,$L21,休日)=1,"▶","→")),"")))</f>
        <v/>
      </c>
      <c r="BP21" s="116">
        <f>IF(OR($K21="",$L21=""),"",IF(NETWORKDAYS(BP$5,BP$5,休日)=0,"",IF(AND(BP$5&gt;=$K21,BP$5&lt;=$L21),IF(NETWORKDAYS($K21,BP$5,休日)=1,"○",IF(NETWORKDAYS(BP$5,$L21,休日)=1,"▶","→")),"")))</f>
        <v/>
      </c>
      <c r="BQ21" s="116">
        <f>IF(OR($K21="",$L21=""),"",IF(NETWORKDAYS(BQ$5,BQ$5,休日)=0,"",IF(AND(BQ$5&gt;=$K21,BQ$5&lt;=$L21),IF(NETWORKDAYS($K21,BQ$5,休日)=1,"○",IF(NETWORKDAYS(BQ$5,$L21,休日)=1,"▶","→")),"")))</f>
        <v/>
      </c>
      <c r="BR21" s="116">
        <f>IF(OR($K21="",$L21=""),"",IF(NETWORKDAYS(BR$5,BR$5,休日)=0,"",IF(AND(BR$5&gt;=$K21,BR$5&lt;=$L21),IF(NETWORKDAYS($K21,BR$5,休日)=1,"○",IF(NETWORKDAYS(BR$5,$L21,休日)=1,"▶","→")),"")))</f>
        <v/>
      </c>
      <c r="BS21" s="116">
        <f>IF(OR($K21="",$L21=""),"",IF(NETWORKDAYS(BS$5,BS$5,休日)=0,"",IF(AND(BS$5&gt;=$K21,BS$5&lt;=$L21),IF(NETWORKDAYS($K21,BS$5,休日)=1,"○",IF(NETWORKDAYS(BS$5,$L21,休日)=1,"▶","→")),"")))</f>
        <v/>
      </c>
      <c r="BT21" s="116">
        <f>IF(OR($K21="",$L21=""),"",IF(NETWORKDAYS(BT$5,BT$5,休日)=0,"",IF(AND(BT$5&gt;=$K21,BT$5&lt;=$L21),IF(NETWORKDAYS($K21,BT$5,休日)=1,"○",IF(NETWORKDAYS(BT$5,$L21,休日)=1,"▶","→")),"")))</f>
        <v/>
      </c>
      <c r="BU21" s="116">
        <f>IF(OR($K21="",$L21=""),"",IF(NETWORKDAYS(BU$5,BU$5,休日)=0,"",IF(AND(BU$5&gt;=$K21,BU$5&lt;=$L21),IF(NETWORKDAYS($K21,BU$5,休日)=1,"○",IF(NETWORKDAYS(BU$5,$L21,休日)=1,"▶","→")),"")))</f>
        <v/>
      </c>
      <c r="BV21" s="116">
        <f>IF(OR($K21="",$L21=""),"",IF(NETWORKDAYS(BV$5,BV$5,休日)=0,"",IF(AND(BV$5&gt;=$K21,BV$5&lt;=$L21),IF(NETWORKDAYS($K21,BV$5,休日)=1,"○",IF(NETWORKDAYS(BV$5,$L21,休日)=1,"▶","→")),"")))</f>
        <v/>
      </c>
      <c r="BW21" s="116">
        <f>IF(OR($K21="",$L21=""),"",IF(NETWORKDAYS(BW$5,BW$5,休日)=0,"",IF(AND(BW$5&gt;=$K21,BW$5&lt;=$L21),IF(NETWORKDAYS($K21,BW$5,休日)=1,"○",IF(NETWORKDAYS(BW$5,$L21,休日)=1,"▶","→")),"")))</f>
        <v/>
      </c>
      <c r="BX21" s="116">
        <f>IF(OR($K21="",$L21=""),"",IF(NETWORKDAYS(BX$5,BX$5,休日)=0,"",IF(AND(BX$5&gt;=$K21,BX$5&lt;=$L21),IF(NETWORKDAYS($K21,BX$5,休日)=1,"○",IF(NETWORKDAYS(BX$5,$L21,休日)=1,"▶","→")),"")))</f>
        <v/>
      </c>
      <c r="BY21" s="116">
        <f>IF(OR($K21="",$L21=""),"",IF(NETWORKDAYS(BY$5,BY$5,休日)=0,"",IF(AND(BY$5&gt;=$K21,BY$5&lt;=$L21),IF(NETWORKDAYS($K21,BY$5,休日)=1,"○",IF(NETWORKDAYS(BY$5,$L21,休日)=1,"▶","→")),"")))</f>
        <v/>
      </c>
      <c r="BZ21" s="116">
        <f>IF(OR($K21="",$L21=""),"",IF(NETWORKDAYS(BZ$5,BZ$5,休日)=0,"",IF(AND(BZ$5&gt;=$K21,BZ$5&lt;=$L21),IF(NETWORKDAYS($K21,BZ$5,休日)=1,"○",IF(NETWORKDAYS(BZ$5,$L21,休日)=1,"▶","→")),"")))</f>
        <v/>
      </c>
      <c r="CA21" s="116">
        <f>IF(OR($K21="",$L21=""),"",IF(NETWORKDAYS(CA$5,CA$5,休日)=0,"",IF(AND(CA$5&gt;=$K21,CA$5&lt;=$L21),IF(NETWORKDAYS($K21,CA$5,休日)=1,"○",IF(NETWORKDAYS(CA$5,$L21,休日)=1,"▶","→")),"")))</f>
        <v/>
      </c>
      <c r="CB21" s="116">
        <f>IF(OR($K21="",$L21=""),"",IF(NETWORKDAYS(CB$5,CB$5,休日)=0,"",IF(AND(CB$5&gt;=$K21,CB$5&lt;=$L21),IF(NETWORKDAYS($K21,CB$5,休日)=1,"○",IF(NETWORKDAYS(CB$5,$L21,休日)=1,"▶","→")),"")))</f>
        <v/>
      </c>
      <c r="CC21" s="116">
        <f>IF(OR($K21="",$L21=""),"",IF(NETWORKDAYS(CC$5,CC$5,休日)=0,"",IF(AND(CC$5&gt;=$K21,CC$5&lt;=$L21),IF(NETWORKDAYS($K21,CC$5,休日)=1,"○",IF(NETWORKDAYS(CC$5,$L21,休日)=1,"▶","→")),"")))</f>
        <v/>
      </c>
      <c r="CD21" s="116">
        <f>IF(OR($K21="",$L21=""),"",IF(NETWORKDAYS(CD$5,CD$5,休日)=0,"",IF(AND(CD$5&gt;=$K21,CD$5&lt;=$L21),IF(NETWORKDAYS($K21,CD$5,休日)=1,"○",IF(NETWORKDAYS(CD$5,$L21,休日)=1,"▶","→")),"")))</f>
        <v/>
      </c>
      <c r="CE21" s="116">
        <f>IF(OR($K21="",$L21=""),"",IF(NETWORKDAYS(CE$5,CE$5,休日)=0,"",IF(AND(CE$5&gt;=$K21,CE$5&lt;=$L21),IF(NETWORKDAYS($K21,CE$5,休日)=1,"○",IF(NETWORKDAYS(CE$5,$L21,休日)=1,"▶","→")),"")))</f>
        <v/>
      </c>
      <c r="CF21" s="116">
        <f>IF(OR($K21="",$L21=""),"",IF(NETWORKDAYS(CF$5,CF$5,休日)=0,"",IF(AND(CF$5&gt;=$K21,CF$5&lt;=$L21),IF(NETWORKDAYS($K21,CF$5,休日)=1,"○",IF(NETWORKDAYS(CF$5,$L21,休日)=1,"▶","→")),"")))</f>
        <v/>
      </c>
      <c r="CG21" s="116">
        <f>IF(OR($K21="",$L21=""),"",IF(NETWORKDAYS(CG$5,CG$5,休日)=0,"",IF(AND(CG$5&gt;=$K21,CG$5&lt;=$L21),IF(NETWORKDAYS($K21,CG$5,休日)=1,"○",IF(NETWORKDAYS(CG$5,$L21,休日)=1,"▶","→")),"")))</f>
        <v/>
      </c>
      <c r="CH21" s="116">
        <f>IF(OR($K21="",$L21=""),"",IF(NETWORKDAYS(CH$5,CH$5,休日)=0,"",IF(AND(CH$5&gt;=$K21,CH$5&lt;=$L21),IF(NETWORKDAYS($K21,CH$5,休日)=1,"○",IF(NETWORKDAYS(CH$5,$L21,休日)=1,"▶","→")),"")))</f>
        <v/>
      </c>
      <c r="CI21" s="116">
        <f>IF(OR($K21="",$L21=""),"",IF(NETWORKDAYS(CI$5,CI$5,休日)=0,"",IF(AND(CI$5&gt;=$K21,CI$5&lt;=$L21),IF(NETWORKDAYS($K21,CI$5,休日)=1,"○",IF(NETWORKDAYS(CI$5,$L21,休日)=1,"▶","→")),"")))</f>
        <v/>
      </c>
      <c r="CJ21" s="116">
        <f>IF(OR($K21="",$L21=""),"",IF(NETWORKDAYS(CJ$5,CJ$5,休日)=0,"",IF(AND(CJ$5&gt;=$K21,CJ$5&lt;=$L21),IF(NETWORKDAYS($K21,CJ$5,休日)=1,"○",IF(NETWORKDAYS(CJ$5,$L21,休日)=1,"▶","→")),"")))</f>
        <v/>
      </c>
      <c r="CK21" s="116">
        <f>IF(OR($K21="",$L21=""),"",IF(NETWORKDAYS(CK$5,CK$5,休日)=0,"",IF(AND(CK$5&gt;=$K21,CK$5&lt;=$L21),IF(NETWORKDAYS($K21,CK$5,休日)=1,"○",IF(NETWORKDAYS(CK$5,$L21,休日)=1,"▶","→")),"")))</f>
        <v/>
      </c>
      <c r="CL21" s="116">
        <f>IF(OR($K21="",$L21=""),"",IF(NETWORKDAYS(CL$5,CL$5,休日)=0,"",IF(AND(CL$5&gt;=$K21,CL$5&lt;=$L21),IF(NETWORKDAYS($K21,CL$5,休日)=1,"○",IF(NETWORKDAYS(CL$5,$L21,休日)=1,"▶","→")),"")))</f>
        <v/>
      </c>
      <c r="CM21" s="116">
        <f>IF(OR($K21="",$L21=""),"",IF(NETWORKDAYS(CM$5,CM$5,休日)=0,"",IF(AND(CM$5&gt;=$K21,CM$5&lt;=$L21),IF(NETWORKDAYS($K21,CM$5,休日)=1,"○",IF(NETWORKDAYS(CM$5,$L21,休日)=1,"▶","→")),"")))</f>
        <v/>
      </c>
      <c r="CN21" s="116">
        <f>IF(OR($K21="",$L21=""),"",IF(NETWORKDAYS(CN$5,CN$5,休日)=0,"",IF(AND(CN$5&gt;=$K21,CN$5&lt;=$L21),IF(NETWORKDAYS($K21,CN$5,休日)=1,"○",IF(NETWORKDAYS(CN$5,$L21,休日)=1,"▶","→")),"")))</f>
        <v/>
      </c>
      <c r="CO21" s="116">
        <f>IF(OR($K21="",$L21=""),"",IF(NETWORKDAYS(CO$5,CO$5,休日)=0,"",IF(AND(CO$5&gt;=$K21,CO$5&lt;=$L21),IF(NETWORKDAYS($K21,CO$5,休日)=1,"○",IF(NETWORKDAYS(CO$5,$L21,休日)=1,"▶","→")),"")))</f>
        <v/>
      </c>
    </row>
    <row r="22" ht="32" customHeight="1" s="98">
      <c r="A22" s="5" t="n"/>
      <c r="B22" s="100" t="inlineStr">
        <is>
          <t>2.1.2</t>
        </is>
      </c>
      <c r="C22" s="101" t="inlineStr">
        <is>
          <t>詳細設計</t>
        </is>
      </c>
      <c r="D22" s="101" t="inlineStr">
        <is>
          <t>Layer③</t>
        </is>
      </c>
      <c r="E22" s="101" t="inlineStr">
        <is>
          <t>生鮮発注勧告（当日分）</t>
        </is>
      </c>
      <c r="F22" s="101" t="inlineStr">
        <is>
          <t>生鮮発注勧告（当日分）</t>
        </is>
      </c>
      <c r="G22" s="100" t="inlineStr">
        <is>
          <t>新規</t>
        </is>
      </c>
      <c r="H22" s="100" t="inlineStr">
        <is>
          <t>臧鹏仕</t>
        </is>
      </c>
      <c r="I22" s="113" t="n">
        <v>1.5</v>
      </c>
      <c r="J22" s="100" t="inlineStr">
        <is>
          <t>－</t>
        </is>
      </c>
      <c r="K22" s="114" t="n">
        <v>46317</v>
      </c>
      <c r="L22" s="114" t="n">
        <v>46335</v>
      </c>
      <c r="M22" s="114" t="n"/>
      <c r="N22" s="114" t="n"/>
      <c r="O22" s="100" t="inlineStr">
        <is>
          <t>未着手</t>
        </is>
      </c>
      <c r="P22" s="115" t="n">
        <v>0</v>
      </c>
      <c r="Q22" s="100" t="inlineStr">
        <is>
          <t>－</t>
        </is>
      </c>
      <c r="R22" s="101" t="inlineStr">
        <is>
          <t>Layer①とLayer③の期間は出典で分離されていない。同一期間を記入</t>
        </is>
      </c>
      <c r="S22" s="116">
        <f>IF(OR($K22="",$L22=""),"",IF(NETWORKDAYS(S$5,S$5,休日)=0,"",IF(AND(S$5&gt;=$K22,S$5&lt;=$L22),IF(NETWORKDAYS($K22,S$5,休日)=1,"○",IF(NETWORKDAYS(S$5,$L22,休日)=1,"▶","→")),"")))</f>
        <v/>
      </c>
      <c r="T22" s="116">
        <f>IF(OR($K22="",$L22=""),"",IF(NETWORKDAYS(T$5,T$5,休日)=0,"",IF(AND(T$5&gt;=$K22,T$5&lt;=$L22),IF(NETWORKDAYS($K22,T$5,休日)=1,"○",IF(NETWORKDAYS(T$5,$L22,休日)=1,"▶","→")),"")))</f>
        <v/>
      </c>
      <c r="U22" s="116">
        <f>IF(OR($K22="",$L22=""),"",IF(NETWORKDAYS(U$5,U$5,休日)=0,"",IF(AND(U$5&gt;=$K22,U$5&lt;=$L22),IF(NETWORKDAYS($K22,U$5,休日)=1,"○",IF(NETWORKDAYS(U$5,$L22,休日)=1,"▶","→")),"")))</f>
        <v/>
      </c>
      <c r="V22" s="116">
        <f>IF(OR($K22="",$L22=""),"",IF(NETWORKDAYS(V$5,V$5,休日)=0,"",IF(AND(V$5&gt;=$K22,V$5&lt;=$L22),IF(NETWORKDAYS($K22,V$5,休日)=1,"○",IF(NETWORKDAYS(V$5,$L22,休日)=1,"▶","→")),"")))</f>
        <v/>
      </c>
      <c r="W22" s="116">
        <f>IF(OR($K22="",$L22=""),"",IF(NETWORKDAYS(W$5,W$5,休日)=0,"",IF(AND(W$5&gt;=$K22,W$5&lt;=$L22),IF(NETWORKDAYS($K22,W$5,休日)=1,"○",IF(NETWORKDAYS(W$5,$L22,休日)=1,"▶","→")),"")))</f>
        <v/>
      </c>
      <c r="X22" s="116">
        <f>IF(OR($K22="",$L22=""),"",IF(NETWORKDAYS(X$5,X$5,休日)=0,"",IF(AND(X$5&gt;=$K22,X$5&lt;=$L22),IF(NETWORKDAYS($K22,X$5,休日)=1,"○",IF(NETWORKDAYS(X$5,$L22,休日)=1,"▶","→")),"")))</f>
        <v/>
      </c>
      <c r="Y22" s="116">
        <f>IF(OR($K22="",$L22=""),"",IF(NETWORKDAYS(Y$5,Y$5,休日)=0,"",IF(AND(Y$5&gt;=$K22,Y$5&lt;=$L22),IF(NETWORKDAYS($K22,Y$5,休日)=1,"○",IF(NETWORKDAYS(Y$5,$L22,休日)=1,"▶","→")),"")))</f>
        <v/>
      </c>
      <c r="Z22" s="116">
        <f>IF(OR($K22="",$L22=""),"",IF(NETWORKDAYS(Z$5,Z$5,休日)=0,"",IF(AND(Z$5&gt;=$K22,Z$5&lt;=$L22),IF(NETWORKDAYS($K22,Z$5,休日)=1,"○",IF(NETWORKDAYS(Z$5,$L22,休日)=1,"▶","→")),"")))</f>
        <v/>
      </c>
      <c r="AA22" s="116">
        <f>IF(OR($K22="",$L22=""),"",IF(NETWORKDAYS(AA$5,AA$5,休日)=0,"",IF(AND(AA$5&gt;=$K22,AA$5&lt;=$L22),IF(NETWORKDAYS($K22,AA$5,休日)=1,"○",IF(NETWORKDAYS(AA$5,$L22,休日)=1,"▶","→")),"")))</f>
        <v/>
      </c>
      <c r="AB22" s="116">
        <f>IF(OR($K22="",$L22=""),"",IF(NETWORKDAYS(AB$5,AB$5,休日)=0,"",IF(AND(AB$5&gt;=$K22,AB$5&lt;=$L22),IF(NETWORKDAYS($K22,AB$5,休日)=1,"○",IF(NETWORKDAYS(AB$5,$L22,休日)=1,"▶","→")),"")))</f>
        <v/>
      </c>
      <c r="AC22" s="116">
        <f>IF(OR($K22="",$L22=""),"",IF(NETWORKDAYS(AC$5,AC$5,休日)=0,"",IF(AND(AC$5&gt;=$K22,AC$5&lt;=$L22),IF(NETWORKDAYS($K22,AC$5,休日)=1,"○",IF(NETWORKDAYS(AC$5,$L22,休日)=1,"▶","→")),"")))</f>
        <v/>
      </c>
      <c r="AD22" s="116">
        <f>IF(OR($K22="",$L22=""),"",IF(NETWORKDAYS(AD$5,AD$5,休日)=0,"",IF(AND(AD$5&gt;=$K22,AD$5&lt;=$L22),IF(NETWORKDAYS($K22,AD$5,休日)=1,"○",IF(NETWORKDAYS(AD$5,$L22,休日)=1,"▶","→")),"")))</f>
        <v/>
      </c>
      <c r="AE22" s="116">
        <f>IF(OR($K22="",$L22=""),"",IF(NETWORKDAYS(AE$5,AE$5,休日)=0,"",IF(AND(AE$5&gt;=$K22,AE$5&lt;=$L22),IF(NETWORKDAYS($K22,AE$5,休日)=1,"○",IF(NETWORKDAYS(AE$5,$L22,休日)=1,"▶","→")),"")))</f>
        <v/>
      </c>
      <c r="AF22" s="116">
        <f>IF(OR($K22="",$L22=""),"",IF(NETWORKDAYS(AF$5,AF$5,休日)=0,"",IF(AND(AF$5&gt;=$K22,AF$5&lt;=$L22),IF(NETWORKDAYS($K22,AF$5,休日)=1,"○",IF(NETWORKDAYS(AF$5,$L22,休日)=1,"▶","→")),"")))</f>
        <v/>
      </c>
      <c r="AG22" s="116">
        <f>IF(OR($K22="",$L22=""),"",IF(NETWORKDAYS(AG$5,AG$5,休日)=0,"",IF(AND(AG$5&gt;=$K22,AG$5&lt;=$L22),IF(NETWORKDAYS($K22,AG$5,休日)=1,"○",IF(NETWORKDAYS(AG$5,$L22,休日)=1,"▶","→")),"")))</f>
        <v/>
      </c>
      <c r="AH22" s="116">
        <f>IF(OR($K22="",$L22=""),"",IF(NETWORKDAYS(AH$5,AH$5,休日)=0,"",IF(AND(AH$5&gt;=$K22,AH$5&lt;=$L22),IF(NETWORKDAYS($K22,AH$5,休日)=1,"○",IF(NETWORKDAYS(AH$5,$L22,休日)=1,"▶","→")),"")))</f>
        <v/>
      </c>
      <c r="AI22" s="116">
        <f>IF(OR($K22="",$L22=""),"",IF(NETWORKDAYS(AI$5,AI$5,休日)=0,"",IF(AND(AI$5&gt;=$K22,AI$5&lt;=$L22),IF(NETWORKDAYS($K22,AI$5,休日)=1,"○",IF(NETWORKDAYS(AI$5,$L22,休日)=1,"▶","→")),"")))</f>
        <v/>
      </c>
      <c r="AJ22" s="116">
        <f>IF(OR($K22="",$L22=""),"",IF(NETWORKDAYS(AJ$5,AJ$5,休日)=0,"",IF(AND(AJ$5&gt;=$K22,AJ$5&lt;=$L22),IF(NETWORKDAYS($K22,AJ$5,休日)=1,"○",IF(NETWORKDAYS(AJ$5,$L22,休日)=1,"▶","→")),"")))</f>
        <v/>
      </c>
      <c r="AK22" s="116">
        <f>IF(OR($K22="",$L22=""),"",IF(NETWORKDAYS(AK$5,AK$5,休日)=0,"",IF(AND(AK$5&gt;=$K22,AK$5&lt;=$L22),IF(NETWORKDAYS($K22,AK$5,休日)=1,"○",IF(NETWORKDAYS(AK$5,$L22,休日)=1,"▶","→")),"")))</f>
        <v/>
      </c>
      <c r="AL22" s="116">
        <f>IF(OR($K22="",$L22=""),"",IF(NETWORKDAYS(AL$5,AL$5,休日)=0,"",IF(AND(AL$5&gt;=$K22,AL$5&lt;=$L22),IF(NETWORKDAYS($K22,AL$5,休日)=1,"○",IF(NETWORKDAYS(AL$5,$L22,休日)=1,"▶","→")),"")))</f>
        <v/>
      </c>
      <c r="AM22" s="116">
        <f>IF(OR($K22="",$L22=""),"",IF(NETWORKDAYS(AM$5,AM$5,休日)=0,"",IF(AND(AM$5&gt;=$K22,AM$5&lt;=$L22),IF(NETWORKDAYS($K22,AM$5,休日)=1,"○",IF(NETWORKDAYS(AM$5,$L22,休日)=1,"▶","→")),"")))</f>
        <v/>
      </c>
      <c r="AN22" s="116">
        <f>IF(OR($K22="",$L22=""),"",IF(NETWORKDAYS(AN$5,AN$5,休日)=0,"",IF(AND(AN$5&gt;=$K22,AN$5&lt;=$L22),IF(NETWORKDAYS($K22,AN$5,休日)=1,"○",IF(NETWORKDAYS(AN$5,$L22,休日)=1,"▶","→")),"")))</f>
        <v/>
      </c>
      <c r="AO22" s="116">
        <f>IF(OR($K22="",$L22=""),"",IF(NETWORKDAYS(AO$5,AO$5,休日)=0,"",IF(AND(AO$5&gt;=$K22,AO$5&lt;=$L22),IF(NETWORKDAYS($K22,AO$5,休日)=1,"○",IF(NETWORKDAYS(AO$5,$L22,休日)=1,"▶","→")),"")))</f>
        <v/>
      </c>
      <c r="AP22" s="116">
        <f>IF(OR($K22="",$L22=""),"",IF(NETWORKDAYS(AP$5,AP$5,休日)=0,"",IF(AND(AP$5&gt;=$K22,AP$5&lt;=$L22),IF(NETWORKDAYS($K22,AP$5,休日)=1,"○",IF(NETWORKDAYS(AP$5,$L22,休日)=1,"▶","→")),"")))</f>
        <v/>
      </c>
      <c r="AQ22" s="116">
        <f>IF(OR($K22="",$L22=""),"",IF(NETWORKDAYS(AQ$5,AQ$5,休日)=0,"",IF(AND(AQ$5&gt;=$K22,AQ$5&lt;=$L22),IF(NETWORKDAYS($K22,AQ$5,休日)=1,"○",IF(NETWORKDAYS(AQ$5,$L22,休日)=1,"▶","→")),"")))</f>
        <v/>
      </c>
      <c r="AR22" s="116">
        <f>IF(OR($K22="",$L22=""),"",IF(NETWORKDAYS(AR$5,AR$5,休日)=0,"",IF(AND(AR$5&gt;=$K22,AR$5&lt;=$L22),IF(NETWORKDAYS($K22,AR$5,休日)=1,"○",IF(NETWORKDAYS(AR$5,$L22,休日)=1,"▶","→")),"")))</f>
        <v/>
      </c>
      <c r="AS22" s="116">
        <f>IF(OR($K22="",$L22=""),"",IF(NETWORKDAYS(AS$5,AS$5,休日)=0,"",IF(AND(AS$5&gt;=$K22,AS$5&lt;=$L22),IF(NETWORKDAYS($K22,AS$5,休日)=1,"○",IF(NETWORKDAYS(AS$5,$L22,休日)=1,"▶","→")),"")))</f>
        <v/>
      </c>
      <c r="AT22" s="116">
        <f>IF(OR($K22="",$L22=""),"",IF(NETWORKDAYS(AT$5,AT$5,休日)=0,"",IF(AND(AT$5&gt;=$K22,AT$5&lt;=$L22),IF(NETWORKDAYS($K22,AT$5,休日)=1,"○",IF(NETWORKDAYS(AT$5,$L22,休日)=1,"▶","→")),"")))</f>
        <v/>
      </c>
      <c r="AU22" s="116">
        <f>IF(OR($K22="",$L22=""),"",IF(NETWORKDAYS(AU$5,AU$5,休日)=0,"",IF(AND(AU$5&gt;=$K22,AU$5&lt;=$L22),IF(NETWORKDAYS($K22,AU$5,休日)=1,"○",IF(NETWORKDAYS(AU$5,$L22,休日)=1,"▶","→")),"")))</f>
        <v/>
      </c>
      <c r="AV22" s="116">
        <f>IF(OR($K22="",$L22=""),"",IF(NETWORKDAYS(AV$5,AV$5,休日)=0,"",IF(AND(AV$5&gt;=$K22,AV$5&lt;=$L22),IF(NETWORKDAYS($K22,AV$5,休日)=1,"○",IF(NETWORKDAYS(AV$5,$L22,休日)=1,"▶","→")),"")))</f>
        <v/>
      </c>
      <c r="AW22" s="116">
        <f>IF(OR($K22="",$L22=""),"",IF(NETWORKDAYS(AW$5,AW$5,休日)=0,"",IF(AND(AW$5&gt;=$K22,AW$5&lt;=$L22),IF(NETWORKDAYS($K22,AW$5,休日)=1,"○",IF(NETWORKDAYS(AW$5,$L22,休日)=1,"▶","→")),"")))</f>
        <v/>
      </c>
      <c r="AX22" s="116">
        <f>IF(OR($K22="",$L22=""),"",IF(NETWORKDAYS(AX$5,AX$5,休日)=0,"",IF(AND(AX$5&gt;=$K22,AX$5&lt;=$L22),IF(NETWORKDAYS($K22,AX$5,休日)=1,"○",IF(NETWORKDAYS(AX$5,$L22,休日)=1,"▶","→")),"")))</f>
        <v/>
      </c>
      <c r="AY22" s="116">
        <f>IF(OR($K22="",$L22=""),"",IF(NETWORKDAYS(AY$5,AY$5,休日)=0,"",IF(AND(AY$5&gt;=$K22,AY$5&lt;=$L22),IF(NETWORKDAYS($K22,AY$5,休日)=1,"○",IF(NETWORKDAYS(AY$5,$L22,休日)=1,"▶","→")),"")))</f>
        <v/>
      </c>
      <c r="AZ22" s="116">
        <f>IF(OR($K22="",$L22=""),"",IF(NETWORKDAYS(AZ$5,AZ$5,休日)=0,"",IF(AND(AZ$5&gt;=$K22,AZ$5&lt;=$L22),IF(NETWORKDAYS($K22,AZ$5,休日)=1,"○",IF(NETWORKDAYS(AZ$5,$L22,休日)=1,"▶","→")),"")))</f>
        <v/>
      </c>
      <c r="BA22" s="116">
        <f>IF(OR($K22="",$L22=""),"",IF(NETWORKDAYS(BA$5,BA$5,休日)=0,"",IF(AND(BA$5&gt;=$K22,BA$5&lt;=$L22),IF(NETWORKDAYS($K22,BA$5,休日)=1,"○",IF(NETWORKDAYS(BA$5,$L22,休日)=1,"▶","→")),"")))</f>
        <v/>
      </c>
      <c r="BB22" s="116">
        <f>IF(OR($K22="",$L22=""),"",IF(NETWORKDAYS(BB$5,BB$5,休日)=0,"",IF(AND(BB$5&gt;=$K22,BB$5&lt;=$L22),IF(NETWORKDAYS($K22,BB$5,休日)=1,"○",IF(NETWORKDAYS(BB$5,$L22,休日)=1,"▶","→")),"")))</f>
        <v/>
      </c>
      <c r="BC22" s="116">
        <f>IF(OR($K22="",$L22=""),"",IF(NETWORKDAYS(BC$5,BC$5,休日)=0,"",IF(AND(BC$5&gt;=$K22,BC$5&lt;=$L22),IF(NETWORKDAYS($K22,BC$5,休日)=1,"○",IF(NETWORKDAYS(BC$5,$L22,休日)=1,"▶","→")),"")))</f>
        <v/>
      </c>
      <c r="BD22" s="116">
        <f>IF(OR($K22="",$L22=""),"",IF(NETWORKDAYS(BD$5,BD$5,休日)=0,"",IF(AND(BD$5&gt;=$K22,BD$5&lt;=$L22),IF(NETWORKDAYS($K22,BD$5,休日)=1,"○",IF(NETWORKDAYS(BD$5,$L22,休日)=1,"▶","→")),"")))</f>
        <v/>
      </c>
      <c r="BE22" s="116">
        <f>IF(OR($K22="",$L22=""),"",IF(NETWORKDAYS(BE$5,BE$5,休日)=0,"",IF(AND(BE$5&gt;=$K22,BE$5&lt;=$L22),IF(NETWORKDAYS($K22,BE$5,休日)=1,"○",IF(NETWORKDAYS(BE$5,$L22,休日)=1,"▶","→")),"")))</f>
        <v/>
      </c>
      <c r="BF22" s="116">
        <f>IF(OR($K22="",$L22=""),"",IF(NETWORKDAYS(BF$5,BF$5,休日)=0,"",IF(AND(BF$5&gt;=$K22,BF$5&lt;=$L22),IF(NETWORKDAYS($K22,BF$5,休日)=1,"○",IF(NETWORKDAYS(BF$5,$L22,休日)=1,"▶","→")),"")))</f>
        <v/>
      </c>
      <c r="BG22" s="116">
        <f>IF(OR($K22="",$L22=""),"",IF(NETWORKDAYS(BG$5,BG$5,休日)=0,"",IF(AND(BG$5&gt;=$K22,BG$5&lt;=$L22),IF(NETWORKDAYS($K22,BG$5,休日)=1,"○",IF(NETWORKDAYS(BG$5,$L22,休日)=1,"▶","→")),"")))</f>
        <v/>
      </c>
      <c r="BH22" s="116">
        <f>IF(OR($K22="",$L22=""),"",IF(NETWORKDAYS(BH$5,BH$5,休日)=0,"",IF(AND(BH$5&gt;=$K22,BH$5&lt;=$L22),IF(NETWORKDAYS($K22,BH$5,休日)=1,"○",IF(NETWORKDAYS(BH$5,$L22,休日)=1,"▶","→")),"")))</f>
        <v/>
      </c>
      <c r="BI22" s="116">
        <f>IF(OR($K22="",$L22=""),"",IF(NETWORKDAYS(BI$5,BI$5,休日)=0,"",IF(AND(BI$5&gt;=$K22,BI$5&lt;=$L22),IF(NETWORKDAYS($K22,BI$5,休日)=1,"○",IF(NETWORKDAYS(BI$5,$L22,休日)=1,"▶","→")),"")))</f>
        <v/>
      </c>
      <c r="BJ22" s="116">
        <f>IF(OR($K22="",$L22=""),"",IF(NETWORKDAYS(BJ$5,BJ$5,休日)=0,"",IF(AND(BJ$5&gt;=$K22,BJ$5&lt;=$L22),IF(NETWORKDAYS($K22,BJ$5,休日)=1,"○",IF(NETWORKDAYS(BJ$5,$L22,休日)=1,"▶","→")),"")))</f>
        <v/>
      </c>
      <c r="BK22" s="116">
        <f>IF(OR($K22="",$L22=""),"",IF(NETWORKDAYS(BK$5,BK$5,休日)=0,"",IF(AND(BK$5&gt;=$K22,BK$5&lt;=$L22),IF(NETWORKDAYS($K22,BK$5,休日)=1,"○",IF(NETWORKDAYS(BK$5,$L22,休日)=1,"▶","→")),"")))</f>
        <v/>
      </c>
      <c r="BL22" s="116">
        <f>IF(OR($K22="",$L22=""),"",IF(NETWORKDAYS(BL$5,BL$5,休日)=0,"",IF(AND(BL$5&gt;=$K22,BL$5&lt;=$L22),IF(NETWORKDAYS($K22,BL$5,休日)=1,"○",IF(NETWORKDAYS(BL$5,$L22,休日)=1,"▶","→")),"")))</f>
        <v/>
      </c>
      <c r="BM22" s="116">
        <f>IF(OR($K22="",$L22=""),"",IF(NETWORKDAYS(BM$5,BM$5,休日)=0,"",IF(AND(BM$5&gt;=$K22,BM$5&lt;=$L22),IF(NETWORKDAYS($K22,BM$5,休日)=1,"○",IF(NETWORKDAYS(BM$5,$L22,休日)=1,"▶","→")),"")))</f>
        <v/>
      </c>
      <c r="BN22" s="116">
        <f>IF(OR($K22="",$L22=""),"",IF(NETWORKDAYS(BN$5,BN$5,休日)=0,"",IF(AND(BN$5&gt;=$K22,BN$5&lt;=$L22),IF(NETWORKDAYS($K22,BN$5,休日)=1,"○",IF(NETWORKDAYS(BN$5,$L22,休日)=1,"▶","→")),"")))</f>
        <v/>
      </c>
      <c r="BO22" s="116">
        <f>IF(OR($K22="",$L22=""),"",IF(NETWORKDAYS(BO$5,BO$5,休日)=0,"",IF(AND(BO$5&gt;=$K22,BO$5&lt;=$L22),IF(NETWORKDAYS($K22,BO$5,休日)=1,"○",IF(NETWORKDAYS(BO$5,$L22,休日)=1,"▶","→")),"")))</f>
        <v/>
      </c>
      <c r="BP22" s="116">
        <f>IF(OR($K22="",$L22=""),"",IF(NETWORKDAYS(BP$5,BP$5,休日)=0,"",IF(AND(BP$5&gt;=$K22,BP$5&lt;=$L22),IF(NETWORKDAYS($K22,BP$5,休日)=1,"○",IF(NETWORKDAYS(BP$5,$L22,休日)=1,"▶","→")),"")))</f>
        <v/>
      </c>
      <c r="BQ22" s="116">
        <f>IF(OR($K22="",$L22=""),"",IF(NETWORKDAYS(BQ$5,BQ$5,休日)=0,"",IF(AND(BQ$5&gt;=$K22,BQ$5&lt;=$L22),IF(NETWORKDAYS($K22,BQ$5,休日)=1,"○",IF(NETWORKDAYS(BQ$5,$L22,休日)=1,"▶","→")),"")))</f>
        <v/>
      </c>
      <c r="BR22" s="116">
        <f>IF(OR($K22="",$L22=""),"",IF(NETWORKDAYS(BR$5,BR$5,休日)=0,"",IF(AND(BR$5&gt;=$K22,BR$5&lt;=$L22),IF(NETWORKDAYS($K22,BR$5,休日)=1,"○",IF(NETWORKDAYS(BR$5,$L22,休日)=1,"▶","→")),"")))</f>
        <v/>
      </c>
      <c r="BS22" s="116">
        <f>IF(OR($K22="",$L22=""),"",IF(NETWORKDAYS(BS$5,BS$5,休日)=0,"",IF(AND(BS$5&gt;=$K22,BS$5&lt;=$L22),IF(NETWORKDAYS($K22,BS$5,休日)=1,"○",IF(NETWORKDAYS(BS$5,$L22,休日)=1,"▶","→")),"")))</f>
        <v/>
      </c>
      <c r="BT22" s="116">
        <f>IF(OR($K22="",$L22=""),"",IF(NETWORKDAYS(BT$5,BT$5,休日)=0,"",IF(AND(BT$5&gt;=$K22,BT$5&lt;=$L22),IF(NETWORKDAYS($K22,BT$5,休日)=1,"○",IF(NETWORKDAYS(BT$5,$L22,休日)=1,"▶","→")),"")))</f>
        <v/>
      </c>
      <c r="BU22" s="116">
        <f>IF(OR($K22="",$L22=""),"",IF(NETWORKDAYS(BU$5,BU$5,休日)=0,"",IF(AND(BU$5&gt;=$K22,BU$5&lt;=$L22),IF(NETWORKDAYS($K22,BU$5,休日)=1,"○",IF(NETWORKDAYS(BU$5,$L22,休日)=1,"▶","→")),"")))</f>
        <v/>
      </c>
      <c r="BV22" s="116">
        <f>IF(OR($K22="",$L22=""),"",IF(NETWORKDAYS(BV$5,BV$5,休日)=0,"",IF(AND(BV$5&gt;=$K22,BV$5&lt;=$L22),IF(NETWORKDAYS($K22,BV$5,休日)=1,"○",IF(NETWORKDAYS(BV$5,$L22,休日)=1,"▶","→")),"")))</f>
        <v/>
      </c>
      <c r="BW22" s="116">
        <f>IF(OR($K22="",$L22=""),"",IF(NETWORKDAYS(BW$5,BW$5,休日)=0,"",IF(AND(BW$5&gt;=$K22,BW$5&lt;=$L22),IF(NETWORKDAYS($K22,BW$5,休日)=1,"○",IF(NETWORKDAYS(BW$5,$L22,休日)=1,"▶","→")),"")))</f>
        <v/>
      </c>
      <c r="BX22" s="116">
        <f>IF(OR($K22="",$L22=""),"",IF(NETWORKDAYS(BX$5,BX$5,休日)=0,"",IF(AND(BX$5&gt;=$K22,BX$5&lt;=$L22),IF(NETWORKDAYS($K22,BX$5,休日)=1,"○",IF(NETWORKDAYS(BX$5,$L22,休日)=1,"▶","→")),"")))</f>
        <v/>
      </c>
      <c r="BY22" s="116">
        <f>IF(OR($K22="",$L22=""),"",IF(NETWORKDAYS(BY$5,BY$5,休日)=0,"",IF(AND(BY$5&gt;=$K22,BY$5&lt;=$L22),IF(NETWORKDAYS($K22,BY$5,休日)=1,"○",IF(NETWORKDAYS(BY$5,$L22,休日)=1,"▶","→")),"")))</f>
        <v/>
      </c>
      <c r="BZ22" s="116">
        <f>IF(OR($K22="",$L22=""),"",IF(NETWORKDAYS(BZ$5,BZ$5,休日)=0,"",IF(AND(BZ$5&gt;=$K22,BZ$5&lt;=$L22),IF(NETWORKDAYS($K22,BZ$5,休日)=1,"○",IF(NETWORKDAYS(BZ$5,$L22,休日)=1,"▶","→")),"")))</f>
        <v/>
      </c>
      <c r="CA22" s="116">
        <f>IF(OR($K22="",$L22=""),"",IF(NETWORKDAYS(CA$5,CA$5,休日)=0,"",IF(AND(CA$5&gt;=$K22,CA$5&lt;=$L22),IF(NETWORKDAYS($K22,CA$5,休日)=1,"○",IF(NETWORKDAYS(CA$5,$L22,休日)=1,"▶","→")),"")))</f>
        <v/>
      </c>
      <c r="CB22" s="116">
        <f>IF(OR($K22="",$L22=""),"",IF(NETWORKDAYS(CB$5,CB$5,休日)=0,"",IF(AND(CB$5&gt;=$K22,CB$5&lt;=$L22),IF(NETWORKDAYS($K22,CB$5,休日)=1,"○",IF(NETWORKDAYS(CB$5,$L22,休日)=1,"▶","→")),"")))</f>
        <v/>
      </c>
      <c r="CC22" s="116">
        <f>IF(OR($K22="",$L22=""),"",IF(NETWORKDAYS(CC$5,CC$5,休日)=0,"",IF(AND(CC$5&gt;=$K22,CC$5&lt;=$L22),IF(NETWORKDAYS($K22,CC$5,休日)=1,"○",IF(NETWORKDAYS(CC$5,$L22,休日)=1,"▶","→")),"")))</f>
        <v/>
      </c>
      <c r="CD22" s="116">
        <f>IF(OR($K22="",$L22=""),"",IF(NETWORKDAYS(CD$5,CD$5,休日)=0,"",IF(AND(CD$5&gt;=$K22,CD$5&lt;=$L22),IF(NETWORKDAYS($K22,CD$5,休日)=1,"○",IF(NETWORKDAYS(CD$5,$L22,休日)=1,"▶","→")),"")))</f>
        <v/>
      </c>
      <c r="CE22" s="116">
        <f>IF(OR($K22="",$L22=""),"",IF(NETWORKDAYS(CE$5,CE$5,休日)=0,"",IF(AND(CE$5&gt;=$K22,CE$5&lt;=$L22),IF(NETWORKDAYS($K22,CE$5,休日)=1,"○",IF(NETWORKDAYS(CE$5,$L22,休日)=1,"▶","→")),"")))</f>
        <v/>
      </c>
      <c r="CF22" s="116">
        <f>IF(OR($K22="",$L22=""),"",IF(NETWORKDAYS(CF$5,CF$5,休日)=0,"",IF(AND(CF$5&gt;=$K22,CF$5&lt;=$L22),IF(NETWORKDAYS($K22,CF$5,休日)=1,"○",IF(NETWORKDAYS(CF$5,$L22,休日)=1,"▶","→")),"")))</f>
        <v/>
      </c>
      <c r="CG22" s="116">
        <f>IF(OR($K22="",$L22=""),"",IF(NETWORKDAYS(CG$5,CG$5,休日)=0,"",IF(AND(CG$5&gt;=$K22,CG$5&lt;=$L22),IF(NETWORKDAYS($K22,CG$5,休日)=1,"○",IF(NETWORKDAYS(CG$5,$L22,休日)=1,"▶","→")),"")))</f>
        <v/>
      </c>
      <c r="CH22" s="116">
        <f>IF(OR($K22="",$L22=""),"",IF(NETWORKDAYS(CH$5,CH$5,休日)=0,"",IF(AND(CH$5&gt;=$K22,CH$5&lt;=$L22),IF(NETWORKDAYS($K22,CH$5,休日)=1,"○",IF(NETWORKDAYS(CH$5,$L22,休日)=1,"▶","→")),"")))</f>
        <v/>
      </c>
      <c r="CI22" s="116">
        <f>IF(OR($K22="",$L22=""),"",IF(NETWORKDAYS(CI$5,CI$5,休日)=0,"",IF(AND(CI$5&gt;=$K22,CI$5&lt;=$L22),IF(NETWORKDAYS($K22,CI$5,休日)=1,"○",IF(NETWORKDAYS(CI$5,$L22,休日)=1,"▶","→")),"")))</f>
        <v/>
      </c>
      <c r="CJ22" s="116">
        <f>IF(OR($K22="",$L22=""),"",IF(NETWORKDAYS(CJ$5,CJ$5,休日)=0,"",IF(AND(CJ$5&gt;=$K22,CJ$5&lt;=$L22),IF(NETWORKDAYS($K22,CJ$5,休日)=1,"○",IF(NETWORKDAYS(CJ$5,$L22,休日)=1,"▶","→")),"")))</f>
        <v/>
      </c>
      <c r="CK22" s="116">
        <f>IF(OR($K22="",$L22=""),"",IF(NETWORKDAYS(CK$5,CK$5,休日)=0,"",IF(AND(CK$5&gt;=$K22,CK$5&lt;=$L22),IF(NETWORKDAYS($K22,CK$5,休日)=1,"○",IF(NETWORKDAYS(CK$5,$L22,休日)=1,"▶","→")),"")))</f>
        <v/>
      </c>
      <c r="CL22" s="116">
        <f>IF(OR($K22="",$L22=""),"",IF(NETWORKDAYS(CL$5,CL$5,休日)=0,"",IF(AND(CL$5&gt;=$K22,CL$5&lt;=$L22),IF(NETWORKDAYS($K22,CL$5,休日)=1,"○",IF(NETWORKDAYS(CL$5,$L22,休日)=1,"▶","→")),"")))</f>
        <v/>
      </c>
      <c r="CM22" s="116">
        <f>IF(OR($K22="",$L22=""),"",IF(NETWORKDAYS(CM$5,CM$5,休日)=0,"",IF(AND(CM$5&gt;=$K22,CM$5&lt;=$L22),IF(NETWORKDAYS($K22,CM$5,休日)=1,"○",IF(NETWORKDAYS(CM$5,$L22,休日)=1,"▶","→")),"")))</f>
        <v/>
      </c>
      <c r="CN22" s="116">
        <f>IF(OR($K22="",$L22=""),"",IF(NETWORKDAYS(CN$5,CN$5,休日)=0,"",IF(AND(CN$5&gt;=$K22,CN$5&lt;=$L22),IF(NETWORKDAYS($K22,CN$5,休日)=1,"○",IF(NETWORKDAYS(CN$5,$L22,休日)=1,"▶","→")),"")))</f>
        <v/>
      </c>
      <c r="CO22" s="116">
        <f>IF(OR($K22="",$L22=""),"",IF(NETWORKDAYS(CO$5,CO$5,休日)=0,"",IF(AND(CO$5&gt;=$K22,CO$5&lt;=$L22),IF(NETWORKDAYS($K22,CO$5,休日)=1,"○",IF(NETWORKDAYS(CO$5,$L22,休日)=1,"▶","→")),"")))</f>
        <v/>
      </c>
    </row>
    <row r="23" ht="32" customHeight="1" s="98">
      <c r="A23" s="5" t="n"/>
      <c r="B23" s="100" t="inlineStr">
        <is>
          <t>2.1.3</t>
        </is>
      </c>
      <c r="C23" s="101" t="inlineStr">
        <is>
          <t>詳細設計</t>
        </is>
      </c>
      <c r="D23" s="101" t="inlineStr">
        <is>
          <t>Layer①</t>
        </is>
      </c>
      <c r="E23" s="101" t="inlineStr">
        <is>
          <t>生鮮発注勧告（翌日以降分）</t>
        </is>
      </c>
      <c r="F23" s="101" t="inlineStr">
        <is>
          <t>生鮮発注勧告（翌日以降分）</t>
        </is>
      </c>
      <c r="G23" s="100" t="inlineStr">
        <is>
          <t>新規</t>
        </is>
      </c>
      <c r="H23" s="100" t="inlineStr">
        <is>
          <t>臧鹏仕</t>
        </is>
      </c>
      <c r="I23" s="113" t="n">
        <v>3</v>
      </c>
      <c r="J23" s="100" t="inlineStr">
        <is>
          <t>－</t>
        </is>
      </c>
      <c r="K23" s="114" t="n">
        <v>46317</v>
      </c>
      <c r="L23" s="114" t="n">
        <v>46335</v>
      </c>
      <c r="M23" s="114" t="n"/>
      <c r="N23" s="114" t="n"/>
      <c r="O23" s="100" t="inlineStr">
        <is>
          <t>未着手</t>
        </is>
      </c>
      <c r="P23" s="115" t="n">
        <v>0</v>
      </c>
      <c r="Q23" s="100" t="inlineStr">
        <is>
          <t>－</t>
        </is>
      </c>
      <c r="R23" s="101" t="inlineStr">
        <is>
          <t>当日とまとめた詳細設計 11.0人日の内数。Layer①とLayer③の期間は出典で分離されていない。同一期間を記入</t>
        </is>
      </c>
      <c r="S23" s="116">
        <f>IF(OR($K23="",$L23=""),"",IF(NETWORKDAYS(S$5,S$5,休日)=0,"",IF(AND(S$5&gt;=$K23,S$5&lt;=$L23),IF(NETWORKDAYS($K23,S$5,休日)=1,"○",IF(NETWORKDAYS(S$5,$L23,休日)=1,"▶","→")),"")))</f>
        <v/>
      </c>
      <c r="T23" s="116">
        <f>IF(OR($K23="",$L23=""),"",IF(NETWORKDAYS(T$5,T$5,休日)=0,"",IF(AND(T$5&gt;=$K23,T$5&lt;=$L23),IF(NETWORKDAYS($K23,T$5,休日)=1,"○",IF(NETWORKDAYS(T$5,$L23,休日)=1,"▶","→")),"")))</f>
        <v/>
      </c>
      <c r="U23" s="116">
        <f>IF(OR($K23="",$L23=""),"",IF(NETWORKDAYS(U$5,U$5,休日)=0,"",IF(AND(U$5&gt;=$K23,U$5&lt;=$L23),IF(NETWORKDAYS($K23,U$5,休日)=1,"○",IF(NETWORKDAYS(U$5,$L23,休日)=1,"▶","→")),"")))</f>
        <v/>
      </c>
      <c r="V23" s="116">
        <f>IF(OR($K23="",$L23=""),"",IF(NETWORKDAYS(V$5,V$5,休日)=0,"",IF(AND(V$5&gt;=$K23,V$5&lt;=$L23),IF(NETWORKDAYS($K23,V$5,休日)=1,"○",IF(NETWORKDAYS(V$5,$L23,休日)=1,"▶","→")),"")))</f>
        <v/>
      </c>
      <c r="W23" s="116">
        <f>IF(OR($K23="",$L23=""),"",IF(NETWORKDAYS(W$5,W$5,休日)=0,"",IF(AND(W$5&gt;=$K23,W$5&lt;=$L23),IF(NETWORKDAYS($K23,W$5,休日)=1,"○",IF(NETWORKDAYS(W$5,$L23,休日)=1,"▶","→")),"")))</f>
        <v/>
      </c>
      <c r="X23" s="116">
        <f>IF(OR($K23="",$L23=""),"",IF(NETWORKDAYS(X$5,X$5,休日)=0,"",IF(AND(X$5&gt;=$K23,X$5&lt;=$L23),IF(NETWORKDAYS($K23,X$5,休日)=1,"○",IF(NETWORKDAYS(X$5,$L23,休日)=1,"▶","→")),"")))</f>
        <v/>
      </c>
      <c r="Y23" s="116">
        <f>IF(OR($K23="",$L23=""),"",IF(NETWORKDAYS(Y$5,Y$5,休日)=0,"",IF(AND(Y$5&gt;=$K23,Y$5&lt;=$L23),IF(NETWORKDAYS($K23,Y$5,休日)=1,"○",IF(NETWORKDAYS(Y$5,$L23,休日)=1,"▶","→")),"")))</f>
        <v/>
      </c>
      <c r="Z23" s="116">
        <f>IF(OR($K23="",$L23=""),"",IF(NETWORKDAYS(Z$5,Z$5,休日)=0,"",IF(AND(Z$5&gt;=$K23,Z$5&lt;=$L23),IF(NETWORKDAYS($K23,Z$5,休日)=1,"○",IF(NETWORKDAYS(Z$5,$L23,休日)=1,"▶","→")),"")))</f>
        <v/>
      </c>
      <c r="AA23" s="116">
        <f>IF(OR($K23="",$L23=""),"",IF(NETWORKDAYS(AA$5,AA$5,休日)=0,"",IF(AND(AA$5&gt;=$K23,AA$5&lt;=$L23),IF(NETWORKDAYS($K23,AA$5,休日)=1,"○",IF(NETWORKDAYS(AA$5,$L23,休日)=1,"▶","→")),"")))</f>
        <v/>
      </c>
      <c r="AB23" s="116">
        <f>IF(OR($K23="",$L23=""),"",IF(NETWORKDAYS(AB$5,AB$5,休日)=0,"",IF(AND(AB$5&gt;=$K23,AB$5&lt;=$L23),IF(NETWORKDAYS($K23,AB$5,休日)=1,"○",IF(NETWORKDAYS(AB$5,$L23,休日)=1,"▶","→")),"")))</f>
        <v/>
      </c>
      <c r="AC23" s="116">
        <f>IF(OR($K23="",$L23=""),"",IF(NETWORKDAYS(AC$5,AC$5,休日)=0,"",IF(AND(AC$5&gt;=$K23,AC$5&lt;=$L23),IF(NETWORKDAYS($K23,AC$5,休日)=1,"○",IF(NETWORKDAYS(AC$5,$L23,休日)=1,"▶","→")),"")))</f>
        <v/>
      </c>
      <c r="AD23" s="116">
        <f>IF(OR($K23="",$L23=""),"",IF(NETWORKDAYS(AD$5,AD$5,休日)=0,"",IF(AND(AD$5&gt;=$K23,AD$5&lt;=$L23),IF(NETWORKDAYS($K23,AD$5,休日)=1,"○",IF(NETWORKDAYS(AD$5,$L23,休日)=1,"▶","→")),"")))</f>
        <v/>
      </c>
      <c r="AE23" s="116">
        <f>IF(OR($K23="",$L23=""),"",IF(NETWORKDAYS(AE$5,AE$5,休日)=0,"",IF(AND(AE$5&gt;=$K23,AE$5&lt;=$L23),IF(NETWORKDAYS($K23,AE$5,休日)=1,"○",IF(NETWORKDAYS(AE$5,$L23,休日)=1,"▶","→")),"")))</f>
        <v/>
      </c>
      <c r="AF23" s="116">
        <f>IF(OR($K23="",$L23=""),"",IF(NETWORKDAYS(AF$5,AF$5,休日)=0,"",IF(AND(AF$5&gt;=$K23,AF$5&lt;=$L23),IF(NETWORKDAYS($K23,AF$5,休日)=1,"○",IF(NETWORKDAYS(AF$5,$L23,休日)=1,"▶","→")),"")))</f>
        <v/>
      </c>
      <c r="AG23" s="116">
        <f>IF(OR($K23="",$L23=""),"",IF(NETWORKDAYS(AG$5,AG$5,休日)=0,"",IF(AND(AG$5&gt;=$K23,AG$5&lt;=$L23),IF(NETWORKDAYS($K23,AG$5,休日)=1,"○",IF(NETWORKDAYS(AG$5,$L23,休日)=1,"▶","→")),"")))</f>
        <v/>
      </c>
      <c r="AH23" s="116">
        <f>IF(OR($K23="",$L23=""),"",IF(NETWORKDAYS(AH$5,AH$5,休日)=0,"",IF(AND(AH$5&gt;=$K23,AH$5&lt;=$L23),IF(NETWORKDAYS($K23,AH$5,休日)=1,"○",IF(NETWORKDAYS(AH$5,$L23,休日)=1,"▶","→")),"")))</f>
        <v/>
      </c>
      <c r="AI23" s="116">
        <f>IF(OR($K23="",$L23=""),"",IF(NETWORKDAYS(AI$5,AI$5,休日)=0,"",IF(AND(AI$5&gt;=$K23,AI$5&lt;=$L23),IF(NETWORKDAYS($K23,AI$5,休日)=1,"○",IF(NETWORKDAYS(AI$5,$L23,休日)=1,"▶","→")),"")))</f>
        <v/>
      </c>
      <c r="AJ23" s="116">
        <f>IF(OR($K23="",$L23=""),"",IF(NETWORKDAYS(AJ$5,AJ$5,休日)=0,"",IF(AND(AJ$5&gt;=$K23,AJ$5&lt;=$L23),IF(NETWORKDAYS($K23,AJ$5,休日)=1,"○",IF(NETWORKDAYS(AJ$5,$L23,休日)=1,"▶","→")),"")))</f>
        <v/>
      </c>
      <c r="AK23" s="116">
        <f>IF(OR($K23="",$L23=""),"",IF(NETWORKDAYS(AK$5,AK$5,休日)=0,"",IF(AND(AK$5&gt;=$K23,AK$5&lt;=$L23),IF(NETWORKDAYS($K23,AK$5,休日)=1,"○",IF(NETWORKDAYS(AK$5,$L23,休日)=1,"▶","→")),"")))</f>
        <v/>
      </c>
      <c r="AL23" s="116">
        <f>IF(OR($K23="",$L23=""),"",IF(NETWORKDAYS(AL$5,AL$5,休日)=0,"",IF(AND(AL$5&gt;=$K23,AL$5&lt;=$L23),IF(NETWORKDAYS($K23,AL$5,休日)=1,"○",IF(NETWORKDAYS(AL$5,$L23,休日)=1,"▶","→")),"")))</f>
        <v/>
      </c>
      <c r="AM23" s="116">
        <f>IF(OR($K23="",$L23=""),"",IF(NETWORKDAYS(AM$5,AM$5,休日)=0,"",IF(AND(AM$5&gt;=$K23,AM$5&lt;=$L23),IF(NETWORKDAYS($K23,AM$5,休日)=1,"○",IF(NETWORKDAYS(AM$5,$L23,休日)=1,"▶","→")),"")))</f>
        <v/>
      </c>
      <c r="AN23" s="116">
        <f>IF(OR($K23="",$L23=""),"",IF(NETWORKDAYS(AN$5,AN$5,休日)=0,"",IF(AND(AN$5&gt;=$K23,AN$5&lt;=$L23),IF(NETWORKDAYS($K23,AN$5,休日)=1,"○",IF(NETWORKDAYS(AN$5,$L23,休日)=1,"▶","→")),"")))</f>
        <v/>
      </c>
      <c r="AO23" s="116">
        <f>IF(OR($K23="",$L23=""),"",IF(NETWORKDAYS(AO$5,AO$5,休日)=0,"",IF(AND(AO$5&gt;=$K23,AO$5&lt;=$L23),IF(NETWORKDAYS($K23,AO$5,休日)=1,"○",IF(NETWORKDAYS(AO$5,$L23,休日)=1,"▶","→")),"")))</f>
        <v/>
      </c>
      <c r="AP23" s="116">
        <f>IF(OR($K23="",$L23=""),"",IF(NETWORKDAYS(AP$5,AP$5,休日)=0,"",IF(AND(AP$5&gt;=$K23,AP$5&lt;=$L23),IF(NETWORKDAYS($K23,AP$5,休日)=1,"○",IF(NETWORKDAYS(AP$5,$L23,休日)=1,"▶","→")),"")))</f>
        <v/>
      </c>
      <c r="AQ23" s="116">
        <f>IF(OR($K23="",$L23=""),"",IF(NETWORKDAYS(AQ$5,AQ$5,休日)=0,"",IF(AND(AQ$5&gt;=$K23,AQ$5&lt;=$L23),IF(NETWORKDAYS($K23,AQ$5,休日)=1,"○",IF(NETWORKDAYS(AQ$5,$L23,休日)=1,"▶","→")),"")))</f>
        <v/>
      </c>
      <c r="AR23" s="116">
        <f>IF(OR($K23="",$L23=""),"",IF(NETWORKDAYS(AR$5,AR$5,休日)=0,"",IF(AND(AR$5&gt;=$K23,AR$5&lt;=$L23),IF(NETWORKDAYS($K23,AR$5,休日)=1,"○",IF(NETWORKDAYS(AR$5,$L23,休日)=1,"▶","→")),"")))</f>
        <v/>
      </c>
      <c r="AS23" s="116">
        <f>IF(OR($K23="",$L23=""),"",IF(NETWORKDAYS(AS$5,AS$5,休日)=0,"",IF(AND(AS$5&gt;=$K23,AS$5&lt;=$L23),IF(NETWORKDAYS($K23,AS$5,休日)=1,"○",IF(NETWORKDAYS(AS$5,$L23,休日)=1,"▶","→")),"")))</f>
        <v/>
      </c>
      <c r="AT23" s="116">
        <f>IF(OR($K23="",$L23=""),"",IF(NETWORKDAYS(AT$5,AT$5,休日)=0,"",IF(AND(AT$5&gt;=$K23,AT$5&lt;=$L23),IF(NETWORKDAYS($K23,AT$5,休日)=1,"○",IF(NETWORKDAYS(AT$5,$L23,休日)=1,"▶","→")),"")))</f>
        <v/>
      </c>
      <c r="AU23" s="116">
        <f>IF(OR($K23="",$L23=""),"",IF(NETWORKDAYS(AU$5,AU$5,休日)=0,"",IF(AND(AU$5&gt;=$K23,AU$5&lt;=$L23),IF(NETWORKDAYS($K23,AU$5,休日)=1,"○",IF(NETWORKDAYS(AU$5,$L23,休日)=1,"▶","→")),"")))</f>
        <v/>
      </c>
      <c r="AV23" s="116">
        <f>IF(OR($K23="",$L23=""),"",IF(NETWORKDAYS(AV$5,AV$5,休日)=0,"",IF(AND(AV$5&gt;=$K23,AV$5&lt;=$L23),IF(NETWORKDAYS($K23,AV$5,休日)=1,"○",IF(NETWORKDAYS(AV$5,$L23,休日)=1,"▶","→")),"")))</f>
        <v/>
      </c>
      <c r="AW23" s="116">
        <f>IF(OR($K23="",$L23=""),"",IF(NETWORKDAYS(AW$5,AW$5,休日)=0,"",IF(AND(AW$5&gt;=$K23,AW$5&lt;=$L23),IF(NETWORKDAYS($K23,AW$5,休日)=1,"○",IF(NETWORKDAYS(AW$5,$L23,休日)=1,"▶","→")),"")))</f>
        <v/>
      </c>
      <c r="AX23" s="116">
        <f>IF(OR($K23="",$L23=""),"",IF(NETWORKDAYS(AX$5,AX$5,休日)=0,"",IF(AND(AX$5&gt;=$K23,AX$5&lt;=$L23),IF(NETWORKDAYS($K23,AX$5,休日)=1,"○",IF(NETWORKDAYS(AX$5,$L23,休日)=1,"▶","→")),"")))</f>
        <v/>
      </c>
      <c r="AY23" s="116">
        <f>IF(OR($K23="",$L23=""),"",IF(NETWORKDAYS(AY$5,AY$5,休日)=0,"",IF(AND(AY$5&gt;=$K23,AY$5&lt;=$L23),IF(NETWORKDAYS($K23,AY$5,休日)=1,"○",IF(NETWORKDAYS(AY$5,$L23,休日)=1,"▶","→")),"")))</f>
        <v/>
      </c>
      <c r="AZ23" s="116">
        <f>IF(OR($K23="",$L23=""),"",IF(NETWORKDAYS(AZ$5,AZ$5,休日)=0,"",IF(AND(AZ$5&gt;=$K23,AZ$5&lt;=$L23),IF(NETWORKDAYS($K23,AZ$5,休日)=1,"○",IF(NETWORKDAYS(AZ$5,$L23,休日)=1,"▶","→")),"")))</f>
        <v/>
      </c>
      <c r="BA23" s="116">
        <f>IF(OR($K23="",$L23=""),"",IF(NETWORKDAYS(BA$5,BA$5,休日)=0,"",IF(AND(BA$5&gt;=$K23,BA$5&lt;=$L23),IF(NETWORKDAYS($K23,BA$5,休日)=1,"○",IF(NETWORKDAYS(BA$5,$L23,休日)=1,"▶","→")),"")))</f>
        <v/>
      </c>
      <c r="BB23" s="116">
        <f>IF(OR($K23="",$L23=""),"",IF(NETWORKDAYS(BB$5,BB$5,休日)=0,"",IF(AND(BB$5&gt;=$K23,BB$5&lt;=$L23),IF(NETWORKDAYS($K23,BB$5,休日)=1,"○",IF(NETWORKDAYS(BB$5,$L23,休日)=1,"▶","→")),"")))</f>
        <v/>
      </c>
      <c r="BC23" s="116">
        <f>IF(OR($K23="",$L23=""),"",IF(NETWORKDAYS(BC$5,BC$5,休日)=0,"",IF(AND(BC$5&gt;=$K23,BC$5&lt;=$L23),IF(NETWORKDAYS($K23,BC$5,休日)=1,"○",IF(NETWORKDAYS(BC$5,$L23,休日)=1,"▶","→")),"")))</f>
        <v/>
      </c>
      <c r="BD23" s="116">
        <f>IF(OR($K23="",$L23=""),"",IF(NETWORKDAYS(BD$5,BD$5,休日)=0,"",IF(AND(BD$5&gt;=$K23,BD$5&lt;=$L23),IF(NETWORKDAYS($K23,BD$5,休日)=1,"○",IF(NETWORKDAYS(BD$5,$L23,休日)=1,"▶","→")),"")))</f>
        <v/>
      </c>
      <c r="BE23" s="116">
        <f>IF(OR($K23="",$L23=""),"",IF(NETWORKDAYS(BE$5,BE$5,休日)=0,"",IF(AND(BE$5&gt;=$K23,BE$5&lt;=$L23),IF(NETWORKDAYS($K23,BE$5,休日)=1,"○",IF(NETWORKDAYS(BE$5,$L23,休日)=1,"▶","→")),"")))</f>
        <v/>
      </c>
      <c r="BF23" s="116">
        <f>IF(OR($K23="",$L23=""),"",IF(NETWORKDAYS(BF$5,BF$5,休日)=0,"",IF(AND(BF$5&gt;=$K23,BF$5&lt;=$L23),IF(NETWORKDAYS($K23,BF$5,休日)=1,"○",IF(NETWORKDAYS(BF$5,$L23,休日)=1,"▶","→")),"")))</f>
        <v/>
      </c>
      <c r="BG23" s="116">
        <f>IF(OR($K23="",$L23=""),"",IF(NETWORKDAYS(BG$5,BG$5,休日)=0,"",IF(AND(BG$5&gt;=$K23,BG$5&lt;=$L23),IF(NETWORKDAYS($K23,BG$5,休日)=1,"○",IF(NETWORKDAYS(BG$5,$L23,休日)=1,"▶","→")),"")))</f>
        <v/>
      </c>
      <c r="BH23" s="116">
        <f>IF(OR($K23="",$L23=""),"",IF(NETWORKDAYS(BH$5,BH$5,休日)=0,"",IF(AND(BH$5&gt;=$K23,BH$5&lt;=$L23),IF(NETWORKDAYS($K23,BH$5,休日)=1,"○",IF(NETWORKDAYS(BH$5,$L23,休日)=1,"▶","→")),"")))</f>
        <v/>
      </c>
      <c r="BI23" s="116">
        <f>IF(OR($K23="",$L23=""),"",IF(NETWORKDAYS(BI$5,BI$5,休日)=0,"",IF(AND(BI$5&gt;=$K23,BI$5&lt;=$L23),IF(NETWORKDAYS($K23,BI$5,休日)=1,"○",IF(NETWORKDAYS(BI$5,$L23,休日)=1,"▶","→")),"")))</f>
        <v/>
      </c>
      <c r="BJ23" s="116">
        <f>IF(OR($K23="",$L23=""),"",IF(NETWORKDAYS(BJ$5,BJ$5,休日)=0,"",IF(AND(BJ$5&gt;=$K23,BJ$5&lt;=$L23),IF(NETWORKDAYS($K23,BJ$5,休日)=1,"○",IF(NETWORKDAYS(BJ$5,$L23,休日)=1,"▶","→")),"")))</f>
        <v/>
      </c>
      <c r="BK23" s="116">
        <f>IF(OR($K23="",$L23=""),"",IF(NETWORKDAYS(BK$5,BK$5,休日)=0,"",IF(AND(BK$5&gt;=$K23,BK$5&lt;=$L23),IF(NETWORKDAYS($K23,BK$5,休日)=1,"○",IF(NETWORKDAYS(BK$5,$L23,休日)=1,"▶","→")),"")))</f>
        <v/>
      </c>
      <c r="BL23" s="116">
        <f>IF(OR($K23="",$L23=""),"",IF(NETWORKDAYS(BL$5,BL$5,休日)=0,"",IF(AND(BL$5&gt;=$K23,BL$5&lt;=$L23),IF(NETWORKDAYS($K23,BL$5,休日)=1,"○",IF(NETWORKDAYS(BL$5,$L23,休日)=1,"▶","→")),"")))</f>
        <v/>
      </c>
      <c r="BM23" s="116">
        <f>IF(OR($K23="",$L23=""),"",IF(NETWORKDAYS(BM$5,BM$5,休日)=0,"",IF(AND(BM$5&gt;=$K23,BM$5&lt;=$L23),IF(NETWORKDAYS($K23,BM$5,休日)=1,"○",IF(NETWORKDAYS(BM$5,$L23,休日)=1,"▶","→")),"")))</f>
        <v/>
      </c>
      <c r="BN23" s="116">
        <f>IF(OR($K23="",$L23=""),"",IF(NETWORKDAYS(BN$5,BN$5,休日)=0,"",IF(AND(BN$5&gt;=$K23,BN$5&lt;=$L23),IF(NETWORKDAYS($K23,BN$5,休日)=1,"○",IF(NETWORKDAYS(BN$5,$L23,休日)=1,"▶","→")),"")))</f>
        <v/>
      </c>
      <c r="BO23" s="116">
        <f>IF(OR($K23="",$L23=""),"",IF(NETWORKDAYS(BO$5,BO$5,休日)=0,"",IF(AND(BO$5&gt;=$K23,BO$5&lt;=$L23),IF(NETWORKDAYS($K23,BO$5,休日)=1,"○",IF(NETWORKDAYS(BO$5,$L23,休日)=1,"▶","→")),"")))</f>
        <v/>
      </c>
      <c r="BP23" s="116">
        <f>IF(OR($K23="",$L23=""),"",IF(NETWORKDAYS(BP$5,BP$5,休日)=0,"",IF(AND(BP$5&gt;=$K23,BP$5&lt;=$L23),IF(NETWORKDAYS($K23,BP$5,休日)=1,"○",IF(NETWORKDAYS(BP$5,$L23,休日)=1,"▶","→")),"")))</f>
        <v/>
      </c>
      <c r="BQ23" s="116">
        <f>IF(OR($K23="",$L23=""),"",IF(NETWORKDAYS(BQ$5,BQ$5,休日)=0,"",IF(AND(BQ$5&gt;=$K23,BQ$5&lt;=$L23),IF(NETWORKDAYS($K23,BQ$5,休日)=1,"○",IF(NETWORKDAYS(BQ$5,$L23,休日)=1,"▶","→")),"")))</f>
        <v/>
      </c>
      <c r="BR23" s="116">
        <f>IF(OR($K23="",$L23=""),"",IF(NETWORKDAYS(BR$5,BR$5,休日)=0,"",IF(AND(BR$5&gt;=$K23,BR$5&lt;=$L23),IF(NETWORKDAYS($K23,BR$5,休日)=1,"○",IF(NETWORKDAYS(BR$5,$L23,休日)=1,"▶","→")),"")))</f>
        <v/>
      </c>
      <c r="BS23" s="116">
        <f>IF(OR($K23="",$L23=""),"",IF(NETWORKDAYS(BS$5,BS$5,休日)=0,"",IF(AND(BS$5&gt;=$K23,BS$5&lt;=$L23),IF(NETWORKDAYS($K23,BS$5,休日)=1,"○",IF(NETWORKDAYS(BS$5,$L23,休日)=1,"▶","→")),"")))</f>
        <v/>
      </c>
      <c r="BT23" s="116">
        <f>IF(OR($K23="",$L23=""),"",IF(NETWORKDAYS(BT$5,BT$5,休日)=0,"",IF(AND(BT$5&gt;=$K23,BT$5&lt;=$L23),IF(NETWORKDAYS($K23,BT$5,休日)=1,"○",IF(NETWORKDAYS(BT$5,$L23,休日)=1,"▶","→")),"")))</f>
        <v/>
      </c>
      <c r="BU23" s="116">
        <f>IF(OR($K23="",$L23=""),"",IF(NETWORKDAYS(BU$5,BU$5,休日)=0,"",IF(AND(BU$5&gt;=$K23,BU$5&lt;=$L23),IF(NETWORKDAYS($K23,BU$5,休日)=1,"○",IF(NETWORKDAYS(BU$5,$L23,休日)=1,"▶","→")),"")))</f>
        <v/>
      </c>
      <c r="BV23" s="116">
        <f>IF(OR($K23="",$L23=""),"",IF(NETWORKDAYS(BV$5,BV$5,休日)=0,"",IF(AND(BV$5&gt;=$K23,BV$5&lt;=$L23),IF(NETWORKDAYS($K23,BV$5,休日)=1,"○",IF(NETWORKDAYS(BV$5,$L23,休日)=1,"▶","→")),"")))</f>
        <v/>
      </c>
      <c r="BW23" s="116">
        <f>IF(OR($K23="",$L23=""),"",IF(NETWORKDAYS(BW$5,BW$5,休日)=0,"",IF(AND(BW$5&gt;=$K23,BW$5&lt;=$L23),IF(NETWORKDAYS($K23,BW$5,休日)=1,"○",IF(NETWORKDAYS(BW$5,$L23,休日)=1,"▶","→")),"")))</f>
        <v/>
      </c>
      <c r="BX23" s="116">
        <f>IF(OR($K23="",$L23=""),"",IF(NETWORKDAYS(BX$5,BX$5,休日)=0,"",IF(AND(BX$5&gt;=$K23,BX$5&lt;=$L23),IF(NETWORKDAYS($K23,BX$5,休日)=1,"○",IF(NETWORKDAYS(BX$5,$L23,休日)=1,"▶","→")),"")))</f>
        <v/>
      </c>
      <c r="BY23" s="116">
        <f>IF(OR($K23="",$L23=""),"",IF(NETWORKDAYS(BY$5,BY$5,休日)=0,"",IF(AND(BY$5&gt;=$K23,BY$5&lt;=$L23),IF(NETWORKDAYS($K23,BY$5,休日)=1,"○",IF(NETWORKDAYS(BY$5,$L23,休日)=1,"▶","→")),"")))</f>
        <v/>
      </c>
      <c r="BZ23" s="116">
        <f>IF(OR($K23="",$L23=""),"",IF(NETWORKDAYS(BZ$5,BZ$5,休日)=0,"",IF(AND(BZ$5&gt;=$K23,BZ$5&lt;=$L23),IF(NETWORKDAYS($K23,BZ$5,休日)=1,"○",IF(NETWORKDAYS(BZ$5,$L23,休日)=1,"▶","→")),"")))</f>
        <v/>
      </c>
      <c r="CA23" s="116">
        <f>IF(OR($K23="",$L23=""),"",IF(NETWORKDAYS(CA$5,CA$5,休日)=0,"",IF(AND(CA$5&gt;=$K23,CA$5&lt;=$L23),IF(NETWORKDAYS($K23,CA$5,休日)=1,"○",IF(NETWORKDAYS(CA$5,$L23,休日)=1,"▶","→")),"")))</f>
        <v/>
      </c>
      <c r="CB23" s="116">
        <f>IF(OR($K23="",$L23=""),"",IF(NETWORKDAYS(CB$5,CB$5,休日)=0,"",IF(AND(CB$5&gt;=$K23,CB$5&lt;=$L23),IF(NETWORKDAYS($K23,CB$5,休日)=1,"○",IF(NETWORKDAYS(CB$5,$L23,休日)=1,"▶","→")),"")))</f>
        <v/>
      </c>
      <c r="CC23" s="116">
        <f>IF(OR($K23="",$L23=""),"",IF(NETWORKDAYS(CC$5,CC$5,休日)=0,"",IF(AND(CC$5&gt;=$K23,CC$5&lt;=$L23),IF(NETWORKDAYS($K23,CC$5,休日)=1,"○",IF(NETWORKDAYS(CC$5,$L23,休日)=1,"▶","→")),"")))</f>
        <v/>
      </c>
      <c r="CD23" s="116">
        <f>IF(OR($K23="",$L23=""),"",IF(NETWORKDAYS(CD$5,CD$5,休日)=0,"",IF(AND(CD$5&gt;=$K23,CD$5&lt;=$L23),IF(NETWORKDAYS($K23,CD$5,休日)=1,"○",IF(NETWORKDAYS(CD$5,$L23,休日)=1,"▶","→")),"")))</f>
        <v/>
      </c>
      <c r="CE23" s="116">
        <f>IF(OR($K23="",$L23=""),"",IF(NETWORKDAYS(CE$5,CE$5,休日)=0,"",IF(AND(CE$5&gt;=$K23,CE$5&lt;=$L23),IF(NETWORKDAYS($K23,CE$5,休日)=1,"○",IF(NETWORKDAYS(CE$5,$L23,休日)=1,"▶","→")),"")))</f>
        <v/>
      </c>
      <c r="CF23" s="116">
        <f>IF(OR($K23="",$L23=""),"",IF(NETWORKDAYS(CF$5,CF$5,休日)=0,"",IF(AND(CF$5&gt;=$K23,CF$5&lt;=$L23),IF(NETWORKDAYS($K23,CF$5,休日)=1,"○",IF(NETWORKDAYS(CF$5,$L23,休日)=1,"▶","→")),"")))</f>
        <v/>
      </c>
      <c r="CG23" s="116">
        <f>IF(OR($K23="",$L23=""),"",IF(NETWORKDAYS(CG$5,CG$5,休日)=0,"",IF(AND(CG$5&gt;=$K23,CG$5&lt;=$L23),IF(NETWORKDAYS($K23,CG$5,休日)=1,"○",IF(NETWORKDAYS(CG$5,$L23,休日)=1,"▶","→")),"")))</f>
        <v/>
      </c>
      <c r="CH23" s="116">
        <f>IF(OR($K23="",$L23=""),"",IF(NETWORKDAYS(CH$5,CH$5,休日)=0,"",IF(AND(CH$5&gt;=$K23,CH$5&lt;=$L23),IF(NETWORKDAYS($K23,CH$5,休日)=1,"○",IF(NETWORKDAYS(CH$5,$L23,休日)=1,"▶","→")),"")))</f>
        <v/>
      </c>
      <c r="CI23" s="116">
        <f>IF(OR($K23="",$L23=""),"",IF(NETWORKDAYS(CI$5,CI$5,休日)=0,"",IF(AND(CI$5&gt;=$K23,CI$5&lt;=$L23),IF(NETWORKDAYS($K23,CI$5,休日)=1,"○",IF(NETWORKDAYS(CI$5,$L23,休日)=1,"▶","→")),"")))</f>
        <v/>
      </c>
      <c r="CJ23" s="116">
        <f>IF(OR($K23="",$L23=""),"",IF(NETWORKDAYS(CJ$5,CJ$5,休日)=0,"",IF(AND(CJ$5&gt;=$K23,CJ$5&lt;=$L23),IF(NETWORKDAYS($K23,CJ$5,休日)=1,"○",IF(NETWORKDAYS(CJ$5,$L23,休日)=1,"▶","→")),"")))</f>
        <v/>
      </c>
      <c r="CK23" s="116">
        <f>IF(OR($K23="",$L23=""),"",IF(NETWORKDAYS(CK$5,CK$5,休日)=0,"",IF(AND(CK$5&gt;=$K23,CK$5&lt;=$L23),IF(NETWORKDAYS($K23,CK$5,休日)=1,"○",IF(NETWORKDAYS(CK$5,$L23,休日)=1,"▶","→")),"")))</f>
        <v/>
      </c>
      <c r="CL23" s="116">
        <f>IF(OR($K23="",$L23=""),"",IF(NETWORKDAYS(CL$5,CL$5,休日)=0,"",IF(AND(CL$5&gt;=$K23,CL$5&lt;=$L23),IF(NETWORKDAYS($K23,CL$5,休日)=1,"○",IF(NETWORKDAYS(CL$5,$L23,休日)=1,"▶","→")),"")))</f>
        <v/>
      </c>
      <c r="CM23" s="116">
        <f>IF(OR($K23="",$L23=""),"",IF(NETWORKDAYS(CM$5,CM$5,休日)=0,"",IF(AND(CM$5&gt;=$K23,CM$5&lt;=$L23),IF(NETWORKDAYS($K23,CM$5,休日)=1,"○",IF(NETWORKDAYS(CM$5,$L23,休日)=1,"▶","→")),"")))</f>
        <v/>
      </c>
      <c r="CN23" s="116">
        <f>IF(OR($K23="",$L23=""),"",IF(NETWORKDAYS(CN$5,CN$5,休日)=0,"",IF(AND(CN$5&gt;=$K23,CN$5&lt;=$L23),IF(NETWORKDAYS($K23,CN$5,休日)=1,"○",IF(NETWORKDAYS(CN$5,$L23,休日)=1,"▶","→")),"")))</f>
        <v/>
      </c>
      <c r="CO23" s="116">
        <f>IF(OR($K23="",$L23=""),"",IF(NETWORKDAYS(CO$5,CO$5,休日)=0,"",IF(AND(CO$5&gt;=$K23,CO$5&lt;=$L23),IF(NETWORKDAYS($K23,CO$5,休日)=1,"○",IF(NETWORKDAYS(CO$5,$L23,休日)=1,"▶","→")),"")))</f>
        <v/>
      </c>
    </row>
    <row r="24" ht="32" customHeight="1" s="98">
      <c r="A24" s="5" t="n"/>
      <c r="B24" s="100" t="inlineStr">
        <is>
          <t>2.1.4</t>
        </is>
      </c>
      <c r="C24" s="101" t="inlineStr">
        <is>
          <t>詳細設計</t>
        </is>
      </c>
      <c r="D24" s="101" t="inlineStr">
        <is>
          <t>Layer③</t>
        </is>
      </c>
      <c r="E24" s="101" t="inlineStr">
        <is>
          <t>生鮮発注勧告（翌日以降分）</t>
        </is>
      </c>
      <c r="F24" s="101" t="inlineStr">
        <is>
          <t>生鮮発注勧告（翌日以降分）</t>
        </is>
      </c>
      <c r="G24" s="100" t="inlineStr">
        <is>
          <t>新規</t>
        </is>
      </c>
      <c r="H24" s="100" t="inlineStr">
        <is>
          <t>臧鹏仕</t>
        </is>
      </c>
      <c r="I24" s="113" t="n">
        <v>0.5</v>
      </c>
      <c r="J24" s="100" t="inlineStr">
        <is>
          <t>－</t>
        </is>
      </c>
      <c r="K24" s="114" t="n">
        <v>46317</v>
      </c>
      <c r="L24" s="114" t="n">
        <v>46335</v>
      </c>
      <c r="M24" s="114" t="n"/>
      <c r="N24" s="114" t="n"/>
      <c r="O24" s="100" t="inlineStr">
        <is>
          <t>未着手</t>
        </is>
      </c>
      <c r="P24" s="115" t="n">
        <v>0</v>
      </c>
      <c r="Q24" s="100" t="inlineStr">
        <is>
          <t>－</t>
        </is>
      </c>
      <c r="R24" s="101" t="inlineStr">
        <is>
          <t>Layer①とLayer③の期間は出典で分離されていない。同一期間を記入</t>
        </is>
      </c>
      <c r="S24" s="116">
        <f>IF(OR($K24="",$L24=""),"",IF(NETWORKDAYS(S$5,S$5,休日)=0,"",IF(AND(S$5&gt;=$K24,S$5&lt;=$L24),IF(NETWORKDAYS($K24,S$5,休日)=1,"○",IF(NETWORKDAYS(S$5,$L24,休日)=1,"▶","→")),"")))</f>
        <v/>
      </c>
      <c r="T24" s="116">
        <f>IF(OR($K24="",$L24=""),"",IF(NETWORKDAYS(T$5,T$5,休日)=0,"",IF(AND(T$5&gt;=$K24,T$5&lt;=$L24),IF(NETWORKDAYS($K24,T$5,休日)=1,"○",IF(NETWORKDAYS(T$5,$L24,休日)=1,"▶","→")),"")))</f>
        <v/>
      </c>
      <c r="U24" s="116">
        <f>IF(OR($K24="",$L24=""),"",IF(NETWORKDAYS(U$5,U$5,休日)=0,"",IF(AND(U$5&gt;=$K24,U$5&lt;=$L24),IF(NETWORKDAYS($K24,U$5,休日)=1,"○",IF(NETWORKDAYS(U$5,$L24,休日)=1,"▶","→")),"")))</f>
        <v/>
      </c>
      <c r="V24" s="116">
        <f>IF(OR($K24="",$L24=""),"",IF(NETWORKDAYS(V$5,V$5,休日)=0,"",IF(AND(V$5&gt;=$K24,V$5&lt;=$L24),IF(NETWORKDAYS($K24,V$5,休日)=1,"○",IF(NETWORKDAYS(V$5,$L24,休日)=1,"▶","→")),"")))</f>
        <v/>
      </c>
      <c r="W24" s="116">
        <f>IF(OR($K24="",$L24=""),"",IF(NETWORKDAYS(W$5,W$5,休日)=0,"",IF(AND(W$5&gt;=$K24,W$5&lt;=$L24),IF(NETWORKDAYS($K24,W$5,休日)=1,"○",IF(NETWORKDAYS(W$5,$L24,休日)=1,"▶","→")),"")))</f>
        <v/>
      </c>
      <c r="X24" s="116">
        <f>IF(OR($K24="",$L24=""),"",IF(NETWORKDAYS(X$5,X$5,休日)=0,"",IF(AND(X$5&gt;=$K24,X$5&lt;=$L24),IF(NETWORKDAYS($K24,X$5,休日)=1,"○",IF(NETWORKDAYS(X$5,$L24,休日)=1,"▶","→")),"")))</f>
        <v/>
      </c>
      <c r="Y24" s="116">
        <f>IF(OR($K24="",$L24=""),"",IF(NETWORKDAYS(Y$5,Y$5,休日)=0,"",IF(AND(Y$5&gt;=$K24,Y$5&lt;=$L24),IF(NETWORKDAYS($K24,Y$5,休日)=1,"○",IF(NETWORKDAYS(Y$5,$L24,休日)=1,"▶","→")),"")))</f>
        <v/>
      </c>
      <c r="Z24" s="116">
        <f>IF(OR($K24="",$L24=""),"",IF(NETWORKDAYS(Z$5,Z$5,休日)=0,"",IF(AND(Z$5&gt;=$K24,Z$5&lt;=$L24),IF(NETWORKDAYS($K24,Z$5,休日)=1,"○",IF(NETWORKDAYS(Z$5,$L24,休日)=1,"▶","→")),"")))</f>
        <v/>
      </c>
      <c r="AA24" s="116">
        <f>IF(OR($K24="",$L24=""),"",IF(NETWORKDAYS(AA$5,AA$5,休日)=0,"",IF(AND(AA$5&gt;=$K24,AA$5&lt;=$L24),IF(NETWORKDAYS($K24,AA$5,休日)=1,"○",IF(NETWORKDAYS(AA$5,$L24,休日)=1,"▶","→")),"")))</f>
        <v/>
      </c>
      <c r="AB24" s="116">
        <f>IF(OR($K24="",$L24=""),"",IF(NETWORKDAYS(AB$5,AB$5,休日)=0,"",IF(AND(AB$5&gt;=$K24,AB$5&lt;=$L24),IF(NETWORKDAYS($K24,AB$5,休日)=1,"○",IF(NETWORKDAYS(AB$5,$L24,休日)=1,"▶","→")),"")))</f>
        <v/>
      </c>
      <c r="AC24" s="116">
        <f>IF(OR($K24="",$L24=""),"",IF(NETWORKDAYS(AC$5,AC$5,休日)=0,"",IF(AND(AC$5&gt;=$K24,AC$5&lt;=$L24),IF(NETWORKDAYS($K24,AC$5,休日)=1,"○",IF(NETWORKDAYS(AC$5,$L24,休日)=1,"▶","→")),"")))</f>
        <v/>
      </c>
      <c r="AD24" s="116">
        <f>IF(OR($K24="",$L24=""),"",IF(NETWORKDAYS(AD$5,AD$5,休日)=0,"",IF(AND(AD$5&gt;=$K24,AD$5&lt;=$L24),IF(NETWORKDAYS($K24,AD$5,休日)=1,"○",IF(NETWORKDAYS(AD$5,$L24,休日)=1,"▶","→")),"")))</f>
        <v/>
      </c>
      <c r="AE24" s="116">
        <f>IF(OR($K24="",$L24=""),"",IF(NETWORKDAYS(AE$5,AE$5,休日)=0,"",IF(AND(AE$5&gt;=$K24,AE$5&lt;=$L24),IF(NETWORKDAYS($K24,AE$5,休日)=1,"○",IF(NETWORKDAYS(AE$5,$L24,休日)=1,"▶","→")),"")))</f>
        <v/>
      </c>
      <c r="AF24" s="116">
        <f>IF(OR($K24="",$L24=""),"",IF(NETWORKDAYS(AF$5,AF$5,休日)=0,"",IF(AND(AF$5&gt;=$K24,AF$5&lt;=$L24),IF(NETWORKDAYS($K24,AF$5,休日)=1,"○",IF(NETWORKDAYS(AF$5,$L24,休日)=1,"▶","→")),"")))</f>
        <v/>
      </c>
      <c r="AG24" s="116">
        <f>IF(OR($K24="",$L24=""),"",IF(NETWORKDAYS(AG$5,AG$5,休日)=0,"",IF(AND(AG$5&gt;=$K24,AG$5&lt;=$L24),IF(NETWORKDAYS($K24,AG$5,休日)=1,"○",IF(NETWORKDAYS(AG$5,$L24,休日)=1,"▶","→")),"")))</f>
        <v/>
      </c>
      <c r="AH24" s="116">
        <f>IF(OR($K24="",$L24=""),"",IF(NETWORKDAYS(AH$5,AH$5,休日)=0,"",IF(AND(AH$5&gt;=$K24,AH$5&lt;=$L24),IF(NETWORKDAYS($K24,AH$5,休日)=1,"○",IF(NETWORKDAYS(AH$5,$L24,休日)=1,"▶","→")),"")))</f>
        <v/>
      </c>
      <c r="AI24" s="116">
        <f>IF(OR($K24="",$L24=""),"",IF(NETWORKDAYS(AI$5,AI$5,休日)=0,"",IF(AND(AI$5&gt;=$K24,AI$5&lt;=$L24),IF(NETWORKDAYS($K24,AI$5,休日)=1,"○",IF(NETWORKDAYS(AI$5,$L24,休日)=1,"▶","→")),"")))</f>
        <v/>
      </c>
      <c r="AJ24" s="116">
        <f>IF(OR($K24="",$L24=""),"",IF(NETWORKDAYS(AJ$5,AJ$5,休日)=0,"",IF(AND(AJ$5&gt;=$K24,AJ$5&lt;=$L24),IF(NETWORKDAYS($K24,AJ$5,休日)=1,"○",IF(NETWORKDAYS(AJ$5,$L24,休日)=1,"▶","→")),"")))</f>
        <v/>
      </c>
      <c r="AK24" s="116">
        <f>IF(OR($K24="",$L24=""),"",IF(NETWORKDAYS(AK$5,AK$5,休日)=0,"",IF(AND(AK$5&gt;=$K24,AK$5&lt;=$L24),IF(NETWORKDAYS($K24,AK$5,休日)=1,"○",IF(NETWORKDAYS(AK$5,$L24,休日)=1,"▶","→")),"")))</f>
        <v/>
      </c>
      <c r="AL24" s="116">
        <f>IF(OR($K24="",$L24=""),"",IF(NETWORKDAYS(AL$5,AL$5,休日)=0,"",IF(AND(AL$5&gt;=$K24,AL$5&lt;=$L24),IF(NETWORKDAYS($K24,AL$5,休日)=1,"○",IF(NETWORKDAYS(AL$5,$L24,休日)=1,"▶","→")),"")))</f>
        <v/>
      </c>
      <c r="AM24" s="116">
        <f>IF(OR($K24="",$L24=""),"",IF(NETWORKDAYS(AM$5,AM$5,休日)=0,"",IF(AND(AM$5&gt;=$K24,AM$5&lt;=$L24),IF(NETWORKDAYS($K24,AM$5,休日)=1,"○",IF(NETWORKDAYS(AM$5,$L24,休日)=1,"▶","→")),"")))</f>
        <v/>
      </c>
      <c r="AN24" s="116">
        <f>IF(OR($K24="",$L24=""),"",IF(NETWORKDAYS(AN$5,AN$5,休日)=0,"",IF(AND(AN$5&gt;=$K24,AN$5&lt;=$L24),IF(NETWORKDAYS($K24,AN$5,休日)=1,"○",IF(NETWORKDAYS(AN$5,$L24,休日)=1,"▶","→")),"")))</f>
        <v/>
      </c>
      <c r="AO24" s="116">
        <f>IF(OR($K24="",$L24=""),"",IF(NETWORKDAYS(AO$5,AO$5,休日)=0,"",IF(AND(AO$5&gt;=$K24,AO$5&lt;=$L24),IF(NETWORKDAYS($K24,AO$5,休日)=1,"○",IF(NETWORKDAYS(AO$5,$L24,休日)=1,"▶","→")),"")))</f>
        <v/>
      </c>
      <c r="AP24" s="116">
        <f>IF(OR($K24="",$L24=""),"",IF(NETWORKDAYS(AP$5,AP$5,休日)=0,"",IF(AND(AP$5&gt;=$K24,AP$5&lt;=$L24),IF(NETWORKDAYS($K24,AP$5,休日)=1,"○",IF(NETWORKDAYS(AP$5,$L24,休日)=1,"▶","→")),"")))</f>
        <v/>
      </c>
      <c r="AQ24" s="116">
        <f>IF(OR($K24="",$L24=""),"",IF(NETWORKDAYS(AQ$5,AQ$5,休日)=0,"",IF(AND(AQ$5&gt;=$K24,AQ$5&lt;=$L24),IF(NETWORKDAYS($K24,AQ$5,休日)=1,"○",IF(NETWORKDAYS(AQ$5,$L24,休日)=1,"▶","→")),"")))</f>
        <v/>
      </c>
      <c r="AR24" s="116">
        <f>IF(OR($K24="",$L24=""),"",IF(NETWORKDAYS(AR$5,AR$5,休日)=0,"",IF(AND(AR$5&gt;=$K24,AR$5&lt;=$L24),IF(NETWORKDAYS($K24,AR$5,休日)=1,"○",IF(NETWORKDAYS(AR$5,$L24,休日)=1,"▶","→")),"")))</f>
        <v/>
      </c>
      <c r="AS24" s="116">
        <f>IF(OR($K24="",$L24=""),"",IF(NETWORKDAYS(AS$5,AS$5,休日)=0,"",IF(AND(AS$5&gt;=$K24,AS$5&lt;=$L24),IF(NETWORKDAYS($K24,AS$5,休日)=1,"○",IF(NETWORKDAYS(AS$5,$L24,休日)=1,"▶","→")),"")))</f>
        <v/>
      </c>
      <c r="AT24" s="116">
        <f>IF(OR($K24="",$L24=""),"",IF(NETWORKDAYS(AT$5,AT$5,休日)=0,"",IF(AND(AT$5&gt;=$K24,AT$5&lt;=$L24),IF(NETWORKDAYS($K24,AT$5,休日)=1,"○",IF(NETWORKDAYS(AT$5,$L24,休日)=1,"▶","→")),"")))</f>
        <v/>
      </c>
      <c r="AU24" s="116">
        <f>IF(OR($K24="",$L24=""),"",IF(NETWORKDAYS(AU$5,AU$5,休日)=0,"",IF(AND(AU$5&gt;=$K24,AU$5&lt;=$L24),IF(NETWORKDAYS($K24,AU$5,休日)=1,"○",IF(NETWORKDAYS(AU$5,$L24,休日)=1,"▶","→")),"")))</f>
        <v/>
      </c>
      <c r="AV24" s="116">
        <f>IF(OR($K24="",$L24=""),"",IF(NETWORKDAYS(AV$5,AV$5,休日)=0,"",IF(AND(AV$5&gt;=$K24,AV$5&lt;=$L24),IF(NETWORKDAYS($K24,AV$5,休日)=1,"○",IF(NETWORKDAYS(AV$5,$L24,休日)=1,"▶","→")),"")))</f>
        <v/>
      </c>
      <c r="AW24" s="116">
        <f>IF(OR($K24="",$L24=""),"",IF(NETWORKDAYS(AW$5,AW$5,休日)=0,"",IF(AND(AW$5&gt;=$K24,AW$5&lt;=$L24),IF(NETWORKDAYS($K24,AW$5,休日)=1,"○",IF(NETWORKDAYS(AW$5,$L24,休日)=1,"▶","→")),"")))</f>
        <v/>
      </c>
      <c r="AX24" s="116">
        <f>IF(OR($K24="",$L24=""),"",IF(NETWORKDAYS(AX$5,AX$5,休日)=0,"",IF(AND(AX$5&gt;=$K24,AX$5&lt;=$L24),IF(NETWORKDAYS($K24,AX$5,休日)=1,"○",IF(NETWORKDAYS(AX$5,$L24,休日)=1,"▶","→")),"")))</f>
        <v/>
      </c>
      <c r="AY24" s="116">
        <f>IF(OR($K24="",$L24=""),"",IF(NETWORKDAYS(AY$5,AY$5,休日)=0,"",IF(AND(AY$5&gt;=$K24,AY$5&lt;=$L24),IF(NETWORKDAYS($K24,AY$5,休日)=1,"○",IF(NETWORKDAYS(AY$5,$L24,休日)=1,"▶","→")),"")))</f>
        <v/>
      </c>
      <c r="AZ24" s="116">
        <f>IF(OR($K24="",$L24=""),"",IF(NETWORKDAYS(AZ$5,AZ$5,休日)=0,"",IF(AND(AZ$5&gt;=$K24,AZ$5&lt;=$L24),IF(NETWORKDAYS($K24,AZ$5,休日)=1,"○",IF(NETWORKDAYS(AZ$5,$L24,休日)=1,"▶","→")),"")))</f>
        <v/>
      </c>
      <c r="BA24" s="116">
        <f>IF(OR($K24="",$L24=""),"",IF(NETWORKDAYS(BA$5,BA$5,休日)=0,"",IF(AND(BA$5&gt;=$K24,BA$5&lt;=$L24),IF(NETWORKDAYS($K24,BA$5,休日)=1,"○",IF(NETWORKDAYS(BA$5,$L24,休日)=1,"▶","→")),"")))</f>
        <v/>
      </c>
      <c r="BB24" s="116">
        <f>IF(OR($K24="",$L24=""),"",IF(NETWORKDAYS(BB$5,BB$5,休日)=0,"",IF(AND(BB$5&gt;=$K24,BB$5&lt;=$L24),IF(NETWORKDAYS($K24,BB$5,休日)=1,"○",IF(NETWORKDAYS(BB$5,$L24,休日)=1,"▶","→")),"")))</f>
        <v/>
      </c>
      <c r="BC24" s="116">
        <f>IF(OR($K24="",$L24=""),"",IF(NETWORKDAYS(BC$5,BC$5,休日)=0,"",IF(AND(BC$5&gt;=$K24,BC$5&lt;=$L24),IF(NETWORKDAYS($K24,BC$5,休日)=1,"○",IF(NETWORKDAYS(BC$5,$L24,休日)=1,"▶","→")),"")))</f>
        <v/>
      </c>
      <c r="BD24" s="116">
        <f>IF(OR($K24="",$L24=""),"",IF(NETWORKDAYS(BD$5,BD$5,休日)=0,"",IF(AND(BD$5&gt;=$K24,BD$5&lt;=$L24),IF(NETWORKDAYS($K24,BD$5,休日)=1,"○",IF(NETWORKDAYS(BD$5,$L24,休日)=1,"▶","→")),"")))</f>
        <v/>
      </c>
      <c r="BE24" s="116">
        <f>IF(OR($K24="",$L24=""),"",IF(NETWORKDAYS(BE$5,BE$5,休日)=0,"",IF(AND(BE$5&gt;=$K24,BE$5&lt;=$L24),IF(NETWORKDAYS($K24,BE$5,休日)=1,"○",IF(NETWORKDAYS(BE$5,$L24,休日)=1,"▶","→")),"")))</f>
        <v/>
      </c>
      <c r="BF24" s="116">
        <f>IF(OR($K24="",$L24=""),"",IF(NETWORKDAYS(BF$5,BF$5,休日)=0,"",IF(AND(BF$5&gt;=$K24,BF$5&lt;=$L24),IF(NETWORKDAYS($K24,BF$5,休日)=1,"○",IF(NETWORKDAYS(BF$5,$L24,休日)=1,"▶","→")),"")))</f>
        <v/>
      </c>
      <c r="BG24" s="116">
        <f>IF(OR($K24="",$L24=""),"",IF(NETWORKDAYS(BG$5,BG$5,休日)=0,"",IF(AND(BG$5&gt;=$K24,BG$5&lt;=$L24),IF(NETWORKDAYS($K24,BG$5,休日)=1,"○",IF(NETWORKDAYS(BG$5,$L24,休日)=1,"▶","→")),"")))</f>
        <v/>
      </c>
      <c r="BH24" s="116">
        <f>IF(OR($K24="",$L24=""),"",IF(NETWORKDAYS(BH$5,BH$5,休日)=0,"",IF(AND(BH$5&gt;=$K24,BH$5&lt;=$L24),IF(NETWORKDAYS($K24,BH$5,休日)=1,"○",IF(NETWORKDAYS(BH$5,$L24,休日)=1,"▶","→")),"")))</f>
        <v/>
      </c>
      <c r="BI24" s="116">
        <f>IF(OR($K24="",$L24=""),"",IF(NETWORKDAYS(BI$5,BI$5,休日)=0,"",IF(AND(BI$5&gt;=$K24,BI$5&lt;=$L24),IF(NETWORKDAYS($K24,BI$5,休日)=1,"○",IF(NETWORKDAYS(BI$5,$L24,休日)=1,"▶","→")),"")))</f>
        <v/>
      </c>
      <c r="BJ24" s="116">
        <f>IF(OR($K24="",$L24=""),"",IF(NETWORKDAYS(BJ$5,BJ$5,休日)=0,"",IF(AND(BJ$5&gt;=$K24,BJ$5&lt;=$L24),IF(NETWORKDAYS($K24,BJ$5,休日)=1,"○",IF(NETWORKDAYS(BJ$5,$L24,休日)=1,"▶","→")),"")))</f>
        <v/>
      </c>
      <c r="BK24" s="116">
        <f>IF(OR($K24="",$L24=""),"",IF(NETWORKDAYS(BK$5,BK$5,休日)=0,"",IF(AND(BK$5&gt;=$K24,BK$5&lt;=$L24),IF(NETWORKDAYS($K24,BK$5,休日)=1,"○",IF(NETWORKDAYS(BK$5,$L24,休日)=1,"▶","→")),"")))</f>
        <v/>
      </c>
      <c r="BL24" s="116">
        <f>IF(OR($K24="",$L24=""),"",IF(NETWORKDAYS(BL$5,BL$5,休日)=0,"",IF(AND(BL$5&gt;=$K24,BL$5&lt;=$L24),IF(NETWORKDAYS($K24,BL$5,休日)=1,"○",IF(NETWORKDAYS(BL$5,$L24,休日)=1,"▶","→")),"")))</f>
        <v/>
      </c>
      <c r="BM24" s="116">
        <f>IF(OR($K24="",$L24=""),"",IF(NETWORKDAYS(BM$5,BM$5,休日)=0,"",IF(AND(BM$5&gt;=$K24,BM$5&lt;=$L24),IF(NETWORKDAYS($K24,BM$5,休日)=1,"○",IF(NETWORKDAYS(BM$5,$L24,休日)=1,"▶","→")),"")))</f>
        <v/>
      </c>
      <c r="BN24" s="116">
        <f>IF(OR($K24="",$L24=""),"",IF(NETWORKDAYS(BN$5,BN$5,休日)=0,"",IF(AND(BN$5&gt;=$K24,BN$5&lt;=$L24),IF(NETWORKDAYS($K24,BN$5,休日)=1,"○",IF(NETWORKDAYS(BN$5,$L24,休日)=1,"▶","→")),"")))</f>
        <v/>
      </c>
      <c r="BO24" s="116">
        <f>IF(OR($K24="",$L24=""),"",IF(NETWORKDAYS(BO$5,BO$5,休日)=0,"",IF(AND(BO$5&gt;=$K24,BO$5&lt;=$L24),IF(NETWORKDAYS($K24,BO$5,休日)=1,"○",IF(NETWORKDAYS(BO$5,$L24,休日)=1,"▶","→")),"")))</f>
        <v/>
      </c>
      <c r="BP24" s="116">
        <f>IF(OR($K24="",$L24=""),"",IF(NETWORKDAYS(BP$5,BP$5,休日)=0,"",IF(AND(BP$5&gt;=$K24,BP$5&lt;=$L24),IF(NETWORKDAYS($K24,BP$5,休日)=1,"○",IF(NETWORKDAYS(BP$5,$L24,休日)=1,"▶","→")),"")))</f>
        <v/>
      </c>
      <c r="BQ24" s="116">
        <f>IF(OR($K24="",$L24=""),"",IF(NETWORKDAYS(BQ$5,BQ$5,休日)=0,"",IF(AND(BQ$5&gt;=$K24,BQ$5&lt;=$L24),IF(NETWORKDAYS($K24,BQ$5,休日)=1,"○",IF(NETWORKDAYS(BQ$5,$L24,休日)=1,"▶","→")),"")))</f>
        <v/>
      </c>
      <c r="BR24" s="116">
        <f>IF(OR($K24="",$L24=""),"",IF(NETWORKDAYS(BR$5,BR$5,休日)=0,"",IF(AND(BR$5&gt;=$K24,BR$5&lt;=$L24),IF(NETWORKDAYS($K24,BR$5,休日)=1,"○",IF(NETWORKDAYS(BR$5,$L24,休日)=1,"▶","→")),"")))</f>
        <v/>
      </c>
      <c r="BS24" s="116">
        <f>IF(OR($K24="",$L24=""),"",IF(NETWORKDAYS(BS$5,BS$5,休日)=0,"",IF(AND(BS$5&gt;=$K24,BS$5&lt;=$L24),IF(NETWORKDAYS($K24,BS$5,休日)=1,"○",IF(NETWORKDAYS(BS$5,$L24,休日)=1,"▶","→")),"")))</f>
        <v/>
      </c>
      <c r="BT24" s="116">
        <f>IF(OR($K24="",$L24=""),"",IF(NETWORKDAYS(BT$5,BT$5,休日)=0,"",IF(AND(BT$5&gt;=$K24,BT$5&lt;=$L24),IF(NETWORKDAYS($K24,BT$5,休日)=1,"○",IF(NETWORKDAYS(BT$5,$L24,休日)=1,"▶","→")),"")))</f>
        <v/>
      </c>
      <c r="BU24" s="116">
        <f>IF(OR($K24="",$L24=""),"",IF(NETWORKDAYS(BU$5,BU$5,休日)=0,"",IF(AND(BU$5&gt;=$K24,BU$5&lt;=$L24),IF(NETWORKDAYS($K24,BU$5,休日)=1,"○",IF(NETWORKDAYS(BU$5,$L24,休日)=1,"▶","→")),"")))</f>
        <v/>
      </c>
      <c r="BV24" s="116">
        <f>IF(OR($K24="",$L24=""),"",IF(NETWORKDAYS(BV$5,BV$5,休日)=0,"",IF(AND(BV$5&gt;=$K24,BV$5&lt;=$L24),IF(NETWORKDAYS($K24,BV$5,休日)=1,"○",IF(NETWORKDAYS(BV$5,$L24,休日)=1,"▶","→")),"")))</f>
        <v/>
      </c>
      <c r="BW24" s="116">
        <f>IF(OR($K24="",$L24=""),"",IF(NETWORKDAYS(BW$5,BW$5,休日)=0,"",IF(AND(BW$5&gt;=$K24,BW$5&lt;=$L24),IF(NETWORKDAYS($K24,BW$5,休日)=1,"○",IF(NETWORKDAYS(BW$5,$L24,休日)=1,"▶","→")),"")))</f>
        <v/>
      </c>
      <c r="BX24" s="116">
        <f>IF(OR($K24="",$L24=""),"",IF(NETWORKDAYS(BX$5,BX$5,休日)=0,"",IF(AND(BX$5&gt;=$K24,BX$5&lt;=$L24),IF(NETWORKDAYS($K24,BX$5,休日)=1,"○",IF(NETWORKDAYS(BX$5,$L24,休日)=1,"▶","→")),"")))</f>
        <v/>
      </c>
      <c r="BY24" s="116">
        <f>IF(OR($K24="",$L24=""),"",IF(NETWORKDAYS(BY$5,BY$5,休日)=0,"",IF(AND(BY$5&gt;=$K24,BY$5&lt;=$L24),IF(NETWORKDAYS($K24,BY$5,休日)=1,"○",IF(NETWORKDAYS(BY$5,$L24,休日)=1,"▶","→")),"")))</f>
        <v/>
      </c>
      <c r="BZ24" s="116">
        <f>IF(OR($K24="",$L24=""),"",IF(NETWORKDAYS(BZ$5,BZ$5,休日)=0,"",IF(AND(BZ$5&gt;=$K24,BZ$5&lt;=$L24),IF(NETWORKDAYS($K24,BZ$5,休日)=1,"○",IF(NETWORKDAYS(BZ$5,$L24,休日)=1,"▶","→")),"")))</f>
        <v/>
      </c>
      <c r="CA24" s="116">
        <f>IF(OR($K24="",$L24=""),"",IF(NETWORKDAYS(CA$5,CA$5,休日)=0,"",IF(AND(CA$5&gt;=$K24,CA$5&lt;=$L24),IF(NETWORKDAYS($K24,CA$5,休日)=1,"○",IF(NETWORKDAYS(CA$5,$L24,休日)=1,"▶","→")),"")))</f>
        <v/>
      </c>
      <c r="CB24" s="116">
        <f>IF(OR($K24="",$L24=""),"",IF(NETWORKDAYS(CB$5,CB$5,休日)=0,"",IF(AND(CB$5&gt;=$K24,CB$5&lt;=$L24),IF(NETWORKDAYS($K24,CB$5,休日)=1,"○",IF(NETWORKDAYS(CB$5,$L24,休日)=1,"▶","→")),"")))</f>
        <v/>
      </c>
      <c r="CC24" s="116">
        <f>IF(OR($K24="",$L24=""),"",IF(NETWORKDAYS(CC$5,CC$5,休日)=0,"",IF(AND(CC$5&gt;=$K24,CC$5&lt;=$L24),IF(NETWORKDAYS($K24,CC$5,休日)=1,"○",IF(NETWORKDAYS(CC$5,$L24,休日)=1,"▶","→")),"")))</f>
        <v/>
      </c>
      <c r="CD24" s="116">
        <f>IF(OR($K24="",$L24=""),"",IF(NETWORKDAYS(CD$5,CD$5,休日)=0,"",IF(AND(CD$5&gt;=$K24,CD$5&lt;=$L24),IF(NETWORKDAYS($K24,CD$5,休日)=1,"○",IF(NETWORKDAYS(CD$5,$L24,休日)=1,"▶","→")),"")))</f>
        <v/>
      </c>
      <c r="CE24" s="116">
        <f>IF(OR($K24="",$L24=""),"",IF(NETWORKDAYS(CE$5,CE$5,休日)=0,"",IF(AND(CE$5&gt;=$K24,CE$5&lt;=$L24),IF(NETWORKDAYS($K24,CE$5,休日)=1,"○",IF(NETWORKDAYS(CE$5,$L24,休日)=1,"▶","→")),"")))</f>
        <v/>
      </c>
      <c r="CF24" s="116">
        <f>IF(OR($K24="",$L24=""),"",IF(NETWORKDAYS(CF$5,CF$5,休日)=0,"",IF(AND(CF$5&gt;=$K24,CF$5&lt;=$L24),IF(NETWORKDAYS($K24,CF$5,休日)=1,"○",IF(NETWORKDAYS(CF$5,$L24,休日)=1,"▶","→")),"")))</f>
        <v/>
      </c>
      <c r="CG24" s="116">
        <f>IF(OR($K24="",$L24=""),"",IF(NETWORKDAYS(CG$5,CG$5,休日)=0,"",IF(AND(CG$5&gt;=$K24,CG$5&lt;=$L24),IF(NETWORKDAYS($K24,CG$5,休日)=1,"○",IF(NETWORKDAYS(CG$5,$L24,休日)=1,"▶","→")),"")))</f>
        <v/>
      </c>
      <c r="CH24" s="116">
        <f>IF(OR($K24="",$L24=""),"",IF(NETWORKDAYS(CH$5,CH$5,休日)=0,"",IF(AND(CH$5&gt;=$K24,CH$5&lt;=$L24),IF(NETWORKDAYS($K24,CH$5,休日)=1,"○",IF(NETWORKDAYS(CH$5,$L24,休日)=1,"▶","→")),"")))</f>
        <v/>
      </c>
      <c r="CI24" s="116">
        <f>IF(OR($K24="",$L24=""),"",IF(NETWORKDAYS(CI$5,CI$5,休日)=0,"",IF(AND(CI$5&gt;=$K24,CI$5&lt;=$L24),IF(NETWORKDAYS($K24,CI$5,休日)=1,"○",IF(NETWORKDAYS(CI$5,$L24,休日)=1,"▶","→")),"")))</f>
        <v/>
      </c>
      <c r="CJ24" s="116">
        <f>IF(OR($K24="",$L24=""),"",IF(NETWORKDAYS(CJ$5,CJ$5,休日)=0,"",IF(AND(CJ$5&gt;=$K24,CJ$5&lt;=$L24),IF(NETWORKDAYS($K24,CJ$5,休日)=1,"○",IF(NETWORKDAYS(CJ$5,$L24,休日)=1,"▶","→")),"")))</f>
        <v/>
      </c>
      <c r="CK24" s="116">
        <f>IF(OR($K24="",$L24=""),"",IF(NETWORKDAYS(CK$5,CK$5,休日)=0,"",IF(AND(CK$5&gt;=$K24,CK$5&lt;=$L24),IF(NETWORKDAYS($K24,CK$5,休日)=1,"○",IF(NETWORKDAYS(CK$5,$L24,休日)=1,"▶","→")),"")))</f>
        <v/>
      </c>
      <c r="CL24" s="116">
        <f>IF(OR($K24="",$L24=""),"",IF(NETWORKDAYS(CL$5,CL$5,休日)=0,"",IF(AND(CL$5&gt;=$K24,CL$5&lt;=$L24),IF(NETWORKDAYS($K24,CL$5,休日)=1,"○",IF(NETWORKDAYS(CL$5,$L24,休日)=1,"▶","→")),"")))</f>
        <v/>
      </c>
      <c r="CM24" s="116">
        <f>IF(OR($K24="",$L24=""),"",IF(NETWORKDAYS(CM$5,CM$5,休日)=0,"",IF(AND(CM$5&gt;=$K24,CM$5&lt;=$L24),IF(NETWORKDAYS($K24,CM$5,休日)=1,"○",IF(NETWORKDAYS(CM$5,$L24,休日)=1,"▶","→")),"")))</f>
        <v/>
      </c>
      <c r="CN24" s="116">
        <f>IF(OR($K24="",$L24=""),"",IF(NETWORKDAYS(CN$5,CN$5,休日)=0,"",IF(AND(CN$5&gt;=$K24,CN$5&lt;=$L24),IF(NETWORKDAYS($K24,CN$5,休日)=1,"○",IF(NETWORKDAYS(CN$5,$L24,休日)=1,"▶","→")),"")))</f>
        <v/>
      </c>
      <c r="CO24" s="116">
        <f>IF(OR($K24="",$L24=""),"",IF(NETWORKDAYS(CO$5,CO$5,休日)=0,"",IF(AND(CO$5&gt;=$K24,CO$5&lt;=$L24),IF(NETWORKDAYS($K24,CO$5,休日)=1,"○",IF(NETWORKDAYS(CO$5,$L24,休日)=1,"▶","→")),"")))</f>
        <v/>
      </c>
    </row>
    <row r="25" ht="32" customHeight="1" s="98">
      <c r="A25" s="5" t="n"/>
      <c r="B25" s="100" t="inlineStr">
        <is>
          <t>2.1.5</t>
        </is>
      </c>
      <c r="C25" s="101" t="inlineStr">
        <is>
          <t>詳細設計</t>
        </is>
      </c>
      <c r="D25" s="101" t="inlineStr">
        <is>
          <t>Layer①</t>
        </is>
      </c>
      <c r="E25" s="101" t="inlineStr">
        <is>
          <t>発注勧告を生鮮統合発注用に変換</t>
        </is>
      </c>
      <c r="F25" s="101" t="inlineStr">
        <is>
          <t>発注勧告を生鮮統合発注用に変換</t>
        </is>
      </c>
      <c r="G25" s="100" t="inlineStr">
        <is>
          <t>新規</t>
        </is>
      </c>
      <c r="H25" s="100" t="inlineStr">
        <is>
          <t>臧鹏仕</t>
        </is>
      </c>
      <c r="I25" s="113" t="n">
        <v>5</v>
      </c>
      <c r="J25" s="100" t="inlineStr">
        <is>
          <t>－</t>
        </is>
      </c>
      <c r="K25" s="114" t="n">
        <v>46342</v>
      </c>
      <c r="L25" s="114" t="n">
        <v>46351</v>
      </c>
      <c r="M25" s="114" t="n"/>
      <c r="N25" s="114" t="n"/>
      <c r="O25" s="100" t="inlineStr">
        <is>
          <t>未着手</t>
        </is>
      </c>
      <c r="P25" s="115" t="n">
        <v>0</v>
      </c>
      <c r="Q25" s="100" t="inlineStr">
        <is>
          <t>－</t>
        </is>
      </c>
      <c r="R25" s="101" t="inlineStr">
        <is>
          <t>11/16開始、11/25に閉じる。開発へは11/26から。Layer①とLayer③の期間は出典で分離されていない。同一期間を記入</t>
        </is>
      </c>
      <c r="S25" s="116">
        <f>IF(OR($K25="",$L25=""),"",IF(NETWORKDAYS(S$5,S$5,休日)=0,"",IF(AND(S$5&gt;=$K25,S$5&lt;=$L25),IF(NETWORKDAYS($K25,S$5,休日)=1,"○",IF(NETWORKDAYS(S$5,$L25,休日)=1,"▶","→")),"")))</f>
        <v/>
      </c>
      <c r="T25" s="116">
        <f>IF(OR($K25="",$L25=""),"",IF(NETWORKDAYS(T$5,T$5,休日)=0,"",IF(AND(T$5&gt;=$K25,T$5&lt;=$L25),IF(NETWORKDAYS($K25,T$5,休日)=1,"○",IF(NETWORKDAYS(T$5,$L25,休日)=1,"▶","→")),"")))</f>
        <v/>
      </c>
      <c r="U25" s="116">
        <f>IF(OR($K25="",$L25=""),"",IF(NETWORKDAYS(U$5,U$5,休日)=0,"",IF(AND(U$5&gt;=$K25,U$5&lt;=$L25),IF(NETWORKDAYS($K25,U$5,休日)=1,"○",IF(NETWORKDAYS(U$5,$L25,休日)=1,"▶","→")),"")))</f>
        <v/>
      </c>
      <c r="V25" s="116">
        <f>IF(OR($K25="",$L25=""),"",IF(NETWORKDAYS(V$5,V$5,休日)=0,"",IF(AND(V$5&gt;=$K25,V$5&lt;=$L25),IF(NETWORKDAYS($K25,V$5,休日)=1,"○",IF(NETWORKDAYS(V$5,$L25,休日)=1,"▶","→")),"")))</f>
        <v/>
      </c>
      <c r="W25" s="116">
        <f>IF(OR($K25="",$L25=""),"",IF(NETWORKDAYS(W$5,W$5,休日)=0,"",IF(AND(W$5&gt;=$K25,W$5&lt;=$L25),IF(NETWORKDAYS($K25,W$5,休日)=1,"○",IF(NETWORKDAYS(W$5,$L25,休日)=1,"▶","→")),"")))</f>
        <v/>
      </c>
      <c r="X25" s="116">
        <f>IF(OR($K25="",$L25=""),"",IF(NETWORKDAYS(X$5,X$5,休日)=0,"",IF(AND(X$5&gt;=$K25,X$5&lt;=$L25),IF(NETWORKDAYS($K25,X$5,休日)=1,"○",IF(NETWORKDAYS(X$5,$L25,休日)=1,"▶","→")),"")))</f>
        <v/>
      </c>
      <c r="Y25" s="116">
        <f>IF(OR($K25="",$L25=""),"",IF(NETWORKDAYS(Y$5,Y$5,休日)=0,"",IF(AND(Y$5&gt;=$K25,Y$5&lt;=$L25),IF(NETWORKDAYS($K25,Y$5,休日)=1,"○",IF(NETWORKDAYS(Y$5,$L25,休日)=1,"▶","→")),"")))</f>
        <v/>
      </c>
      <c r="Z25" s="116">
        <f>IF(OR($K25="",$L25=""),"",IF(NETWORKDAYS(Z$5,Z$5,休日)=0,"",IF(AND(Z$5&gt;=$K25,Z$5&lt;=$L25),IF(NETWORKDAYS($K25,Z$5,休日)=1,"○",IF(NETWORKDAYS(Z$5,$L25,休日)=1,"▶","→")),"")))</f>
        <v/>
      </c>
      <c r="AA25" s="116">
        <f>IF(OR($K25="",$L25=""),"",IF(NETWORKDAYS(AA$5,AA$5,休日)=0,"",IF(AND(AA$5&gt;=$K25,AA$5&lt;=$L25),IF(NETWORKDAYS($K25,AA$5,休日)=1,"○",IF(NETWORKDAYS(AA$5,$L25,休日)=1,"▶","→")),"")))</f>
        <v/>
      </c>
      <c r="AB25" s="116">
        <f>IF(OR($K25="",$L25=""),"",IF(NETWORKDAYS(AB$5,AB$5,休日)=0,"",IF(AND(AB$5&gt;=$K25,AB$5&lt;=$L25),IF(NETWORKDAYS($K25,AB$5,休日)=1,"○",IF(NETWORKDAYS(AB$5,$L25,休日)=1,"▶","→")),"")))</f>
        <v/>
      </c>
      <c r="AC25" s="116">
        <f>IF(OR($K25="",$L25=""),"",IF(NETWORKDAYS(AC$5,AC$5,休日)=0,"",IF(AND(AC$5&gt;=$K25,AC$5&lt;=$L25),IF(NETWORKDAYS($K25,AC$5,休日)=1,"○",IF(NETWORKDAYS(AC$5,$L25,休日)=1,"▶","→")),"")))</f>
        <v/>
      </c>
      <c r="AD25" s="116">
        <f>IF(OR($K25="",$L25=""),"",IF(NETWORKDAYS(AD$5,AD$5,休日)=0,"",IF(AND(AD$5&gt;=$K25,AD$5&lt;=$L25),IF(NETWORKDAYS($K25,AD$5,休日)=1,"○",IF(NETWORKDAYS(AD$5,$L25,休日)=1,"▶","→")),"")))</f>
        <v/>
      </c>
      <c r="AE25" s="116">
        <f>IF(OR($K25="",$L25=""),"",IF(NETWORKDAYS(AE$5,AE$5,休日)=0,"",IF(AND(AE$5&gt;=$K25,AE$5&lt;=$L25),IF(NETWORKDAYS($K25,AE$5,休日)=1,"○",IF(NETWORKDAYS(AE$5,$L25,休日)=1,"▶","→")),"")))</f>
        <v/>
      </c>
      <c r="AF25" s="116">
        <f>IF(OR($K25="",$L25=""),"",IF(NETWORKDAYS(AF$5,AF$5,休日)=0,"",IF(AND(AF$5&gt;=$K25,AF$5&lt;=$L25),IF(NETWORKDAYS($K25,AF$5,休日)=1,"○",IF(NETWORKDAYS(AF$5,$L25,休日)=1,"▶","→")),"")))</f>
        <v/>
      </c>
      <c r="AG25" s="116">
        <f>IF(OR($K25="",$L25=""),"",IF(NETWORKDAYS(AG$5,AG$5,休日)=0,"",IF(AND(AG$5&gt;=$K25,AG$5&lt;=$L25),IF(NETWORKDAYS($K25,AG$5,休日)=1,"○",IF(NETWORKDAYS(AG$5,$L25,休日)=1,"▶","→")),"")))</f>
        <v/>
      </c>
      <c r="AH25" s="116">
        <f>IF(OR($K25="",$L25=""),"",IF(NETWORKDAYS(AH$5,AH$5,休日)=0,"",IF(AND(AH$5&gt;=$K25,AH$5&lt;=$L25),IF(NETWORKDAYS($K25,AH$5,休日)=1,"○",IF(NETWORKDAYS(AH$5,$L25,休日)=1,"▶","→")),"")))</f>
        <v/>
      </c>
      <c r="AI25" s="116">
        <f>IF(OR($K25="",$L25=""),"",IF(NETWORKDAYS(AI$5,AI$5,休日)=0,"",IF(AND(AI$5&gt;=$K25,AI$5&lt;=$L25),IF(NETWORKDAYS($K25,AI$5,休日)=1,"○",IF(NETWORKDAYS(AI$5,$L25,休日)=1,"▶","→")),"")))</f>
        <v/>
      </c>
      <c r="AJ25" s="116">
        <f>IF(OR($K25="",$L25=""),"",IF(NETWORKDAYS(AJ$5,AJ$5,休日)=0,"",IF(AND(AJ$5&gt;=$K25,AJ$5&lt;=$L25),IF(NETWORKDAYS($K25,AJ$5,休日)=1,"○",IF(NETWORKDAYS(AJ$5,$L25,休日)=1,"▶","→")),"")))</f>
        <v/>
      </c>
      <c r="AK25" s="116">
        <f>IF(OR($K25="",$L25=""),"",IF(NETWORKDAYS(AK$5,AK$5,休日)=0,"",IF(AND(AK$5&gt;=$K25,AK$5&lt;=$L25),IF(NETWORKDAYS($K25,AK$5,休日)=1,"○",IF(NETWORKDAYS(AK$5,$L25,休日)=1,"▶","→")),"")))</f>
        <v/>
      </c>
      <c r="AL25" s="116">
        <f>IF(OR($K25="",$L25=""),"",IF(NETWORKDAYS(AL$5,AL$5,休日)=0,"",IF(AND(AL$5&gt;=$K25,AL$5&lt;=$L25),IF(NETWORKDAYS($K25,AL$5,休日)=1,"○",IF(NETWORKDAYS(AL$5,$L25,休日)=1,"▶","→")),"")))</f>
        <v/>
      </c>
      <c r="AM25" s="116">
        <f>IF(OR($K25="",$L25=""),"",IF(NETWORKDAYS(AM$5,AM$5,休日)=0,"",IF(AND(AM$5&gt;=$K25,AM$5&lt;=$L25),IF(NETWORKDAYS($K25,AM$5,休日)=1,"○",IF(NETWORKDAYS(AM$5,$L25,休日)=1,"▶","→")),"")))</f>
        <v/>
      </c>
      <c r="AN25" s="116">
        <f>IF(OR($K25="",$L25=""),"",IF(NETWORKDAYS(AN$5,AN$5,休日)=0,"",IF(AND(AN$5&gt;=$K25,AN$5&lt;=$L25),IF(NETWORKDAYS($K25,AN$5,休日)=1,"○",IF(NETWORKDAYS(AN$5,$L25,休日)=1,"▶","→")),"")))</f>
        <v/>
      </c>
      <c r="AO25" s="116">
        <f>IF(OR($K25="",$L25=""),"",IF(NETWORKDAYS(AO$5,AO$5,休日)=0,"",IF(AND(AO$5&gt;=$K25,AO$5&lt;=$L25),IF(NETWORKDAYS($K25,AO$5,休日)=1,"○",IF(NETWORKDAYS(AO$5,$L25,休日)=1,"▶","→")),"")))</f>
        <v/>
      </c>
      <c r="AP25" s="116">
        <f>IF(OR($K25="",$L25=""),"",IF(NETWORKDAYS(AP$5,AP$5,休日)=0,"",IF(AND(AP$5&gt;=$K25,AP$5&lt;=$L25),IF(NETWORKDAYS($K25,AP$5,休日)=1,"○",IF(NETWORKDAYS(AP$5,$L25,休日)=1,"▶","→")),"")))</f>
        <v/>
      </c>
      <c r="AQ25" s="116">
        <f>IF(OR($K25="",$L25=""),"",IF(NETWORKDAYS(AQ$5,AQ$5,休日)=0,"",IF(AND(AQ$5&gt;=$K25,AQ$5&lt;=$L25),IF(NETWORKDAYS($K25,AQ$5,休日)=1,"○",IF(NETWORKDAYS(AQ$5,$L25,休日)=1,"▶","→")),"")))</f>
        <v/>
      </c>
      <c r="AR25" s="116">
        <f>IF(OR($K25="",$L25=""),"",IF(NETWORKDAYS(AR$5,AR$5,休日)=0,"",IF(AND(AR$5&gt;=$K25,AR$5&lt;=$L25),IF(NETWORKDAYS($K25,AR$5,休日)=1,"○",IF(NETWORKDAYS(AR$5,$L25,休日)=1,"▶","→")),"")))</f>
        <v/>
      </c>
      <c r="AS25" s="116">
        <f>IF(OR($K25="",$L25=""),"",IF(NETWORKDAYS(AS$5,AS$5,休日)=0,"",IF(AND(AS$5&gt;=$K25,AS$5&lt;=$L25),IF(NETWORKDAYS($K25,AS$5,休日)=1,"○",IF(NETWORKDAYS(AS$5,$L25,休日)=1,"▶","→")),"")))</f>
        <v/>
      </c>
      <c r="AT25" s="116">
        <f>IF(OR($K25="",$L25=""),"",IF(NETWORKDAYS(AT$5,AT$5,休日)=0,"",IF(AND(AT$5&gt;=$K25,AT$5&lt;=$L25),IF(NETWORKDAYS($K25,AT$5,休日)=1,"○",IF(NETWORKDAYS(AT$5,$L25,休日)=1,"▶","→")),"")))</f>
        <v/>
      </c>
      <c r="AU25" s="116">
        <f>IF(OR($K25="",$L25=""),"",IF(NETWORKDAYS(AU$5,AU$5,休日)=0,"",IF(AND(AU$5&gt;=$K25,AU$5&lt;=$L25),IF(NETWORKDAYS($K25,AU$5,休日)=1,"○",IF(NETWORKDAYS(AU$5,$L25,休日)=1,"▶","→")),"")))</f>
        <v/>
      </c>
      <c r="AV25" s="116">
        <f>IF(OR($K25="",$L25=""),"",IF(NETWORKDAYS(AV$5,AV$5,休日)=0,"",IF(AND(AV$5&gt;=$K25,AV$5&lt;=$L25),IF(NETWORKDAYS($K25,AV$5,休日)=1,"○",IF(NETWORKDAYS(AV$5,$L25,休日)=1,"▶","→")),"")))</f>
        <v/>
      </c>
      <c r="AW25" s="116">
        <f>IF(OR($K25="",$L25=""),"",IF(NETWORKDAYS(AW$5,AW$5,休日)=0,"",IF(AND(AW$5&gt;=$K25,AW$5&lt;=$L25),IF(NETWORKDAYS($K25,AW$5,休日)=1,"○",IF(NETWORKDAYS(AW$5,$L25,休日)=1,"▶","→")),"")))</f>
        <v/>
      </c>
      <c r="AX25" s="116">
        <f>IF(OR($K25="",$L25=""),"",IF(NETWORKDAYS(AX$5,AX$5,休日)=0,"",IF(AND(AX$5&gt;=$K25,AX$5&lt;=$L25),IF(NETWORKDAYS($K25,AX$5,休日)=1,"○",IF(NETWORKDAYS(AX$5,$L25,休日)=1,"▶","→")),"")))</f>
        <v/>
      </c>
      <c r="AY25" s="116">
        <f>IF(OR($K25="",$L25=""),"",IF(NETWORKDAYS(AY$5,AY$5,休日)=0,"",IF(AND(AY$5&gt;=$K25,AY$5&lt;=$L25),IF(NETWORKDAYS($K25,AY$5,休日)=1,"○",IF(NETWORKDAYS(AY$5,$L25,休日)=1,"▶","→")),"")))</f>
        <v/>
      </c>
      <c r="AZ25" s="116">
        <f>IF(OR($K25="",$L25=""),"",IF(NETWORKDAYS(AZ$5,AZ$5,休日)=0,"",IF(AND(AZ$5&gt;=$K25,AZ$5&lt;=$L25),IF(NETWORKDAYS($K25,AZ$5,休日)=1,"○",IF(NETWORKDAYS(AZ$5,$L25,休日)=1,"▶","→")),"")))</f>
        <v/>
      </c>
      <c r="BA25" s="116">
        <f>IF(OR($K25="",$L25=""),"",IF(NETWORKDAYS(BA$5,BA$5,休日)=0,"",IF(AND(BA$5&gt;=$K25,BA$5&lt;=$L25),IF(NETWORKDAYS($K25,BA$5,休日)=1,"○",IF(NETWORKDAYS(BA$5,$L25,休日)=1,"▶","→")),"")))</f>
        <v/>
      </c>
      <c r="BB25" s="116">
        <f>IF(OR($K25="",$L25=""),"",IF(NETWORKDAYS(BB$5,BB$5,休日)=0,"",IF(AND(BB$5&gt;=$K25,BB$5&lt;=$L25),IF(NETWORKDAYS($K25,BB$5,休日)=1,"○",IF(NETWORKDAYS(BB$5,$L25,休日)=1,"▶","→")),"")))</f>
        <v/>
      </c>
      <c r="BC25" s="116">
        <f>IF(OR($K25="",$L25=""),"",IF(NETWORKDAYS(BC$5,BC$5,休日)=0,"",IF(AND(BC$5&gt;=$K25,BC$5&lt;=$L25),IF(NETWORKDAYS($K25,BC$5,休日)=1,"○",IF(NETWORKDAYS(BC$5,$L25,休日)=1,"▶","→")),"")))</f>
        <v/>
      </c>
      <c r="BD25" s="116">
        <f>IF(OR($K25="",$L25=""),"",IF(NETWORKDAYS(BD$5,BD$5,休日)=0,"",IF(AND(BD$5&gt;=$K25,BD$5&lt;=$L25),IF(NETWORKDAYS($K25,BD$5,休日)=1,"○",IF(NETWORKDAYS(BD$5,$L25,休日)=1,"▶","→")),"")))</f>
        <v/>
      </c>
      <c r="BE25" s="116">
        <f>IF(OR($K25="",$L25=""),"",IF(NETWORKDAYS(BE$5,BE$5,休日)=0,"",IF(AND(BE$5&gt;=$K25,BE$5&lt;=$L25),IF(NETWORKDAYS($K25,BE$5,休日)=1,"○",IF(NETWORKDAYS(BE$5,$L25,休日)=1,"▶","→")),"")))</f>
        <v/>
      </c>
      <c r="BF25" s="116">
        <f>IF(OR($K25="",$L25=""),"",IF(NETWORKDAYS(BF$5,BF$5,休日)=0,"",IF(AND(BF$5&gt;=$K25,BF$5&lt;=$L25),IF(NETWORKDAYS($K25,BF$5,休日)=1,"○",IF(NETWORKDAYS(BF$5,$L25,休日)=1,"▶","→")),"")))</f>
        <v/>
      </c>
      <c r="BG25" s="116">
        <f>IF(OR($K25="",$L25=""),"",IF(NETWORKDAYS(BG$5,BG$5,休日)=0,"",IF(AND(BG$5&gt;=$K25,BG$5&lt;=$L25),IF(NETWORKDAYS($K25,BG$5,休日)=1,"○",IF(NETWORKDAYS(BG$5,$L25,休日)=1,"▶","→")),"")))</f>
        <v/>
      </c>
      <c r="BH25" s="116">
        <f>IF(OR($K25="",$L25=""),"",IF(NETWORKDAYS(BH$5,BH$5,休日)=0,"",IF(AND(BH$5&gt;=$K25,BH$5&lt;=$L25),IF(NETWORKDAYS($K25,BH$5,休日)=1,"○",IF(NETWORKDAYS(BH$5,$L25,休日)=1,"▶","→")),"")))</f>
        <v/>
      </c>
      <c r="BI25" s="116">
        <f>IF(OR($K25="",$L25=""),"",IF(NETWORKDAYS(BI$5,BI$5,休日)=0,"",IF(AND(BI$5&gt;=$K25,BI$5&lt;=$L25),IF(NETWORKDAYS($K25,BI$5,休日)=1,"○",IF(NETWORKDAYS(BI$5,$L25,休日)=1,"▶","→")),"")))</f>
        <v/>
      </c>
      <c r="BJ25" s="116">
        <f>IF(OR($K25="",$L25=""),"",IF(NETWORKDAYS(BJ$5,BJ$5,休日)=0,"",IF(AND(BJ$5&gt;=$K25,BJ$5&lt;=$L25),IF(NETWORKDAYS($K25,BJ$5,休日)=1,"○",IF(NETWORKDAYS(BJ$5,$L25,休日)=1,"▶","→")),"")))</f>
        <v/>
      </c>
      <c r="BK25" s="116">
        <f>IF(OR($K25="",$L25=""),"",IF(NETWORKDAYS(BK$5,BK$5,休日)=0,"",IF(AND(BK$5&gt;=$K25,BK$5&lt;=$L25),IF(NETWORKDAYS($K25,BK$5,休日)=1,"○",IF(NETWORKDAYS(BK$5,$L25,休日)=1,"▶","→")),"")))</f>
        <v/>
      </c>
      <c r="BL25" s="116">
        <f>IF(OR($K25="",$L25=""),"",IF(NETWORKDAYS(BL$5,BL$5,休日)=0,"",IF(AND(BL$5&gt;=$K25,BL$5&lt;=$L25),IF(NETWORKDAYS($K25,BL$5,休日)=1,"○",IF(NETWORKDAYS(BL$5,$L25,休日)=1,"▶","→")),"")))</f>
        <v/>
      </c>
      <c r="BM25" s="116">
        <f>IF(OR($K25="",$L25=""),"",IF(NETWORKDAYS(BM$5,BM$5,休日)=0,"",IF(AND(BM$5&gt;=$K25,BM$5&lt;=$L25),IF(NETWORKDAYS($K25,BM$5,休日)=1,"○",IF(NETWORKDAYS(BM$5,$L25,休日)=1,"▶","→")),"")))</f>
        <v/>
      </c>
      <c r="BN25" s="116">
        <f>IF(OR($K25="",$L25=""),"",IF(NETWORKDAYS(BN$5,BN$5,休日)=0,"",IF(AND(BN$5&gt;=$K25,BN$5&lt;=$L25),IF(NETWORKDAYS($K25,BN$5,休日)=1,"○",IF(NETWORKDAYS(BN$5,$L25,休日)=1,"▶","→")),"")))</f>
        <v/>
      </c>
      <c r="BO25" s="116">
        <f>IF(OR($K25="",$L25=""),"",IF(NETWORKDAYS(BO$5,BO$5,休日)=0,"",IF(AND(BO$5&gt;=$K25,BO$5&lt;=$L25),IF(NETWORKDAYS($K25,BO$5,休日)=1,"○",IF(NETWORKDAYS(BO$5,$L25,休日)=1,"▶","→")),"")))</f>
        <v/>
      </c>
      <c r="BP25" s="116">
        <f>IF(OR($K25="",$L25=""),"",IF(NETWORKDAYS(BP$5,BP$5,休日)=0,"",IF(AND(BP$5&gt;=$K25,BP$5&lt;=$L25),IF(NETWORKDAYS($K25,BP$5,休日)=1,"○",IF(NETWORKDAYS(BP$5,$L25,休日)=1,"▶","→")),"")))</f>
        <v/>
      </c>
      <c r="BQ25" s="116">
        <f>IF(OR($K25="",$L25=""),"",IF(NETWORKDAYS(BQ$5,BQ$5,休日)=0,"",IF(AND(BQ$5&gt;=$K25,BQ$5&lt;=$L25),IF(NETWORKDAYS($K25,BQ$5,休日)=1,"○",IF(NETWORKDAYS(BQ$5,$L25,休日)=1,"▶","→")),"")))</f>
        <v/>
      </c>
      <c r="BR25" s="116">
        <f>IF(OR($K25="",$L25=""),"",IF(NETWORKDAYS(BR$5,BR$5,休日)=0,"",IF(AND(BR$5&gt;=$K25,BR$5&lt;=$L25),IF(NETWORKDAYS($K25,BR$5,休日)=1,"○",IF(NETWORKDAYS(BR$5,$L25,休日)=1,"▶","→")),"")))</f>
        <v/>
      </c>
      <c r="BS25" s="116">
        <f>IF(OR($K25="",$L25=""),"",IF(NETWORKDAYS(BS$5,BS$5,休日)=0,"",IF(AND(BS$5&gt;=$K25,BS$5&lt;=$L25),IF(NETWORKDAYS($K25,BS$5,休日)=1,"○",IF(NETWORKDAYS(BS$5,$L25,休日)=1,"▶","→")),"")))</f>
        <v/>
      </c>
      <c r="BT25" s="116">
        <f>IF(OR($K25="",$L25=""),"",IF(NETWORKDAYS(BT$5,BT$5,休日)=0,"",IF(AND(BT$5&gt;=$K25,BT$5&lt;=$L25),IF(NETWORKDAYS($K25,BT$5,休日)=1,"○",IF(NETWORKDAYS(BT$5,$L25,休日)=1,"▶","→")),"")))</f>
        <v/>
      </c>
      <c r="BU25" s="116">
        <f>IF(OR($K25="",$L25=""),"",IF(NETWORKDAYS(BU$5,BU$5,休日)=0,"",IF(AND(BU$5&gt;=$K25,BU$5&lt;=$L25),IF(NETWORKDAYS($K25,BU$5,休日)=1,"○",IF(NETWORKDAYS(BU$5,$L25,休日)=1,"▶","→")),"")))</f>
        <v/>
      </c>
      <c r="BV25" s="116">
        <f>IF(OR($K25="",$L25=""),"",IF(NETWORKDAYS(BV$5,BV$5,休日)=0,"",IF(AND(BV$5&gt;=$K25,BV$5&lt;=$L25),IF(NETWORKDAYS($K25,BV$5,休日)=1,"○",IF(NETWORKDAYS(BV$5,$L25,休日)=1,"▶","→")),"")))</f>
        <v/>
      </c>
      <c r="BW25" s="116">
        <f>IF(OR($K25="",$L25=""),"",IF(NETWORKDAYS(BW$5,BW$5,休日)=0,"",IF(AND(BW$5&gt;=$K25,BW$5&lt;=$L25),IF(NETWORKDAYS($K25,BW$5,休日)=1,"○",IF(NETWORKDAYS(BW$5,$L25,休日)=1,"▶","→")),"")))</f>
        <v/>
      </c>
      <c r="BX25" s="116">
        <f>IF(OR($K25="",$L25=""),"",IF(NETWORKDAYS(BX$5,BX$5,休日)=0,"",IF(AND(BX$5&gt;=$K25,BX$5&lt;=$L25),IF(NETWORKDAYS($K25,BX$5,休日)=1,"○",IF(NETWORKDAYS(BX$5,$L25,休日)=1,"▶","→")),"")))</f>
        <v/>
      </c>
      <c r="BY25" s="116">
        <f>IF(OR($K25="",$L25=""),"",IF(NETWORKDAYS(BY$5,BY$5,休日)=0,"",IF(AND(BY$5&gt;=$K25,BY$5&lt;=$L25),IF(NETWORKDAYS($K25,BY$5,休日)=1,"○",IF(NETWORKDAYS(BY$5,$L25,休日)=1,"▶","→")),"")))</f>
        <v/>
      </c>
      <c r="BZ25" s="116">
        <f>IF(OR($K25="",$L25=""),"",IF(NETWORKDAYS(BZ$5,BZ$5,休日)=0,"",IF(AND(BZ$5&gt;=$K25,BZ$5&lt;=$L25),IF(NETWORKDAYS($K25,BZ$5,休日)=1,"○",IF(NETWORKDAYS(BZ$5,$L25,休日)=1,"▶","→")),"")))</f>
        <v/>
      </c>
      <c r="CA25" s="116">
        <f>IF(OR($K25="",$L25=""),"",IF(NETWORKDAYS(CA$5,CA$5,休日)=0,"",IF(AND(CA$5&gt;=$K25,CA$5&lt;=$L25),IF(NETWORKDAYS($K25,CA$5,休日)=1,"○",IF(NETWORKDAYS(CA$5,$L25,休日)=1,"▶","→")),"")))</f>
        <v/>
      </c>
      <c r="CB25" s="116">
        <f>IF(OR($K25="",$L25=""),"",IF(NETWORKDAYS(CB$5,CB$5,休日)=0,"",IF(AND(CB$5&gt;=$K25,CB$5&lt;=$L25),IF(NETWORKDAYS($K25,CB$5,休日)=1,"○",IF(NETWORKDAYS(CB$5,$L25,休日)=1,"▶","→")),"")))</f>
        <v/>
      </c>
      <c r="CC25" s="116">
        <f>IF(OR($K25="",$L25=""),"",IF(NETWORKDAYS(CC$5,CC$5,休日)=0,"",IF(AND(CC$5&gt;=$K25,CC$5&lt;=$L25),IF(NETWORKDAYS($K25,CC$5,休日)=1,"○",IF(NETWORKDAYS(CC$5,$L25,休日)=1,"▶","→")),"")))</f>
        <v/>
      </c>
      <c r="CD25" s="116">
        <f>IF(OR($K25="",$L25=""),"",IF(NETWORKDAYS(CD$5,CD$5,休日)=0,"",IF(AND(CD$5&gt;=$K25,CD$5&lt;=$L25),IF(NETWORKDAYS($K25,CD$5,休日)=1,"○",IF(NETWORKDAYS(CD$5,$L25,休日)=1,"▶","→")),"")))</f>
        <v/>
      </c>
      <c r="CE25" s="116">
        <f>IF(OR($K25="",$L25=""),"",IF(NETWORKDAYS(CE$5,CE$5,休日)=0,"",IF(AND(CE$5&gt;=$K25,CE$5&lt;=$L25),IF(NETWORKDAYS($K25,CE$5,休日)=1,"○",IF(NETWORKDAYS(CE$5,$L25,休日)=1,"▶","→")),"")))</f>
        <v/>
      </c>
      <c r="CF25" s="116">
        <f>IF(OR($K25="",$L25=""),"",IF(NETWORKDAYS(CF$5,CF$5,休日)=0,"",IF(AND(CF$5&gt;=$K25,CF$5&lt;=$L25),IF(NETWORKDAYS($K25,CF$5,休日)=1,"○",IF(NETWORKDAYS(CF$5,$L25,休日)=1,"▶","→")),"")))</f>
        <v/>
      </c>
      <c r="CG25" s="116">
        <f>IF(OR($K25="",$L25=""),"",IF(NETWORKDAYS(CG$5,CG$5,休日)=0,"",IF(AND(CG$5&gt;=$K25,CG$5&lt;=$L25),IF(NETWORKDAYS($K25,CG$5,休日)=1,"○",IF(NETWORKDAYS(CG$5,$L25,休日)=1,"▶","→")),"")))</f>
        <v/>
      </c>
      <c r="CH25" s="116">
        <f>IF(OR($K25="",$L25=""),"",IF(NETWORKDAYS(CH$5,CH$5,休日)=0,"",IF(AND(CH$5&gt;=$K25,CH$5&lt;=$L25),IF(NETWORKDAYS($K25,CH$5,休日)=1,"○",IF(NETWORKDAYS(CH$5,$L25,休日)=1,"▶","→")),"")))</f>
        <v/>
      </c>
      <c r="CI25" s="116">
        <f>IF(OR($K25="",$L25=""),"",IF(NETWORKDAYS(CI$5,CI$5,休日)=0,"",IF(AND(CI$5&gt;=$K25,CI$5&lt;=$L25),IF(NETWORKDAYS($K25,CI$5,休日)=1,"○",IF(NETWORKDAYS(CI$5,$L25,休日)=1,"▶","→")),"")))</f>
        <v/>
      </c>
      <c r="CJ25" s="116">
        <f>IF(OR($K25="",$L25=""),"",IF(NETWORKDAYS(CJ$5,CJ$5,休日)=0,"",IF(AND(CJ$5&gt;=$K25,CJ$5&lt;=$L25),IF(NETWORKDAYS($K25,CJ$5,休日)=1,"○",IF(NETWORKDAYS(CJ$5,$L25,休日)=1,"▶","→")),"")))</f>
        <v/>
      </c>
      <c r="CK25" s="116">
        <f>IF(OR($K25="",$L25=""),"",IF(NETWORKDAYS(CK$5,CK$5,休日)=0,"",IF(AND(CK$5&gt;=$K25,CK$5&lt;=$L25),IF(NETWORKDAYS($K25,CK$5,休日)=1,"○",IF(NETWORKDAYS(CK$5,$L25,休日)=1,"▶","→")),"")))</f>
        <v/>
      </c>
      <c r="CL25" s="116">
        <f>IF(OR($K25="",$L25=""),"",IF(NETWORKDAYS(CL$5,CL$5,休日)=0,"",IF(AND(CL$5&gt;=$K25,CL$5&lt;=$L25),IF(NETWORKDAYS($K25,CL$5,休日)=1,"○",IF(NETWORKDAYS(CL$5,$L25,休日)=1,"▶","→")),"")))</f>
        <v/>
      </c>
      <c r="CM25" s="116">
        <f>IF(OR($K25="",$L25=""),"",IF(NETWORKDAYS(CM$5,CM$5,休日)=0,"",IF(AND(CM$5&gt;=$K25,CM$5&lt;=$L25),IF(NETWORKDAYS($K25,CM$5,休日)=1,"○",IF(NETWORKDAYS(CM$5,$L25,休日)=1,"▶","→")),"")))</f>
        <v/>
      </c>
      <c r="CN25" s="116">
        <f>IF(OR($K25="",$L25=""),"",IF(NETWORKDAYS(CN$5,CN$5,休日)=0,"",IF(AND(CN$5&gt;=$K25,CN$5&lt;=$L25),IF(NETWORKDAYS($K25,CN$5,休日)=1,"○",IF(NETWORKDAYS(CN$5,$L25,休日)=1,"▶","→")),"")))</f>
        <v/>
      </c>
      <c r="CO25" s="116">
        <f>IF(OR($K25="",$L25=""),"",IF(NETWORKDAYS(CO$5,CO$5,休日)=0,"",IF(AND(CO$5&gt;=$K25,CO$5&lt;=$L25),IF(NETWORKDAYS($K25,CO$5,休日)=1,"○",IF(NETWORKDAYS(CO$5,$L25,休日)=1,"▶","→")),"")))</f>
        <v/>
      </c>
    </row>
    <row r="26" ht="32" customHeight="1" s="98">
      <c r="A26" s="5" t="n"/>
      <c r="B26" s="100" t="inlineStr">
        <is>
          <t>2.1.6</t>
        </is>
      </c>
      <c r="C26" s="101" t="inlineStr">
        <is>
          <t>詳細設計</t>
        </is>
      </c>
      <c r="D26" s="101" t="inlineStr">
        <is>
          <t>Layer③</t>
        </is>
      </c>
      <c r="E26" s="101" t="inlineStr">
        <is>
          <t>発注勧告を生鮮統合発注用に変換</t>
        </is>
      </c>
      <c r="F26" s="101" t="inlineStr">
        <is>
          <t>発注勧告を生鮮統合発注用に変換</t>
        </is>
      </c>
      <c r="G26" s="100" t="inlineStr">
        <is>
          <t>新規</t>
        </is>
      </c>
      <c r="H26" s="100" t="inlineStr">
        <is>
          <t>臧鹏仕</t>
        </is>
      </c>
      <c r="I26" s="113" t="n">
        <v>1</v>
      </c>
      <c r="J26" s="100" t="inlineStr">
        <is>
          <t>－</t>
        </is>
      </c>
      <c r="K26" s="114" t="n">
        <v>46342</v>
      </c>
      <c r="L26" s="114" t="n">
        <v>46351</v>
      </c>
      <c r="M26" s="114" t="n"/>
      <c r="N26" s="114" t="n"/>
      <c r="O26" s="100" t="inlineStr">
        <is>
          <t>未着手</t>
        </is>
      </c>
      <c r="P26" s="115" t="n">
        <v>0</v>
      </c>
      <c r="Q26" s="100" t="inlineStr">
        <is>
          <t>－</t>
        </is>
      </c>
      <c r="R26" s="101" t="inlineStr">
        <is>
          <t>発注統合側の取込。本体改修は含まない。Layer①とLayer③の期間は出典で分離されていない。同一期間を記入</t>
        </is>
      </c>
      <c r="S26" s="116">
        <f>IF(OR($K26="",$L26=""),"",IF(NETWORKDAYS(S$5,S$5,休日)=0,"",IF(AND(S$5&gt;=$K26,S$5&lt;=$L26),IF(NETWORKDAYS($K26,S$5,休日)=1,"○",IF(NETWORKDAYS(S$5,$L26,休日)=1,"▶","→")),"")))</f>
        <v/>
      </c>
      <c r="T26" s="116">
        <f>IF(OR($K26="",$L26=""),"",IF(NETWORKDAYS(T$5,T$5,休日)=0,"",IF(AND(T$5&gt;=$K26,T$5&lt;=$L26),IF(NETWORKDAYS($K26,T$5,休日)=1,"○",IF(NETWORKDAYS(T$5,$L26,休日)=1,"▶","→")),"")))</f>
        <v/>
      </c>
      <c r="U26" s="116">
        <f>IF(OR($K26="",$L26=""),"",IF(NETWORKDAYS(U$5,U$5,休日)=0,"",IF(AND(U$5&gt;=$K26,U$5&lt;=$L26),IF(NETWORKDAYS($K26,U$5,休日)=1,"○",IF(NETWORKDAYS(U$5,$L26,休日)=1,"▶","→")),"")))</f>
        <v/>
      </c>
      <c r="V26" s="116">
        <f>IF(OR($K26="",$L26=""),"",IF(NETWORKDAYS(V$5,V$5,休日)=0,"",IF(AND(V$5&gt;=$K26,V$5&lt;=$L26),IF(NETWORKDAYS($K26,V$5,休日)=1,"○",IF(NETWORKDAYS(V$5,$L26,休日)=1,"▶","→")),"")))</f>
        <v/>
      </c>
      <c r="W26" s="116">
        <f>IF(OR($K26="",$L26=""),"",IF(NETWORKDAYS(W$5,W$5,休日)=0,"",IF(AND(W$5&gt;=$K26,W$5&lt;=$L26),IF(NETWORKDAYS($K26,W$5,休日)=1,"○",IF(NETWORKDAYS(W$5,$L26,休日)=1,"▶","→")),"")))</f>
        <v/>
      </c>
      <c r="X26" s="116">
        <f>IF(OR($K26="",$L26=""),"",IF(NETWORKDAYS(X$5,X$5,休日)=0,"",IF(AND(X$5&gt;=$K26,X$5&lt;=$L26),IF(NETWORKDAYS($K26,X$5,休日)=1,"○",IF(NETWORKDAYS(X$5,$L26,休日)=1,"▶","→")),"")))</f>
        <v/>
      </c>
      <c r="Y26" s="116">
        <f>IF(OR($K26="",$L26=""),"",IF(NETWORKDAYS(Y$5,Y$5,休日)=0,"",IF(AND(Y$5&gt;=$K26,Y$5&lt;=$L26),IF(NETWORKDAYS($K26,Y$5,休日)=1,"○",IF(NETWORKDAYS(Y$5,$L26,休日)=1,"▶","→")),"")))</f>
        <v/>
      </c>
      <c r="Z26" s="116">
        <f>IF(OR($K26="",$L26=""),"",IF(NETWORKDAYS(Z$5,Z$5,休日)=0,"",IF(AND(Z$5&gt;=$K26,Z$5&lt;=$L26),IF(NETWORKDAYS($K26,Z$5,休日)=1,"○",IF(NETWORKDAYS(Z$5,$L26,休日)=1,"▶","→")),"")))</f>
        <v/>
      </c>
      <c r="AA26" s="116">
        <f>IF(OR($K26="",$L26=""),"",IF(NETWORKDAYS(AA$5,AA$5,休日)=0,"",IF(AND(AA$5&gt;=$K26,AA$5&lt;=$L26),IF(NETWORKDAYS($K26,AA$5,休日)=1,"○",IF(NETWORKDAYS(AA$5,$L26,休日)=1,"▶","→")),"")))</f>
        <v/>
      </c>
      <c r="AB26" s="116">
        <f>IF(OR($K26="",$L26=""),"",IF(NETWORKDAYS(AB$5,AB$5,休日)=0,"",IF(AND(AB$5&gt;=$K26,AB$5&lt;=$L26),IF(NETWORKDAYS($K26,AB$5,休日)=1,"○",IF(NETWORKDAYS(AB$5,$L26,休日)=1,"▶","→")),"")))</f>
        <v/>
      </c>
      <c r="AC26" s="116">
        <f>IF(OR($K26="",$L26=""),"",IF(NETWORKDAYS(AC$5,AC$5,休日)=0,"",IF(AND(AC$5&gt;=$K26,AC$5&lt;=$L26),IF(NETWORKDAYS($K26,AC$5,休日)=1,"○",IF(NETWORKDAYS(AC$5,$L26,休日)=1,"▶","→")),"")))</f>
        <v/>
      </c>
      <c r="AD26" s="116">
        <f>IF(OR($K26="",$L26=""),"",IF(NETWORKDAYS(AD$5,AD$5,休日)=0,"",IF(AND(AD$5&gt;=$K26,AD$5&lt;=$L26),IF(NETWORKDAYS($K26,AD$5,休日)=1,"○",IF(NETWORKDAYS(AD$5,$L26,休日)=1,"▶","→")),"")))</f>
        <v/>
      </c>
      <c r="AE26" s="116">
        <f>IF(OR($K26="",$L26=""),"",IF(NETWORKDAYS(AE$5,AE$5,休日)=0,"",IF(AND(AE$5&gt;=$K26,AE$5&lt;=$L26),IF(NETWORKDAYS($K26,AE$5,休日)=1,"○",IF(NETWORKDAYS(AE$5,$L26,休日)=1,"▶","→")),"")))</f>
        <v/>
      </c>
      <c r="AF26" s="116">
        <f>IF(OR($K26="",$L26=""),"",IF(NETWORKDAYS(AF$5,AF$5,休日)=0,"",IF(AND(AF$5&gt;=$K26,AF$5&lt;=$L26),IF(NETWORKDAYS($K26,AF$5,休日)=1,"○",IF(NETWORKDAYS(AF$5,$L26,休日)=1,"▶","→")),"")))</f>
        <v/>
      </c>
      <c r="AG26" s="116">
        <f>IF(OR($K26="",$L26=""),"",IF(NETWORKDAYS(AG$5,AG$5,休日)=0,"",IF(AND(AG$5&gt;=$K26,AG$5&lt;=$L26),IF(NETWORKDAYS($K26,AG$5,休日)=1,"○",IF(NETWORKDAYS(AG$5,$L26,休日)=1,"▶","→")),"")))</f>
        <v/>
      </c>
      <c r="AH26" s="116">
        <f>IF(OR($K26="",$L26=""),"",IF(NETWORKDAYS(AH$5,AH$5,休日)=0,"",IF(AND(AH$5&gt;=$K26,AH$5&lt;=$L26),IF(NETWORKDAYS($K26,AH$5,休日)=1,"○",IF(NETWORKDAYS(AH$5,$L26,休日)=1,"▶","→")),"")))</f>
        <v/>
      </c>
      <c r="AI26" s="116">
        <f>IF(OR($K26="",$L26=""),"",IF(NETWORKDAYS(AI$5,AI$5,休日)=0,"",IF(AND(AI$5&gt;=$K26,AI$5&lt;=$L26),IF(NETWORKDAYS($K26,AI$5,休日)=1,"○",IF(NETWORKDAYS(AI$5,$L26,休日)=1,"▶","→")),"")))</f>
        <v/>
      </c>
      <c r="AJ26" s="116">
        <f>IF(OR($K26="",$L26=""),"",IF(NETWORKDAYS(AJ$5,AJ$5,休日)=0,"",IF(AND(AJ$5&gt;=$K26,AJ$5&lt;=$L26),IF(NETWORKDAYS($K26,AJ$5,休日)=1,"○",IF(NETWORKDAYS(AJ$5,$L26,休日)=1,"▶","→")),"")))</f>
        <v/>
      </c>
      <c r="AK26" s="116">
        <f>IF(OR($K26="",$L26=""),"",IF(NETWORKDAYS(AK$5,AK$5,休日)=0,"",IF(AND(AK$5&gt;=$K26,AK$5&lt;=$L26),IF(NETWORKDAYS($K26,AK$5,休日)=1,"○",IF(NETWORKDAYS(AK$5,$L26,休日)=1,"▶","→")),"")))</f>
        <v/>
      </c>
      <c r="AL26" s="116">
        <f>IF(OR($K26="",$L26=""),"",IF(NETWORKDAYS(AL$5,AL$5,休日)=0,"",IF(AND(AL$5&gt;=$K26,AL$5&lt;=$L26),IF(NETWORKDAYS($K26,AL$5,休日)=1,"○",IF(NETWORKDAYS(AL$5,$L26,休日)=1,"▶","→")),"")))</f>
        <v/>
      </c>
      <c r="AM26" s="116">
        <f>IF(OR($K26="",$L26=""),"",IF(NETWORKDAYS(AM$5,AM$5,休日)=0,"",IF(AND(AM$5&gt;=$K26,AM$5&lt;=$L26),IF(NETWORKDAYS($K26,AM$5,休日)=1,"○",IF(NETWORKDAYS(AM$5,$L26,休日)=1,"▶","→")),"")))</f>
        <v/>
      </c>
      <c r="AN26" s="116">
        <f>IF(OR($K26="",$L26=""),"",IF(NETWORKDAYS(AN$5,AN$5,休日)=0,"",IF(AND(AN$5&gt;=$K26,AN$5&lt;=$L26),IF(NETWORKDAYS($K26,AN$5,休日)=1,"○",IF(NETWORKDAYS(AN$5,$L26,休日)=1,"▶","→")),"")))</f>
        <v/>
      </c>
      <c r="AO26" s="116">
        <f>IF(OR($K26="",$L26=""),"",IF(NETWORKDAYS(AO$5,AO$5,休日)=0,"",IF(AND(AO$5&gt;=$K26,AO$5&lt;=$L26),IF(NETWORKDAYS($K26,AO$5,休日)=1,"○",IF(NETWORKDAYS(AO$5,$L26,休日)=1,"▶","→")),"")))</f>
        <v/>
      </c>
      <c r="AP26" s="116">
        <f>IF(OR($K26="",$L26=""),"",IF(NETWORKDAYS(AP$5,AP$5,休日)=0,"",IF(AND(AP$5&gt;=$K26,AP$5&lt;=$L26),IF(NETWORKDAYS($K26,AP$5,休日)=1,"○",IF(NETWORKDAYS(AP$5,$L26,休日)=1,"▶","→")),"")))</f>
        <v/>
      </c>
      <c r="AQ26" s="116">
        <f>IF(OR($K26="",$L26=""),"",IF(NETWORKDAYS(AQ$5,AQ$5,休日)=0,"",IF(AND(AQ$5&gt;=$K26,AQ$5&lt;=$L26),IF(NETWORKDAYS($K26,AQ$5,休日)=1,"○",IF(NETWORKDAYS(AQ$5,$L26,休日)=1,"▶","→")),"")))</f>
        <v/>
      </c>
      <c r="AR26" s="116">
        <f>IF(OR($K26="",$L26=""),"",IF(NETWORKDAYS(AR$5,AR$5,休日)=0,"",IF(AND(AR$5&gt;=$K26,AR$5&lt;=$L26),IF(NETWORKDAYS($K26,AR$5,休日)=1,"○",IF(NETWORKDAYS(AR$5,$L26,休日)=1,"▶","→")),"")))</f>
        <v/>
      </c>
      <c r="AS26" s="116">
        <f>IF(OR($K26="",$L26=""),"",IF(NETWORKDAYS(AS$5,AS$5,休日)=0,"",IF(AND(AS$5&gt;=$K26,AS$5&lt;=$L26),IF(NETWORKDAYS($K26,AS$5,休日)=1,"○",IF(NETWORKDAYS(AS$5,$L26,休日)=1,"▶","→")),"")))</f>
        <v/>
      </c>
      <c r="AT26" s="116">
        <f>IF(OR($K26="",$L26=""),"",IF(NETWORKDAYS(AT$5,AT$5,休日)=0,"",IF(AND(AT$5&gt;=$K26,AT$5&lt;=$L26),IF(NETWORKDAYS($K26,AT$5,休日)=1,"○",IF(NETWORKDAYS(AT$5,$L26,休日)=1,"▶","→")),"")))</f>
        <v/>
      </c>
      <c r="AU26" s="116">
        <f>IF(OR($K26="",$L26=""),"",IF(NETWORKDAYS(AU$5,AU$5,休日)=0,"",IF(AND(AU$5&gt;=$K26,AU$5&lt;=$L26),IF(NETWORKDAYS($K26,AU$5,休日)=1,"○",IF(NETWORKDAYS(AU$5,$L26,休日)=1,"▶","→")),"")))</f>
        <v/>
      </c>
      <c r="AV26" s="116">
        <f>IF(OR($K26="",$L26=""),"",IF(NETWORKDAYS(AV$5,AV$5,休日)=0,"",IF(AND(AV$5&gt;=$K26,AV$5&lt;=$L26),IF(NETWORKDAYS($K26,AV$5,休日)=1,"○",IF(NETWORKDAYS(AV$5,$L26,休日)=1,"▶","→")),"")))</f>
        <v/>
      </c>
      <c r="AW26" s="116">
        <f>IF(OR($K26="",$L26=""),"",IF(NETWORKDAYS(AW$5,AW$5,休日)=0,"",IF(AND(AW$5&gt;=$K26,AW$5&lt;=$L26),IF(NETWORKDAYS($K26,AW$5,休日)=1,"○",IF(NETWORKDAYS(AW$5,$L26,休日)=1,"▶","→")),"")))</f>
        <v/>
      </c>
      <c r="AX26" s="116">
        <f>IF(OR($K26="",$L26=""),"",IF(NETWORKDAYS(AX$5,AX$5,休日)=0,"",IF(AND(AX$5&gt;=$K26,AX$5&lt;=$L26),IF(NETWORKDAYS($K26,AX$5,休日)=1,"○",IF(NETWORKDAYS(AX$5,$L26,休日)=1,"▶","→")),"")))</f>
        <v/>
      </c>
      <c r="AY26" s="116">
        <f>IF(OR($K26="",$L26=""),"",IF(NETWORKDAYS(AY$5,AY$5,休日)=0,"",IF(AND(AY$5&gt;=$K26,AY$5&lt;=$L26),IF(NETWORKDAYS($K26,AY$5,休日)=1,"○",IF(NETWORKDAYS(AY$5,$L26,休日)=1,"▶","→")),"")))</f>
        <v/>
      </c>
      <c r="AZ26" s="116">
        <f>IF(OR($K26="",$L26=""),"",IF(NETWORKDAYS(AZ$5,AZ$5,休日)=0,"",IF(AND(AZ$5&gt;=$K26,AZ$5&lt;=$L26),IF(NETWORKDAYS($K26,AZ$5,休日)=1,"○",IF(NETWORKDAYS(AZ$5,$L26,休日)=1,"▶","→")),"")))</f>
        <v/>
      </c>
      <c r="BA26" s="116">
        <f>IF(OR($K26="",$L26=""),"",IF(NETWORKDAYS(BA$5,BA$5,休日)=0,"",IF(AND(BA$5&gt;=$K26,BA$5&lt;=$L26),IF(NETWORKDAYS($K26,BA$5,休日)=1,"○",IF(NETWORKDAYS(BA$5,$L26,休日)=1,"▶","→")),"")))</f>
        <v/>
      </c>
      <c r="BB26" s="116">
        <f>IF(OR($K26="",$L26=""),"",IF(NETWORKDAYS(BB$5,BB$5,休日)=0,"",IF(AND(BB$5&gt;=$K26,BB$5&lt;=$L26),IF(NETWORKDAYS($K26,BB$5,休日)=1,"○",IF(NETWORKDAYS(BB$5,$L26,休日)=1,"▶","→")),"")))</f>
        <v/>
      </c>
      <c r="BC26" s="116">
        <f>IF(OR($K26="",$L26=""),"",IF(NETWORKDAYS(BC$5,BC$5,休日)=0,"",IF(AND(BC$5&gt;=$K26,BC$5&lt;=$L26),IF(NETWORKDAYS($K26,BC$5,休日)=1,"○",IF(NETWORKDAYS(BC$5,$L26,休日)=1,"▶","→")),"")))</f>
        <v/>
      </c>
      <c r="BD26" s="116">
        <f>IF(OR($K26="",$L26=""),"",IF(NETWORKDAYS(BD$5,BD$5,休日)=0,"",IF(AND(BD$5&gt;=$K26,BD$5&lt;=$L26),IF(NETWORKDAYS($K26,BD$5,休日)=1,"○",IF(NETWORKDAYS(BD$5,$L26,休日)=1,"▶","→")),"")))</f>
        <v/>
      </c>
      <c r="BE26" s="116">
        <f>IF(OR($K26="",$L26=""),"",IF(NETWORKDAYS(BE$5,BE$5,休日)=0,"",IF(AND(BE$5&gt;=$K26,BE$5&lt;=$L26),IF(NETWORKDAYS($K26,BE$5,休日)=1,"○",IF(NETWORKDAYS(BE$5,$L26,休日)=1,"▶","→")),"")))</f>
        <v/>
      </c>
      <c r="BF26" s="116">
        <f>IF(OR($K26="",$L26=""),"",IF(NETWORKDAYS(BF$5,BF$5,休日)=0,"",IF(AND(BF$5&gt;=$K26,BF$5&lt;=$L26),IF(NETWORKDAYS($K26,BF$5,休日)=1,"○",IF(NETWORKDAYS(BF$5,$L26,休日)=1,"▶","→")),"")))</f>
        <v/>
      </c>
      <c r="BG26" s="116">
        <f>IF(OR($K26="",$L26=""),"",IF(NETWORKDAYS(BG$5,BG$5,休日)=0,"",IF(AND(BG$5&gt;=$K26,BG$5&lt;=$L26),IF(NETWORKDAYS($K26,BG$5,休日)=1,"○",IF(NETWORKDAYS(BG$5,$L26,休日)=1,"▶","→")),"")))</f>
        <v/>
      </c>
      <c r="BH26" s="116">
        <f>IF(OR($K26="",$L26=""),"",IF(NETWORKDAYS(BH$5,BH$5,休日)=0,"",IF(AND(BH$5&gt;=$K26,BH$5&lt;=$L26),IF(NETWORKDAYS($K26,BH$5,休日)=1,"○",IF(NETWORKDAYS(BH$5,$L26,休日)=1,"▶","→")),"")))</f>
        <v/>
      </c>
      <c r="BI26" s="116">
        <f>IF(OR($K26="",$L26=""),"",IF(NETWORKDAYS(BI$5,BI$5,休日)=0,"",IF(AND(BI$5&gt;=$K26,BI$5&lt;=$L26),IF(NETWORKDAYS($K26,BI$5,休日)=1,"○",IF(NETWORKDAYS(BI$5,$L26,休日)=1,"▶","→")),"")))</f>
        <v/>
      </c>
      <c r="BJ26" s="116">
        <f>IF(OR($K26="",$L26=""),"",IF(NETWORKDAYS(BJ$5,BJ$5,休日)=0,"",IF(AND(BJ$5&gt;=$K26,BJ$5&lt;=$L26),IF(NETWORKDAYS($K26,BJ$5,休日)=1,"○",IF(NETWORKDAYS(BJ$5,$L26,休日)=1,"▶","→")),"")))</f>
        <v/>
      </c>
      <c r="BK26" s="116">
        <f>IF(OR($K26="",$L26=""),"",IF(NETWORKDAYS(BK$5,BK$5,休日)=0,"",IF(AND(BK$5&gt;=$K26,BK$5&lt;=$L26),IF(NETWORKDAYS($K26,BK$5,休日)=1,"○",IF(NETWORKDAYS(BK$5,$L26,休日)=1,"▶","→")),"")))</f>
        <v/>
      </c>
      <c r="BL26" s="116">
        <f>IF(OR($K26="",$L26=""),"",IF(NETWORKDAYS(BL$5,BL$5,休日)=0,"",IF(AND(BL$5&gt;=$K26,BL$5&lt;=$L26),IF(NETWORKDAYS($K26,BL$5,休日)=1,"○",IF(NETWORKDAYS(BL$5,$L26,休日)=1,"▶","→")),"")))</f>
        <v/>
      </c>
      <c r="BM26" s="116">
        <f>IF(OR($K26="",$L26=""),"",IF(NETWORKDAYS(BM$5,BM$5,休日)=0,"",IF(AND(BM$5&gt;=$K26,BM$5&lt;=$L26),IF(NETWORKDAYS($K26,BM$5,休日)=1,"○",IF(NETWORKDAYS(BM$5,$L26,休日)=1,"▶","→")),"")))</f>
        <v/>
      </c>
      <c r="BN26" s="116">
        <f>IF(OR($K26="",$L26=""),"",IF(NETWORKDAYS(BN$5,BN$5,休日)=0,"",IF(AND(BN$5&gt;=$K26,BN$5&lt;=$L26),IF(NETWORKDAYS($K26,BN$5,休日)=1,"○",IF(NETWORKDAYS(BN$5,$L26,休日)=1,"▶","→")),"")))</f>
        <v/>
      </c>
      <c r="BO26" s="116">
        <f>IF(OR($K26="",$L26=""),"",IF(NETWORKDAYS(BO$5,BO$5,休日)=0,"",IF(AND(BO$5&gt;=$K26,BO$5&lt;=$L26),IF(NETWORKDAYS($K26,BO$5,休日)=1,"○",IF(NETWORKDAYS(BO$5,$L26,休日)=1,"▶","→")),"")))</f>
        <v/>
      </c>
      <c r="BP26" s="116">
        <f>IF(OR($K26="",$L26=""),"",IF(NETWORKDAYS(BP$5,BP$5,休日)=0,"",IF(AND(BP$5&gt;=$K26,BP$5&lt;=$L26),IF(NETWORKDAYS($K26,BP$5,休日)=1,"○",IF(NETWORKDAYS(BP$5,$L26,休日)=1,"▶","→")),"")))</f>
        <v/>
      </c>
      <c r="BQ26" s="116">
        <f>IF(OR($K26="",$L26=""),"",IF(NETWORKDAYS(BQ$5,BQ$5,休日)=0,"",IF(AND(BQ$5&gt;=$K26,BQ$5&lt;=$L26),IF(NETWORKDAYS($K26,BQ$5,休日)=1,"○",IF(NETWORKDAYS(BQ$5,$L26,休日)=1,"▶","→")),"")))</f>
        <v/>
      </c>
      <c r="BR26" s="116">
        <f>IF(OR($K26="",$L26=""),"",IF(NETWORKDAYS(BR$5,BR$5,休日)=0,"",IF(AND(BR$5&gt;=$K26,BR$5&lt;=$L26),IF(NETWORKDAYS($K26,BR$5,休日)=1,"○",IF(NETWORKDAYS(BR$5,$L26,休日)=1,"▶","→")),"")))</f>
        <v/>
      </c>
      <c r="BS26" s="116">
        <f>IF(OR($K26="",$L26=""),"",IF(NETWORKDAYS(BS$5,BS$5,休日)=0,"",IF(AND(BS$5&gt;=$K26,BS$5&lt;=$L26),IF(NETWORKDAYS($K26,BS$5,休日)=1,"○",IF(NETWORKDAYS(BS$5,$L26,休日)=1,"▶","→")),"")))</f>
        <v/>
      </c>
      <c r="BT26" s="116">
        <f>IF(OR($K26="",$L26=""),"",IF(NETWORKDAYS(BT$5,BT$5,休日)=0,"",IF(AND(BT$5&gt;=$K26,BT$5&lt;=$L26),IF(NETWORKDAYS($K26,BT$5,休日)=1,"○",IF(NETWORKDAYS(BT$5,$L26,休日)=1,"▶","→")),"")))</f>
        <v/>
      </c>
      <c r="BU26" s="116">
        <f>IF(OR($K26="",$L26=""),"",IF(NETWORKDAYS(BU$5,BU$5,休日)=0,"",IF(AND(BU$5&gt;=$K26,BU$5&lt;=$L26),IF(NETWORKDAYS($K26,BU$5,休日)=1,"○",IF(NETWORKDAYS(BU$5,$L26,休日)=1,"▶","→")),"")))</f>
        <v/>
      </c>
      <c r="BV26" s="116">
        <f>IF(OR($K26="",$L26=""),"",IF(NETWORKDAYS(BV$5,BV$5,休日)=0,"",IF(AND(BV$5&gt;=$K26,BV$5&lt;=$L26),IF(NETWORKDAYS($K26,BV$5,休日)=1,"○",IF(NETWORKDAYS(BV$5,$L26,休日)=1,"▶","→")),"")))</f>
        <v/>
      </c>
      <c r="BW26" s="116">
        <f>IF(OR($K26="",$L26=""),"",IF(NETWORKDAYS(BW$5,BW$5,休日)=0,"",IF(AND(BW$5&gt;=$K26,BW$5&lt;=$L26),IF(NETWORKDAYS($K26,BW$5,休日)=1,"○",IF(NETWORKDAYS(BW$5,$L26,休日)=1,"▶","→")),"")))</f>
        <v/>
      </c>
      <c r="BX26" s="116">
        <f>IF(OR($K26="",$L26=""),"",IF(NETWORKDAYS(BX$5,BX$5,休日)=0,"",IF(AND(BX$5&gt;=$K26,BX$5&lt;=$L26),IF(NETWORKDAYS($K26,BX$5,休日)=1,"○",IF(NETWORKDAYS(BX$5,$L26,休日)=1,"▶","→")),"")))</f>
        <v/>
      </c>
      <c r="BY26" s="116">
        <f>IF(OR($K26="",$L26=""),"",IF(NETWORKDAYS(BY$5,BY$5,休日)=0,"",IF(AND(BY$5&gt;=$K26,BY$5&lt;=$L26),IF(NETWORKDAYS($K26,BY$5,休日)=1,"○",IF(NETWORKDAYS(BY$5,$L26,休日)=1,"▶","→")),"")))</f>
        <v/>
      </c>
      <c r="BZ26" s="116">
        <f>IF(OR($K26="",$L26=""),"",IF(NETWORKDAYS(BZ$5,BZ$5,休日)=0,"",IF(AND(BZ$5&gt;=$K26,BZ$5&lt;=$L26),IF(NETWORKDAYS($K26,BZ$5,休日)=1,"○",IF(NETWORKDAYS(BZ$5,$L26,休日)=1,"▶","→")),"")))</f>
        <v/>
      </c>
      <c r="CA26" s="116">
        <f>IF(OR($K26="",$L26=""),"",IF(NETWORKDAYS(CA$5,CA$5,休日)=0,"",IF(AND(CA$5&gt;=$K26,CA$5&lt;=$L26),IF(NETWORKDAYS($K26,CA$5,休日)=1,"○",IF(NETWORKDAYS(CA$5,$L26,休日)=1,"▶","→")),"")))</f>
        <v/>
      </c>
      <c r="CB26" s="116">
        <f>IF(OR($K26="",$L26=""),"",IF(NETWORKDAYS(CB$5,CB$5,休日)=0,"",IF(AND(CB$5&gt;=$K26,CB$5&lt;=$L26),IF(NETWORKDAYS($K26,CB$5,休日)=1,"○",IF(NETWORKDAYS(CB$5,$L26,休日)=1,"▶","→")),"")))</f>
        <v/>
      </c>
      <c r="CC26" s="116">
        <f>IF(OR($K26="",$L26=""),"",IF(NETWORKDAYS(CC$5,CC$5,休日)=0,"",IF(AND(CC$5&gt;=$K26,CC$5&lt;=$L26),IF(NETWORKDAYS($K26,CC$5,休日)=1,"○",IF(NETWORKDAYS(CC$5,$L26,休日)=1,"▶","→")),"")))</f>
        <v/>
      </c>
      <c r="CD26" s="116">
        <f>IF(OR($K26="",$L26=""),"",IF(NETWORKDAYS(CD$5,CD$5,休日)=0,"",IF(AND(CD$5&gt;=$K26,CD$5&lt;=$L26),IF(NETWORKDAYS($K26,CD$5,休日)=1,"○",IF(NETWORKDAYS(CD$5,$L26,休日)=1,"▶","→")),"")))</f>
        <v/>
      </c>
      <c r="CE26" s="116">
        <f>IF(OR($K26="",$L26=""),"",IF(NETWORKDAYS(CE$5,CE$5,休日)=0,"",IF(AND(CE$5&gt;=$K26,CE$5&lt;=$L26),IF(NETWORKDAYS($K26,CE$5,休日)=1,"○",IF(NETWORKDAYS(CE$5,$L26,休日)=1,"▶","→")),"")))</f>
        <v/>
      </c>
      <c r="CF26" s="116">
        <f>IF(OR($K26="",$L26=""),"",IF(NETWORKDAYS(CF$5,CF$5,休日)=0,"",IF(AND(CF$5&gt;=$K26,CF$5&lt;=$L26),IF(NETWORKDAYS($K26,CF$5,休日)=1,"○",IF(NETWORKDAYS(CF$5,$L26,休日)=1,"▶","→")),"")))</f>
        <v/>
      </c>
      <c r="CG26" s="116">
        <f>IF(OR($K26="",$L26=""),"",IF(NETWORKDAYS(CG$5,CG$5,休日)=0,"",IF(AND(CG$5&gt;=$K26,CG$5&lt;=$L26),IF(NETWORKDAYS($K26,CG$5,休日)=1,"○",IF(NETWORKDAYS(CG$5,$L26,休日)=1,"▶","→")),"")))</f>
        <v/>
      </c>
      <c r="CH26" s="116">
        <f>IF(OR($K26="",$L26=""),"",IF(NETWORKDAYS(CH$5,CH$5,休日)=0,"",IF(AND(CH$5&gt;=$K26,CH$5&lt;=$L26),IF(NETWORKDAYS($K26,CH$5,休日)=1,"○",IF(NETWORKDAYS(CH$5,$L26,休日)=1,"▶","→")),"")))</f>
        <v/>
      </c>
      <c r="CI26" s="116">
        <f>IF(OR($K26="",$L26=""),"",IF(NETWORKDAYS(CI$5,CI$5,休日)=0,"",IF(AND(CI$5&gt;=$K26,CI$5&lt;=$L26),IF(NETWORKDAYS($K26,CI$5,休日)=1,"○",IF(NETWORKDAYS(CI$5,$L26,休日)=1,"▶","→")),"")))</f>
        <v/>
      </c>
      <c r="CJ26" s="116">
        <f>IF(OR($K26="",$L26=""),"",IF(NETWORKDAYS(CJ$5,CJ$5,休日)=0,"",IF(AND(CJ$5&gt;=$K26,CJ$5&lt;=$L26),IF(NETWORKDAYS($K26,CJ$5,休日)=1,"○",IF(NETWORKDAYS(CJ$5,$L26,休日)=1,"▶","→")),"")))</f>
        <v/>
      </c>
      <c r="CK26" s="116">
        <f>IF(OR($K26="",$L26=""),"",IF(NETWORKDAYS(CK$5,CK$5,休日)=0,"",IF(AND(CK$5&gt;=$K26,CK$5&lt;=$L26),IF(NETWORKDAYS($K26,CK$5,休日)=1,"○",IF(NETWORKDAYS(CK$5,$L26,休日)=1,"▶","→")),"")))</f>
        <v/>
      </c>
      <c r="CL26" s="116">
        <f>IF(OR($K26="",$L26=""),"",IF(NETWORKDAYS(CL$5,CL$5,休日)=0,"",IF(AND(CL$5&gt;=$K26,CL$5&lt;=$L26),IF(NETWORKDAYS($K26,CL$5,休日)=1,"○",IF(NETWORKDAYS(CL$5,$L26,休日)=1,"▶","→")),"")))</f>
        <v/>
      </c>
      <c r="CM26" s="116">
        <f>IF(OR($K26="",$L26=""),"",IF(NETWORKDAYS(CM$5,CM$5,休日)=0,"",IF(AND(CM$5&gt;=$K26,CM$5&lt;=$L26),IF(NETWORKDAYS($K26,CM$5,休日)=1,"○",IF(NETWORKDAYS(CM$5,$L26,休日)=1,"▶","→")),"")))</f>
        <v/>
      </c>
      <c r="CN26" s="116">
        <f>IF(OR($K26="",$L26=""),"",IF(NETWORKDAYS(CN$5,CN$5,休日)=0,"",IF(AND(CN$5&gt;=$K26,CN$5&lt;=$L26),IF(NETWORKDAYS($K26,CN$5,休日)=1,"○",IF(NETWORKDAYS(CN$5,$L26,休日)=1,"▶","→")),"")))</f>
        <v/>
      </c>
      <c r="CO26" s="116">
        <f>IF(OR($K26="",$L26=""),"",IF(NETWORKDAYS(CO$5,CO$5,休日)=0,"",IF(AND(CO$5&gt;=$K26,CO$5&lt;=$L26),IF(NETWORKDAYS($K26,CO$5,休日)=1,"○",IF(NETWORKDAYS(CO$5,$L26,休日)=1,"▶","→")),"")))</f>
        <v/>
      </c>
    </row>
    <row r="27" ht="32" customHeight="1" s="98">
      <c r="A27" s="5" t="n"/>
      <c r="B27" s="100" t="inlineStr">
        <is>
          <t>2.1.7</t>
        </is>
      </c>
      <c r="C27" s="101" t="inlineStr">
        <is>
          <t>詳細設計</t>
        </is>
      </c>
      <c r="D27" s="101" t="inlineStr">
        <is>
          <t>Layer①</t>
        </is>
      </c>
      <c r="E27" s="101" t="inlineStr">
        <is>
          <t>生鮮入荷実績</t>
        </is>
      </c>
      <c r="F27" s="101" t="inlineStr">
        <is>
          <t>生鮮入荷実績</t>
        </is>
      </c>
      <c r="G27" s="100" t="inlineStr">
        <is>
          <t>差分</t>
        </is>
      </c>
      <c r="H27" s="100" t="inlineStr">
        <is>
          <t>王静</t>
        </is>
      </c>
      <c r="I27" s="113" t="n">
        <v>4</v>
      </c>
      <c r="J27" s="100" t="inlineStr">
        <is>
          <t>－</t>
        </is>
      </c>
      <c r="K27" s="114" t="n">
        <v>46321</v>
      </c>
      <c r="L27" s="114" t="n">
        <v>46325</v>
      </c>
      <c r="M27" s="114" t="n"/>
      <c r="N27" s="114" t="n"/>
      <c r="O27" s="100" t="inlineStr">
        <is>
          <t>未着手</t>
        </is>
      </c>
      <c r="P27" s="115" t="n">
        <v>0</v>
      </c>
      <c r="Q27" s="100" t="inlineStr">
        <is>
          <t>－</t>
        </is>
      </c>
      <c r="R27" s="101" t="inlineStr">
        <is>
          <t>10/30に閉じる。開発へは11/2から。Layer①とLayer③の期間は出典で分離されていない。同一期間を記入</t>
        </is>
      </c>
      <c r="S27" s="116">
        <f>IF(OR($K27="",$L27=""),"",IF(NETWORKDAYS(S$5,S$5,休日)=0,"",IF(AND(S$5&gt;=$K27,S$5&lt;=$L27),IF(NETWORKDAYS($K27,S$5,休日)=1,"○",IF(NETWORKDAYS(S$5,$L27,休日)=1,"▶","→")),"")))</f>
        <v/>
      </c>
      <c r="T27" s="116">
        <f>IF(OR($K27="",$L27=""),"",IF(NETWORKDAYS(T$5,T$5,休日)=0,"",IF(AND(T$5&gt;=$K27,T$5&lt;=$L27),IF(NETWORKDAYS($K27,T$5,休日)=1,"○",IF(NETWORKDAYS(T$5,$L27,休日)=1,"▶","→")),"")))</f>
        <v/>
      </c>
      <c r="U27" s="116">
        <f>IF(OR($K27="",$L27=""),"",IF(NETWORKDAYS(U$5,U$5,休日)=0,"",IF(AND(U$5&gt;=$K27,U$5&lt;=$L27),IF(NETWORKDAYS($K27,U$5,休日)=1,"○",IF(NETWORKDAYS(U$5,$L27,休日)=1,"▶","→")),"")))</f>
        <v/>
      </c>
      <c r="V27" s="116">
        <f>IF(OR($K27="",$L27=""),"",IF(NETWORKDAYS(V$5,V$5,休日)=0,"",IF(AND(V$5&gt;=$K27,V$5&lt;=$L27),IF(NETWORKDAYS($K27,V$5,休日)=1,"○",IF(NETWORKDAYS(V$5,$L27,休日)=1,"▶","→")),"")))</f>
        <v/>
      </c>
      <c r="W27" s="116">
        <f>IF(OR($K27="",$L27=""),"",IF(NETWORKDAYS(W$5,W$5,休日)=0,"",IF(AND(W$5&gt;=$K27,W$5&lt;=$L27),IF(NETWORKDAYS($K27,W$5,休日)=1,"○",IF(NETWORKDAYS(W$5,$L27,休日)=1,"▶","→")),"")))</f>
        <v/>
      </c>
      <c r="X27" s="116">
        <f>IF(OR($K27="",$L27=""),"",IF(NETWORKDAYS(X$5,X$5,休日)=0,"",IF(AND(X$5&gt;=$K27,X$5&lt;=$L27),IF(NETWORKDAYS($K27,X$5,休日)=1,"○",IF(NETWORKDAYS(X$5,$L27,休日)=1,"▶","→")),"")))</f>
        <v/>
      </c>
      <c r="Y27" s="116">
        <f>IF(OR($K27="",$L27=""),"",IF(NETWORKDAYS(Y$5,Y$5,休日)=0,"",IF(AND(Y$5&gt;=$K27,Y$5&lt;=$L27),IF(NETWORKDAYS($K27,Y$5,休日)=1,"○",IF(NETWORKDAYS(Y$5,$L27,休日)=1,"▶","→")),"")))</f>
        <v/>
      </c>
      <c r="Z27" s="116">
        <f>IF(OR($K27="",$L27=""),"",IF(NETWORKDAYS(Z$5,Z$5,休日)=0,"",IF(AND(Z$5&gt;=$K27,Z$5&lt;=$L27),IF(NETWORKDAYS($K27,Z$5,休日)=1,"○",IF(NETWORKDAYS(Z$5,$L27,休日)=1,"▶","→")),"")))</f>
        <v/>
      </c>
      <c r="AA27" s="116">
        <f>IF(OR($K27="",$L27=""),"",IF(NETWORKDAYS(AA$5,AA$5,休日)=0,"",IF(AND(AA$5&gt;=$K27,AA$5&lt;=$L27),IF(NETWORKDAYS($K27,AA$5,休日)=1,"○",IF(NETWORKDAYS(AA$5,$L27,休日)=1,"▶","→")),"")))</f>
        <v/>
      </c>
      <c r="AB27" s="116">
        <f>IF(OR($K27="",$L27=""),"",IF(NETWORKDAYS(AB$5,AB$5,休日)=0,"",IF(AND(AB$5&gt;=$K27,AB$5&lt;=$L27),IF(NETWORKDAYS($K27,AB$5,休日)=1,"○",IF(NETWORKDAYS(AB$5,$L27,休日)=1,"▶","→")),"")))</f>
        <v/>
      </c>
      <c r="AC27" s="116">
        <f>IF(OR($K27="",$L27=""),"",IF(NETWORKDAYS(AC$5,AC$5,休日)=0,"",IF(AND(AC$5&gt;=$K27,AC$5&lt;=$L27),IF(NETWORKDAYS($K27,AC$5,休日)=1,"○",IF(NETWORKDAYS(AC$5,$L27,休日)=1,"▶","→")),"")))</f>
        <v/>
      </c>
      <c r="AD27" s="116">
        <f>IF(OR($K27="",$L27=""),"",IF(NETWORKDAYS(AD$5,AD$5,休日)=0,"",IF(AND(AD$5&gt;=$K27,AD$5&lt;=$L27),IF(NETWORKDAYS($K27,AD$5,休日)=1,"○",IF(NETWORKDAYS(AD$5,$L27,休日)=1,"▶","→")),"")))</f>
        <v/>
      </c>
      <c r="AE27" s="116">
        <f>IF(OR($K27="",$L27=""),"",IF(NETWORKDAYS(AE$5,AE$5,休日)=0,"",IF(AND(AE$5&gt;=$K27,AE$5&lt;=$L27),IF(NETWORKDAYS($K27,AE$5,休日)=1,"○",IF(NETWORKDAYS(AE$5,$L27,休日)=1,"▶","→")),"")))</f>
        <v/>
      </c>
      <c r="AF27" s="116">
        <f>IF(OR($K27="",$L27=""),"",IF(NETWORKDAYS(AF$5,AF$5,休日)=0,"",IF(AND(AF$5&gt;=$K27,AF$5&lt;=$L27),IF(NETWORKDAYS($K27,AF$5,休日)=1,"○",IF(NETWORKDAYS(AF$5,$L27,休日)=1,"▶","→")),"")))</f>
        <v/>
      </c>
      <c r="AG27" s="116">
        <f>IF(OR($K27="",$L27=""),"",IF(NETWORKDAYS(AG$5,AG$5,休日)=0,"",IF(AND(AG$5&gt;=$K27,AG$5&lt;=$L27),IF(NETWORKDAYS($K27,AG$5,休日)=1,"○",IF(NETWORKDAYS(AG$5,$L27,休日)=1,"▶","→")),"")))</f>
        <v/>
      </c>
      <c r="AH27" s="116">
        <f>IF(OR($K27="",$L27=""),"",IF(NETWORKDAYS(AH$5,AH$5,休日)=0,"",IF(AND(AH$5&gt;=$K27,AH$5&lt;=$L27),IF(NETWORKDAYS($K27,AH$5,休日)=1,"○",IF(NETWORKDAYS(AH$5,$L27,休日)=1,"▶","→")),"")))</f>
        <v/>
      </c>
      <c r="AI27" s="116">
        <f>IF(OR($K27="",$L27=""),"",IF(NETWORKDAYS(AI$5,AI$5,休日)=0,"",IF(AND(AI$5&gt;=$K27,AI$5&lt;=$L27),IF(NETWORKDAYS($K27,AI$5,休日)=1,"○",IF(NETWORKDAYS(AI$5,$L27,休日)=1,"▶","→")),"")))</f>
        <v/>
      </c>
      <c r="AJ27" s="116">
        <f>IF(OR($K27="",$L27=""),"",IF(NETWORKDAYS(AJ$5,AJ$5,休日)=0,"",IF(AND(AJ$5&gt;=$K27,AJ$5&lt;=$L27),IF(NETWORKDAYS($K27,AJ$5,休日)=1,"○",IF(NETWORKDAYS(AJ$5,$L27,休日)=1,"▶","→")),"")))</f>
        <v/>
      </c>
      <c r="AK27" s="116">
        <f>IF(OR($K27="",$L27=""),"",IF(NETWORKDAYS(AK$5,AK$5,休日)=0,"",IF(AND(AK$5&gt;=$K27,AK$5&lt;=$L27),IF(NETWORKDAYS($K27,AK$5,休日)=1,"○",IF(NETWORKDAYS(AK$5,$L27,休日)=1,"▶","→")),"")))</f>
        <v/>
      </c>
      <c r="AL27" s="116">
        <f>IF(OR($K27="",$L27=""),"",IF(NETWORKDAYS(AL$5,AL$5,休日)=0,"",IF(AND(AL$5&gt;=$K27,AL$5&lt;=$L27),IF(NETWORKDAYS($K27,AL$5,休日)=1,"○",IF(NETWORKDAYS(AL$5,$L27,休日)=1,"▶","→")),"")))</f>
        <v/>
      </c>
      <c r="AM27" s="116">
        <f>IF(OR($K27="",$L27=""),"",IF(NETWORKDAYS(AM$5,AM$5,休日)=0,"",IF(AND(AM$5&gt;=$K27,AM$5&lt;=$L27),IF(NETWORKDAYS($K27,AM$5,休日)=1,"○",IF(NETWORKDAYS(AM$5,$L27,休日)=1,"▶","→")),"")))</f>
        <v/>
      </c>
      <c r="AN27" s="116">
        <f>IF(OR($K27="",$L27=""),"",IF(NETWORKDAYS(AN$5,AN$5,休日)=0,"",IF(AND(AN$5&gt;=$K27,AN$5&lt;=$L27),IF(NETWORKDAYS($K27,AN$5,休日)=1,"○",IF(NETWORKDAYS(AN$5,$L27,休日)=1,"▶","→")),"")))</f>
        <v/>
      </c>
      <c r="AO27" s="116">
        <f>IF(OR($K27="",$L27=""),"",IF(NETWORKDAYS(AO$5,AO$5,休日)=0,"",IF(AND(AO$5&gt;=$K27,AO$5&lt;=$L27),IF(NETWORKDAYS($K27,AO$5,休日)=1,"○",IF(NETWORKDAYS(AO$5,$L27,休日)=1,"▶","→")),"")))</f>
        <v/>
      </c>
      <c r="AP27" s="116">
        <f>IF(OR($K27="",$L27=""),"",IF(NETWORKDAYS(AP$5,AP$5,休日)=0,"",IF(AND(AP$5&gt;=$K27,AP$5&lt;=$L27),IF(NETWORKDAYS($K27,AP$5,休日)=1,"○",IF(NETWORKDAYS(AP$5,$L27,休日)=1,"▶","→")),"")))</f>
        <v/>
      </c>
      <c r="AQ27" s="116">
        <f>IF(OR($K27="",$L27=""),"",IF(NETWORKDAYS(AQ$5,AQ$5,休日)=0,"",IF(AND(AQ$5&gt;=$K27,AQ$5&lt;=$L27),IF(NETWORKDAYS($K27,AQ$5,休日)=1,"○",IF(NETWORKDAYS(AQ$5,$L27,休日)=1,"▶","→")),"")))</f>
        <v/>
      </c>
      <c r="AR27" s="116">
        <f>IF(OR($K27="",$L27=""),"",IF(NETWORKDAYS(AR$5,AR$5,休日)=0,"",IF(AND(AR$5&gt;=$K27,AR$5&lt;=$L27),IF(NETWORKDAYS($K27,AR$5,休日)=1,"○",IF(NETWORKDAYS(AR$5,$L27,休日)=1,"▶","→")),"")))</f>
        <v/>
      </c>
      <c r="AS27" s="116">
        <f>IF(OR($K27="",$L27=""),"",IF(NETWORKDAYS(AS$5,AS$5,休日)=0,"",IF(AND(AS$5&gt;=$K27,AS$5&lt;=$L27),IF(NETWORKDAYS($K27,AS$5,休日)=1,"○",IF(NETWORKDAYS(AS$5,$L27,休日)=1,"▶","→")),"")))</f>
        <v/>
      </c>
      <c r="AT27" s="116">
        <f>IF(OR($K27="",$L27=""),"",IF(NETWORKDAYS(AT$5,AT$5,休日)=0,"",IF(AND(AT$5&gt;=$K27,AT$5&lt;=$L27),IF(NETWORKDAYS($K27,AT$5,休日)=1,"○",IF(NETWORKDAYS(AT$5,$L27,休日)=1,"▶","→")),"")))</f>
        <v/>
      </c>
      <c r="AU27" s="116">
        <f>IF(OR($K27="",$L27=""),"",IF(NETWORKDAYS(AU$5,AU$5,休日)=0,"",IF(AND(AU$5&gt;=$K27,AU$5&lt;=$L27),IF(NETWORKDAYS($K27,AU$5,休日)=1,"○",IF(NETWORKDAYS(AU$5,$L27,休日)=1,"▶","→")),"")))</f>
        <v/>
      </c>
      <c r="AV27" s="116">
        <f>IF(OR($K27="",$L27=""),"",IF(NETWORKDAYS(AV$5,AV$5,休日)=0,"",IF(AND(AV$5&gt;=$K27,AV$5&lt;=$L27),IF(NETWORKDAYS($K27,AV$5,休日)=1,"○",IF(NETWORKDAYS(AV$5,$L27,休日)=1,"▶","→")),"")))</f>
        <v/>
      </c>
      <c r="AW27" s="116">
        <f>IF(OR($K27="",$L27=""),"",IF(NETWORKDAYS(AW$5,AW$5,休日)=0,"",IF(AND(AW$5&gt;=$K27,AW$5&lt;=$L27),IF(NETWORKDAYS($K27,AW$5,休日)=1,"○",IF(NETWORKDAYS(AW$5,$L27,休日)=1,"▶","→")),"")))</f>
        <v/>
      </c>
      <c r="AX27" s="116">
        <f>IF(OR($K27="",$L27=""),"",IF(NETWORKDAYS(AX$5,AX$5,休日)=0,"",IF(AND(AX$5&gt;=$K27,AX$5&lt;=$L27),IF(NETWORKDAYS($K27,AX$5,休日)=1,"○",IF(NETWORKDAYS(AX$5,$L27,休日)=1,"▶","→")),"")))</f>
        <v/>
      </c>
      <c r="AY27" s="116">
        <f>IF(OR($K27="",$L27=""),"",IF(NETWORKDAYS(AY$5,AY$5,休日)=0,"",IF(AND(AY$5&gt;=$K27,AY$5&lt;=$L27),IF(NETWORKDAYS($K27,AY$5,休日)=1,"○",IF(NETWORKDAYS(AY$5,$L27,休日)=1,"▶","→")),"")))</f>
        <v/>
      </c>
      <c r="AZ27" s="116">
        <f>IF(OR($K27="",$L27=""),"",IF(NETWORKDAYS(AZ$5,AZ$5,休日)=0,"",IF(AND(AZ$5&gt;=$K27,AZ$5&lt;=$L27),IF(NETWORKDAYS($K27,AZ$5,休日)=1,"○",IF(NETWORKDAYS(AZ$5,$L27,休日)=1,"▶","→")),"")))</f>
        <v/>
      </c>
      <c r="BA27" s="116">
        <f>IF(OR($K27="",$L27=""),"",IF(NETWORKDAYS(BA$5,BA$5,休日)=0,"",IF(AND(BA$5&gt;=$K27,BA$5&lt;=$L27),IF(NETWORKDAYS($K27,BA$5,休日)=1,"○",IF(NETWORKDAYS(BA$5,$L27,休日)=1,"▶","→")),"")))</f>
        <v/>
      </c>
      <c r="BB27" s="116">
        <f>IF(OR($K27="",$L27=""),"",IF(NETWORKDAYS(BB$5,BB$5,休日)=0,"",IF(AND(BB$5&gt;=$K27,BB$5&lt;=$L27),IF(NETWORKDAYS($K27,BB$5,休日)=1,"○",IF(NETWORKDAYS(BB$5,$L27,休日)=1,"▶","→")),"")))</f>
        <v/>
      </c>
      <c r="BC27" s="116">
        <f>IF(OR($K27="",$L27=""),"",IF(NETWORKDAYS(BC$5,BC$5,休日)=0,"",IF(AND(BC$5&gt;=$K27,BC$5&lt;=$L27),IF(NETWORKDAYS($K27,BC$5,休日)=1,"○",IF(NETWORKDAYS(BC$5,$L27,休日)=1,"▶","→")),"")))</f>
        <v/>
      </c>
      <c r="BD27" s="116">
        <f>IF(OR($K27="",$L27=""),"",IF(NETWORKDAYS(BD$5,BD$5,休日)=0,"",IF(AND(BD$5&gt;=$K27,BD$5&lt;=$L27),IF(NETWORKDAYS($K27,BD$5,休日)=1,"○",IF(NETWORKDAYS(BD$5,$L27,休日)=1,"▶","→")),"")))</f>
        <v/>
      </c>
      <c r="BE27" s="116">
        <f>IF(OR($K27="",$L27=""),"",IF(NETWORKDAYS(BE$5,BE$5,休日)=0,"",IF(AND(BE$5&gt;=$K27,BE$5&lt;=$L27),IF(NETWORKDAYS($K27,BE$5,休日)=1,"○",IF(NETWORKDAYS(BE$5,$L27,休日)=1,"▶","→")),"")))</f>
        <v/>
      </c>
      <c r="BF27" s="116">
        <f>IF(OR($K27="",$L27=""),"",IF(NETWORKDAYS(BF$5,BF$5,休日)=0,"",IF(AND(BF$5&gt;=$K27,BF$5&lt;=$L27),IF(NETWORKDAYS($K27,BF$5,休日)=1,"○",IF(NETWORKDAYS(BF$5,$L27,休日)=1,"▶","→")),"")))</f>
        <v/>
      </c>
      <c r="BG27" s="116">
        <f>IF(OR($K27="",$L27=""),"",IF(NETWORKDAYS(BG$5,BG$5,休日)=0,"",IF(AND(BG$5&gt;=$K27,BG$5&lt;=$L27),IF(NETWORKDAYS($K27,BG$5,休日)=1,"○",IF(NETWORKDAYS(BG$5,$L27,休日)=1,"▶","→")),"")))</f>
        <v/>
      </c>
      <c r="BH27" s="116">
        <f>IF(OR($K27="",$L27=""),"",IF(NETWORKDAYS(BH$5,BH$5,休日)=0,"",IF(AND(BH$5&gt;=$K27,BH$5&lt;=$L27),IF(NETWORKDAYS($K27,BH$5,休日)=1,"○",IF(NETWORKDAYS(BH$5,$L27,休日)=1,"▶","→")),"")))</f>
        <v/>
      </c>
      <c r="BI27" s="116">
        <f>IF(OR($K27="",$L27=""),"",IF(NETWORKDAYS(BI$5,BI$5,休日)=0,"",IF(AND(BI$5&gt;=$K27,BI$5&lt;=$L27),IF(NETWORKDAYS($K27,BI$5,休日)=1,"○",IF(NETWORKDAYS(BI$5,$L27,休日)=1,"▶","→")),"")))</f>
        <v/>
      </c>
      <c r="BJ27" s="116">
        <f>IF(OR($K27="",$L27=""),"",IF(NETWORKDAYS(BJ$5,BJ$5,休日)=0,"",IF(AND(BJ$5&gt;=$K27,BJ$5&lt;=$L27),IF(NETWORKDAYS($K27,BJ$5,休日)=1,"○",IF(NETWORKDAYS(BJ$5,$L27,休日)=1,"▶","→")),"")))</f>
        <v/>
      </c>
      <c r="BK27" s="116">
        <f>IF(OR($K27="",$L27=""),"",IF(NETWORKDAYS(BK$5,BK$5,休日)=0,"",IF(AND(BK$5&gt;=$K27,BK$5&lt;=$L27),IF(NETWORKDAYS($K27,BK$5,休日)=1,"○",IF(NETWORKDAYS(BK$5,$L27,休日)=1,"▶","→")),"")))</f>
        <v/>
      </c>
      <c r="BL27" s="116">
        <f>IF(OR($K27="",$L27=""),"",IF(NETWORKDAYS(BL$5,BL$5,休日)=0,"",IF(AND(BL$5&gt;=$K27,BL$5&lt;=$L27),IF(NETWORKDAYS($K27,BL$5,休日)=1,"○",IF(NETWORKDAYS(BL$5,$L27,休日)=1,"▶","→")),"")))</f>
        <v/>
      </c>
      <c r="BM27" s="116">
        <f>IF(OR($K27="",$L27=""),"",IF(NETWORKDAYS(BM$5,BM$5,休日)=0,"",IF(AND(BM$5&gt;=$K27,BM$5&lt;=$L27),IF(NETWORKDAYS($K27,BM$5,休日)=1,"○",IF(NETWORKDAYS(BM$5,$L27,休日)=1,"▶","→")),"")))</f>
        <v/>
      </c>
      <c r="BN27" s="116">
        <f>IF(OR($K27="",$L27=""),"",IF(NETWORKDAYS(BN$5,BN$5,休日)=0,"",IF(AND(BN$5&gt;=$K27,BN$5&lt;=$L27),IF(NETWORKDAYS($K27,BN$5,休日)=1,"○",IF(NETWORKDAYS(BN$5,$L27,休日)=1,"▶","→")),"")))</f>
        <v/>
      </c>
      <c r="BO27" s="116">
        <f>IF(OR($K27="",$L27=""),"",IF(NETWORKDAYS(BO$5,BO$5,休日)=0,"",IF(AND(BO$5&gt;=$K27,BO$5&lt;=$L27),IF(NETWORKDAYS($K27,BO$5,休日)=1,"○",IF(NETWORKDAYS(BO$5,$L27,休日)=1,"▶","→")),"")))</f>
        <v/>
      </c>
      <c r="BP27" s="116">
        <f>IF(OR($K27="",$L27=""),"",IF(NETWORKDAYS(BP$5,BP$5,休日)=0,"",IF(AND(BP$5&gt;=$K27,BP$5&lt;=$L27),IF(NETWORKDAYS($K27,BP$5,休日)=1,"○",IF(NETWORKDAYS(BP$5,$L27,休日)=1,"▶","→")),"")))</f>
        <v/>
      </c>
      <c r="BQ27" s="116">
        <f>IF(OR($K27="",$L27=""),"",IF(NETWORKDAYS(BQ$5,BQ$5,休日)=0,"",IF(AND(BQ$5&gt;=$K27,BQ$5&lt;=$L27),IF(NETWORKDAYS($K27,BQ$5,休日)=1,"○",IF(NETWORKDAYS(BQ$5,$L27,休日)=1,"▶","→")),"")))</f>
        <v/>
      </c>
      <c r="BR27" s="116">
        <f>IF(OR($K27="",$L27=""),"",IF(NETWORKDAYS(BR$5,BR$5,休日)=0,"",IF(AND(BR$5&gt;=$K27,BR$5&lt;=$L27),IF(NETWORKDAYS($K27,BR$5,休日)=1,"○",IF(NETWORKDAYS(BR$5,$L27,休日)=1,"▶","→")),"")))</f>
        <v/>
      </c>
      <c r="BS27" s="116">
        <f>IF(OR($K27="",$L27=""),"",IF(NETWORKDAYS(BS$5,BS$5,休日)=0,"",IF(AND(BS$5&gt;=$K27,BS$5&lt;=$L27),IF(NETWORKDAYS($K27,BS$5,休日)=1,"○",IF(NETWORKDAYS(BS$5,$L27,休日)=1,"▶","→")),"")))</f>
        <v/>
      </c>
      <c r="BT27" s="116">
        <f>IF(OR($K27="",$L27=""),"",IF(NETWORKDAYS(BT$5,BT$5,休日)=0,"",IF(AND(BT$5&gt;=$K27,BT$5&lt;=$L27),IF(NETWORKDAYS($K27,BT$5,休日)=1,"○",IF(NETWORKDAYS(BT$5,$L27,休日)=1,"▶","→")),"")))</f>
        <v/>
      </c>
      <c r="BU27" s="116">
        <f>IF(OR($K27="",$L27=""),"",IF(NETWORKDAYS(BU$5,BU$5,休日)=0,"",IF(AND(BU$5&gt;=$K27,BU$5&lt;=$L27),IF(NETWORKDAYS($K27,BU$5,休日)=1,"○",IF(NETWORKDAYS(BU$5,$L27,休日)=1,"▶","→")),"")))</f>
        <v/>
      </c>
      <c r="BV27" s="116">
        <f>IF(OR($K27="",$L27=""),"",IF(NETWORKDAYS(BV$5,BV$5,休日)=0,"",IF(AND(BV$5&gt;=$K27,BV$5&lt;=$L27),IF(NETWORKDAYS($K27,BV$5,休日)=1,"○",IF(NETWORKDAYS(BV$5,$L27,休日)=1,"▶","→")),"")))</f>
        <v/>
      </c>
      <c r="BW27" s="116">
        <f>IF(OR($K27="",$L27=""),"",IF(NETWORKDAYS(BW$5,BW$5,休日)=0,"",IF(AND(BW$5&gt;=$K27,BW$5&lt;=$L27),IF(NETWORKDAYS($K27,BW$5,休日)=1,"○",IF(NETWORKDAYS(BW$5,$L27,休日)=1,"▶","→")),"")))</f>
        <v/>
      </c>
      <c r="BX27" s="116">
        <f>IF(OR($K27="",$L27=""),"",IF(NETWORKDAYS(BX$5,BX$5,休日)=0,"",IF(AND(BX$5&gt;=$K27,BX$5&lt;=$L27),IF(NETWORKDAYS($K27,BX$5,休日)=1,"○",IF(NETWORKDAYS(BX$5,$L27,休日)=1,"▶","→")),"")))</f>
        <v/>
      </c>
      <c r="BY27" s="116">
        <f>IF(OR($K27="",$L27=""),"",IF(NETWORKDAYS(BY$5,BY$5,休日)=0,"",IF(AND(BY$5&gt;=$K27,BY$5&lt;=$L27),IF(NETWORKDAYS($K27,BY$5,休日)=1,"○",IF(NETWORKDAYS(BY$5,$L27,休日)=1,"▶","→")),"")))</f>
        <v/>
      </c>
      <c r="BZ27" s="116">
        <f>IF(OR($K27="",$L27=""),"",IF(NETWORKDAYS(BZ$5,BZ$5,休日)=0,"",IF(AND(BZ$5&gt;=$K27,BZ$5&lt;=$L27),IF(NETWORKDAYS($K27,BZ$5,休日)=1,"○",IF(NETWORKDAYS(BZ$5,$L27,休日)=1,"▶","→")),"")))</f>
        <v/>
      </c>
      <c r="CA27" s="116">
        <f>IF(OR($K27="",$L27=""),"",IF(NETWORKDAYS(CA$5,CA$5,休日)=0,"",IF(AND(CA$5&gt;=$K27,CA$5&lt;=$L27),IF(NETWORKDAYS($K27,CA$5,休日)=1,"○",IF(NETWORKDAYS(CA$5,$L27,休日)=1,"▶","→")),"")))</f>
        <v/>
      </c>
      <c r="CB27" s="116">
        <f>IF(OR($K27="",$L27=""),"",IF(NETWORKDAYS(CB$5,CB$5,休日)=0,"",IF(AND(CB$5&gt;=$K27,CB$5&lt;=$L27),IF(NETWORKDAYS($K27,CB$5,休日)=1,"○",IF(NETWORKDAYS(CB$5,$L27,休日)=1,"▶","→")),"")))</f>
        <v/>
      </c>
      <c r="CC27" s="116">
        <f>IF(OR($K27="",$L27=""),"",IF(NETWORKDAYS(CC$5,CC$5,休日)=0,"",IF(AND(CC$5&gt;=$K27,CC$5&lt;=$L27),IF(NETWORKDAYS($K27,CC$5,休日)=1,"○",IF(NETWORKDAYS(CC$5,$L27,休日)=1,"▶","→")),"")))</f>
        <v/>
      </c>
      <c r="CD27" s="116">
        <f>IF(OR($K27="",$L27=""),"",IF(NETWORKDAYS(CD$5,CD$5,休日)=0,"",IF(AND(CD$5&gt;=$K27,CD$5&lt;=$L27),IF(NETWORKDAYS($K27,CD$5,休日)=1,"○",IF(NETWORKDAYS(CD$5,$L27,休日)=1,"▶","→")),"")))</f>
        <v/>
      </c>
      <c r="CE27" s="116">
        <f>IF(OR($K27="",$L27=""),"",IF(NETWORKDAYS(CE$5,CE$5,休日)=0,"",IF(AND(CE$5&gt;=$K27,CE$5&lt;=$L27),IF(NETWORKDAYS($K27,CE$5,休日)=1,"○",IF(NETWORKDAYS(CE$5,$L27,休日)=1,"▶","→")),"")))</f>
        <v/>
      </c>
      <c r="CF27" s="116">
        <f>IF(OR($K27="",$L27=""),"",IF(NETWORKDAYS(CF$5,CF$5,休日)=0,"",IF(AND(CF$5&gt;=$K27,CF$5&lt;=$L27),IF(NETWORKDAYS($K27,CF$5,休日)=1,"○",IF(NETWORKDAYS(CF$5,$L27,休日)=1,"▶","→")),"")))</f>
        <v/>
      </c>
      <c r="CG27" s="116">
        <f>IF(OR($K27="",$L27=""),"",IF(NETWORKDAYS(CG$5,CG$5,休日)=0,"",IF(AND(CG$5&gt;=$K27,CG$5&lt;=$L27),IF(NETWORKDAYS($K27,CG$5,休日)=1,"○",IF(NETWORKDAYS(CG$5,$L27,休日)=1,"▶","→")),"")))</f>
        <v/>
      </c>
      <c r="CH27" s="116">
        <f>IF(OR($K27="",$L27=""),"",IF(NETWORKDAYS(CH$5,CH$5,休日)=0,"",IF(AND(CH$5&gt;=$K27,CH$5&lt;=$L27),IF(NETWORKDAYS($K27,CH$5,休日)=1,"○",IF(NETWORKDAYS(CH$5,$L27,休日)=1,"▶","→")),"")))</f>
        <v/>
      </c>
      <c r="CI27" s="116">
        <f>IF(OR($K27="",$L27=""),"",IF(NETWORKDAYS(CI$5,CI$5,休日)=0,"",IF(AND(CI$5&gt;=$K27,CI$5&lt;=$L27),IF(NETWORKDAYS($K27,CI$5,休日)=1,"○",IF(NETWORKDAYS(CI$5,$L27,休日)=1,"▶","→")),"")))</f>
        <v/>
      </c>
      <c r="CJ27" s="116">
        <f>IF(OR($K27="",$L27=""),"",IF(NETWORKDAYS(CJ$5,CJ$5,休日)=0,"",IF(AND(CJ$5&gt;=$K27,CJ$5&lt;=$L27),IF(NETWORKDAYS($K27,CJ$5,休日)=1,"○",IF(NETWORKDAYS(CJ$5,$L27,休日)=1,"▶","→")),"")))</f>
        <v/>
      </c>
      <c r="CK27" s="116">
        <f>IF(OR($K27="",$L27=""),"",IF(NETWORKDAYS(CK$5,CK$5,休日)=0,"",IF(AND(CK$5&gt;=$K27,CK$5&lt;=$L27),IF(NETWORKDAYS($K27,CK$5,休日)=1,"○",IF(NETWORKDAYS(CK$5,$L27,休日)=1,"▶","→")),"")))</f>
        <v/>
      </c>
      <c r="CL27" s="116">
        <f>IF(OR($K27="",$L27=""),"",IF(NETWORKDAYS(CL$5,CL$5,休日)=0,"",IF(AND(CL$5&gt;=$K27,CL$5&lt;=$L27),IF(NETWORKDAYS($K27,CL$5,休日)=1,"○",IF(NETWORKDAYS(CL$5,$L27,休日)=1,"▶","→")),"")))</f>
        <v/>
      </c>
      <c r="CM27" s="116">
        <f>IF(OR($K27="",$L27=""),"",IF(NETWORKDAYS(CM$5,CM$5,休日)=0,"",IF(AND(CM$5&gt;=$K27,CM$5&lt;=$L27),IF(NETWORKDAYS($K27,CM$5,休日)=1,"○",IF(NETWORKDAYS(CM$5,$L27,休日)=1,"▶","→")),"")))</f>
        <v/>
      </c>
      <c r="CN27" s="116">
        <f>IF(OR($K27="",$L27=""),"",IF(NETWORKDAYS(CN$5,CN$5,休日)=0,"",IF(AND(CN$5&gt;=$K27,CN$5&lt;=$L27),IF(NETWORKDAYS($K27,CN$5,休日)=1,"○",IF(NETWORKDAYS(CN$5,$L27,休日)=1,"▶","→")),"")))</f>
        <v/>
      </c>
      <c r="CO27" s="116">
        <f>IF(OR($K27="",$L27=""),"",IF(NETWORKDAYS(CO$5,CO$5,休日)=0,"",IF(AND(CO$5&gt;=$K27,CO$5&lt;=$L27),IF(NETWORKDAYS($K27,CO$5,休日)=1,"○",IF(NETWORKDAYS(CO$5,$L27,休日)=1,"▶","→")),"")))</f>
        <v/>
      </c>
    </row>
    <row r="28" ht="32" customHeight="1" s="98">
      <c r="A28" s="5" t="n"/>
      <c r="B28" s="100" t="inlineStr">
        <is>
          <t>2.1.8</t>
        </is>
      </c>
      <c r="C28" s="101" t="inlineStr">
        <is>
          <t>詳細設計</t>
        </is>
      </c>
      <c r="D28" s="101" t="inlineStr">
        <is>
          <t>Layer③</t>
        </is>
      </c>
      <c r="E28" s="101" t="inlineStr">
        <is>
          <t>生鮮入荷実績</t>
        </is>
      </c>
      <c r="F28" s="101" t="inlineStr">
        <is>
          <t>生鮮入荷実績</t>
        </is>
      </c>
      <c r="G28" s="100" t="inlineStr">
        <is>
          <t>差分</t>
        </is>
      </c>
      <c r="H28" s="100" t="inlineStr">
        <is>
          <t>王静</t>
        </is>
      </c>
      <c r="I28" s="113" t="n">
        <v>0.5</v>
      </c>
      <c r="J28" s="100" t="inlineStr">
        <is>
          <t>－</t>
        </is>
      </c>
      <c r="K28" s="114" t="n">
        <v>46321</v>
      </c>
      <c r="L28" s="114" t="n">
        <v>46325</v>
      </c>
      <c r="M28" s="114" t="n"/>
      <c r="N28" s="114" t="n"/>
      <c r="O28" s="100" t="inlineStr">
        <is>
          <t>未着手</t>
        </is>
      </c>
      <c r="P28" s="115" t="n">
        <v>0</v>
      </c>
      <c r="Q28" s="100" t="inlineStr">
        <is>
          <t>－</t>
        </is>
      </c>
      <c r="R28" s="101" t="inlineStr">
        <is>
          <t>Layer①とLayer③の期間は出典で分離されていない。同一期間を記入</t>
        </is>
      </c>
      <c r="S28" s="116">
        <f>IF(OR($K28="",$L28=""),"",IF(NETWORKDAYS(S$5,S$5,休日)=0,"",IF(AND(S$5&gt;=$K28,S$5&lt;=$L28),IF(NETWORKDAYS($K28,S$5,休日)=1,"○",IF(NETWORKDAYS(S$5,$L28,休日)=1,"▶","→")),"")))</f>
        <v/>
      </c>
      <c r="T28" s="116">
        <f>IF(OR($K28="",$L28=""),"",IF(NETWORKDAYS(T$5,T$5,休日)=0,"",IF(AND(T$5&gt;=$K28,T$5&lt;=$L28),IF(NETWORKDAYS($K28,T$5,休日)=1,"○",IF(NETWORKDAYS(T$5,$L28,休日)=1,"▶","→")),"")))</f>
        <v/>
      </c>
      <c r="U28" s="116">
        <f>IF(OR($K28="",$L28=""),"",IF(NETWORKDAYS(U$5,U$5,休日)=0,"",IF(AND(U$5&gt;=$K28,U$5&lt;=$L28),IF(NETWORKDAYS($K28,U$5,休日)=1,"○",IF(NETWORKDAYS(U$5,$L28,休日)=1,"▶","→")),"")))</f>
        <v/>
      </c>
      <c r="V28" s="116">
        <f>IF(OR($K28="",$L28=""),"",IF(NETWORKDAYS(V$5,V$5,休日)=0,"",IF(AND(V$5&gt;=$K28,V$5&lt;=$L28),IF(NETWORKDAYS($K28,V$5,休日)=1,"○",IF(NETWORKDAYS(V$5,$L28,休日)=1,"▶","→")),"")))</f>
        <v/>
      </c>
      <c r="W28" s="116">
        <f>IF(OR($K28="",$L28=""),"",IF(NETWORKDAYS(W$5,W$5,休日)=0,"",IF(AND(W$5&gt;=$K28,W$5&lt;=$L28),IF(NETWORKDAYS($K28,W$5,休日)=1,"○",IF(NETWORKDAYS(W$5,$L28,休日)=1,"▶","→")),"")))</f>
        <v/>
      </c>
      <c r="X28" s="116">
        <f>IF(OR($K28="",$L28=""),"",IF(NETWORKDAYS(X$5,X$5,休日)=0,"",IF(AND(X$5&gt;=$K28,X$5&lt;=$L28),IF(NETWORKDAYS($K28,X$5,休日)=1,"○",IF(NETWORKDAYS(X$5,$L28,休日)=1,"▶","→")),"")))</f>
        <v/>
      </c>
      <c r="Y28" s="116">
        <f>IF(OR($K28="",$L28=""),"",IF(NETWORKDAYS(Y$5,Y$5,休日)=0,"",IF(AND(Y$5&gt;=$K28,Y$5&lt;=$L28),IF(NETWORKDAYS($K28,Y$5,休日)=1,"○",IF(NETWORKDAYS(Y$5,$L28,休日)=1,"▶","→")),"")))</f>
        <v/>
      </c>
      <c r="Z28" s="116">
        <f>IF(OR($K28="",$L28=""),"",IF(NETWORKDAYS(Z$5,Z$5,休日)=0,"",IF(AND(Z$5&gt;=$K28,Z$5&lt;=$L28),IF(NETWORKDAYS($K28,Z$5,休日)=1,"○",IF(NETWORKDAYS(Z$5,$L28,休日)=1,"▶","→")),"")))</f>
        <v/>
      </c>
      <c r="AA28" s="116">
        <f>IF(OR($K28="",$L28=""),"",IF(NETWORKDAYS(AA$5,AA$5,休日)=0,"",IF(AND(AA$5&gt;=$K28,AA$5&lt;=$L28),IF(NETWORKDAYS($K28,AA$5,休日)=1,"○",IF(NETWORKDAYS(AA$5,$L28,休日)=1,"▶","→")),"")))</f>
        <v/>
      </c>
      <c r="AB28" s="116">
        <f>IF(OR($K28="",$L28=""),"",IF(NETWORKDAYS(AB$5,AB$5,休日)=0,"",IF(AND(AB$5&gt;=$K28,AB$5&lt;=$L28),IF(NETWORKDAYS($K28,AB$5,休日)=1,"○",IF(NETWORKDAYS(AB$5,$L28,休日)=1,"▶","→")),"")))</f>
        <v/>
      </c>
      <c r="AC28" s="116">
        <f>IF(OR($K28="",$L28=""),"",IF(NETWORKDAYS(AC$5,AC$5,休日)=0,"",IF(AND(AC$5&gt;=$K28,AC$5&lt;=$L28),IF(NETWORKDAYS($K28,AC$5,休日)=1,"○",IF(NETWORKDAYS(AC$5,$L28,休日)=1,"▶","→")),"")))</f>
        <v/>
      </c>
      <c r="AD28" s="116">
        <f>IF(OR($K28="",$L28=""),"",IF(NETWORKDAYS(AD$5,AD$5,休日)=0,"",IF(AND(AD$5&gt;=$K28,AD$5&lt;=$L28),IF(NETWORKDAYS($K28,AD$5,休日)=1,"○",IF(NETWORKDAYS(AD$5,$L28,休日)=1,"▶","→")),"")))</f>
        <v/>
      </c>
      <c r="AE28" s="116">
        <f>IF(OR($K28="",$L28=""),"",IF(NETWORKDAYS(AE$5,AE$5,休日)=0,"",IF(AND(AE$5&gt;=$K28,AE$5&lt;=$L28),IF(NETWORKDAYS($K28,AE$5,休日)=1,"○",IF(NETWORKDAYS(AE$5,$L28,休日)=1,"▶","→")),"")))</f>
        <v/>
      </c>
      <c r="AF28" s="116">
        <f>IF(OR($K28="",$L28=""),"",IF(NETWORKDAYS(AF$5,AF$5,休日)=0,"",IF(AND(AF$5&gt;=$K28,AF$5&lt;=$L28),IF(NETWORKDAYS($K28,AF$5,休日)=1,"○",IF(NETWORKDAYS(AF$5,$L28,休日)=1,"▶","→")),"")))</f>
        <v/>
      </c>
      <c r="AG28" s="116">
        <f>IF(OR($K28="",$L28=""),"",IF(NETWORKDAYS(AG$5,AG$5,休日)=0,"",IF(AND(AG$5&gt;=$K28,AG$5&lt;=$L28),IF(NETWORKDAYS($K28,AG$5,休日)=1,"○",IF(NETWORKDAYS(AG$5,$L28,休日)=1,"▶","→")),"")))</f>
        <v/>
      </c>
      <c r="AH28" s="116">
        <f>IF(OR($K28="",$L28=""),"",IF(NETWORKDAYS(AH$5,AH$5,休日)=0,"",IF(AND(AH$5&gt;=$K28,AH$5&lt;=$L28),IF(NETWORKDAYS($K28,AH$5,休日)=1,"○",IF(NETWORKDAYS(AH$5,$L28,休日)=1,"▶","→")),"")))</f>
        <v/>
      </c>
      <c r="AI28" s="116">
        <f>IF(OR($K28="",$L28=""),"",IF(NETWORKDAYS(AI$5,AI$5,休日)=0,"",IF(AND(AI$5&gt;=$K28,AI$5&lt;=$L28),IF(NETWORKDAYS($K28,AI$5,休日)=1,"○",IF(NETWORKDAYS(AI$5,$L28,休日)=1,"▶","→")),"")))</f>
        <v/>
      </c>
      <c r="AJ28" s="116">
        <f>IF(OR($K28="",$L28=""),"",IF(NETWORKDAYS(AJ$5,AJ$5,休日)=0,"",IF(AND(AJ$5&gt;=$K28,AJ$5&lt;=$L28),IF(NETWORKDAYS($K28,AJ$5,休日)=1,"○",IF(NETWORKDAYS(AJ$5,$L28,休日)=1,"▶","→")),"")))</f>
        <v/>
      </c>
      <c r="AK28" s="116">
        <f>IF(OR($K28="",$L28=""),"",IF(NETWORKDAYS(AK$5,AK$5,休日)=0,"",IF(AND(AK$5&gt;=$K28,AK$5&lt;=$L28),IF(NETWORKDAYS($K28,AK$5,休日)=1,"○",IF(NETWORKDAYS(AK$5,$L28,休日)=1,"▶","→")),"")))</f>
        <v/>
      </c>
      <c r="AL28" s="116">
        <f>IF(OR($K28="",$L28=""),"",IF(NETWORKDAYS(AL$5,AL$5,休日)=0,"",IF(AND(AL$5&gt;=$K28,AL$5&lt;=$L28),IF(NETWORKDAYS($K28,AL$5,休日)=1,"○",IF(NETWORKDAYS(AL$5,$L28,休日)=1,"▶","→")),"")))</f>
        <v/>
      </c>
      <c r="AM28" s="116">
        <f>IF(OR($K28="",$L28=""),"",IF(NETWORKDAYS(AM$5,AM$5,休日)=0,"",IF(AND(AM$5&gt;=$K28,AM$5&lt;=$L28),IF(NETWORKDAYS($K28,AM$5,休日)=1,"○",IF(NETWORKDAYS(AM$5,$L28,休日)=1,"▶","→")),"")))</f>
        <v/>
      </c>
      <c r="AN28" s="116">
        <f>IF(OR($K28="",$L28=""),"",IF(NETWORKDAYS(AN$5,AN$5,休日)=0,"",IF(AND(AN$5&gt;=$K28,AN$5&lt;=$L28),IF(NETWORKDAYS($K28,AN$5,休日)=1,"○",IF(NETWORKDAYS(AN$5,$L28,休日)=1,"▶","→")),"")))</f>
        <v/>
      </c>
      <c r="AO28" s="116">
        <f>IF(OR($K28="",$L28=""),"",IF(NETWORKDAYS(AO$5,AO$5,休日)=0,"",IF(AND(AO$5&gt;=$K28,AO$5&lt;=$L28),IF(NETWORKDAYS($K28,AO$5,休日)=1,"○",IF(NETWORKDAYS(AO$5,$L28,休日)=1,"▶","→")),"")))</f>
        <v/>
      </c>
      <c r="AP28" s="116">
        <f>IF(OR($K28="",$L28=""),"",IF(NETWORKDAYS(AP$5,AP$5,休日)=0,"",IF(AND(AP$5&gt;=$K28,AP$5&lt;=$L28),IF(NETWORKDAYS($K28,AP$5,休日)=1,"○",IF(NETWORKDAYS(AP$5,$L28,休日)=1,"▶","→")),"")))</f>
        <v/>
      </c>
      <c r="AQ28" s="116">
        <f>IF(OR($K28="",$L28=""),"",IF(NETWORKDAYS(AQ$5,AQ$5,休日)=0,"",IF(AND(AQ$5&gt;=$K28,AQ$5&lt;=$L28),IF(NETWORKDAYS($K28,AQ$5,休日)=1,"○",IF(NETWORKDAYS(AQ$5,$L28,休日)=1,"▶","→")),"")))</f>
        <v/>
      </c>
      <c r="AR28" s="116">
        <f>IF(OR($K28="",$L28=""),"",IF(NETWORKDAYS(AR$5,AR$5,休日)=0,"",IF(AND(AR$5&gt;=$K28,AR$5&lt;=$L28),IF(NETWORKDAYS($K28,AR$5,休日)=1,"○",IF(NETWORKDAYS(AR$5,$L28,休日)=1,"▶","→")),"")))</f>
        <v/>
      </c>
      <c r="AS28" s="116">
        <f>IF(OR($K28="",$L28=""),"",IF(NETWORKDAYS(AS$5,AS$5,休日)=0,"",IF(AND(AS$5&gt;=$K28,AS$5&lt;=$L28),IF(NETWORKDAYS($K28,AS$5,休日)=1,"○",IF(NETWORKDAYS(AS$5,$L28,休日)=1,"▶","→")),"")))</f>
        <v/>
      </c>
      <c r="AT28" s="116">
        <f>IF(OR($K28="",$L28=""),"",IF(NETWORKDAYS(AT$5,AT$5,休日)=0,"",IF(AND(AT$5&gt;=$K28,AT$5&lt;=$L28),IF(NETWORKDAYS($K28,AT$5,休日)=1,"○",IF(NETWORKDAYS(AT$5,$L28,休日)=1,"▶","→")),"")))</f>
        <v/>
      </c>
      <c r="AU28" s="116">
        <f>IF(OR($K28="",$L28=""),"",IF(NETWORKDAYS(AU$5,AU$5,休日)=0,"",IF(AND(AU$5&gt;=$K28,AU$5&lt;=$L28),IF(NETWORKDAYS($K28,AU$5,休日)=1,"○",IF(NETWORKDAYS(AU$5,$L28,休日)=1,"▶","→")),"")))</f>
        <v/>
      </c>
      <c r="AV28" s="116">
        <f>IF(OR($K28="",$L28=""),"",IF(NETWORKDAYS(AV$5,AV$5,休日)=0,"",IF(AND(AV$5&gt;=$K28,AV$5&lt;=$L28),IF(NETWORKDAYS($K28,AV$5,休日)=1,"○",IF(NETWORKDAYS(AV$5,$L28,休日)=1,"▶","→")),"")))</f>
        <v/>
      </c>
      <c r="AW28" s="116">
        <f>IF(OR($K28="",$L28=""),"",IF(NETWORKDAYS(AW$5,AW$5,休日)=0,"",IF(AND(AW$5&gt;=$K28,AW$5&lt;=$L28),IF(NETWORKDAYS($K28,AW$5,休日)=1,"○",IF(NETWORKDAYS(AW$5,$L28,休日)=1,"▶","→")),"")))</f>
        <v/>
      </c>
      <c r="AX28" s="116">
        <f>IF(OR($K28="",$L28=""),"",IF(NETWORKDAYS(AX$5,AX$5,休日)=0,"",IF(AND(AX$5&gt;=$K28,AX$5&lt;=$L28),IF(NETWORKDAYS($K28,AX$5,休日)=1,"○",IF(NETWORKDAYS(AX$5,$L28,休日)=1,"▶","→")),"")))</f>
        <v/>
      </c>
      <c r="AY28" s="116">
        <f>IF(OR($K28="",$L28=""),"",IF(NETWORKDAYS(AY$5,AY$5,休日)=0,"",IF(AND(AY$5&gt;=$K28,AY$5&lt;=$L28),IF(NETWORKDAYS($K28,AY$5,休日)=1,"○",IF(NETWORKDAYS(AY$5,$L28,休日)=1,"▶","→")),"")))</f>
        <v/>
      </c>
      <c r="AZ28" s="116">
        <f>IF(OR($K28="",$L28=""),"",IF(NETWORKDAYS(AZ$5,AZ$5,休日)=0,"",IF(AND(AZ$5&gt;=$K28,AZ$5&lt;=$L28),IF(NETWORKDAYS($K28,AZ$5,休日)=1,"○",IF(NETWORKDAYS(AZ$5,$L28,休日)=1,"▶","→")),"")))</f>
        <v/>
      </c>
      <c r="BA28" s="116">
        <f>IF(OR($K28="",$L28=""),"",IF(NETWORKDAYS(BA$5,BA$5,休日)=0,"",IF(AND(BA$5&gt;=$K28,BA$5&lt;=$L28),IF(NETWORKDAYS($K28,BA$5,休日)=1,"○",IF(NETWORKDAYS(BA$5,$L28,休日)=1,"▶","→")),"")))</f>
        <v/>
      </c>
      <c r="BB28" s="116">
        <f>IF(OR($K28="",$L28=""),"",IF(NETWORKDAYS(BB$5,BB$5,休日)=0,"",IF(AND(BB$5&gt;=$K28,BB$5&lt;=$L28),IF(NETWORKDAYS($K28,BB$5,休日)=1,"○",IF(NETWORKDAYS(BB$5,$L28,休日)=1,"▶","→")),"")))</f>
        <v/>
      </c>
      <c r="BC28" s="116">
        <f>IF(OR($K28="",$L28=""),"",IF(NETWORKDAYS(BC$5,BC$5,休日)=0,"",IF(AND(BC$5&gt;=$K28,BC$5&lt;=$L28),IF(NETWORKDAYS($K28,BC$5,休日)=1,"○",IF(NETWORKDAYS(BC$5,$L28,休日)=1,"▶","→")),"")))</f>
        <v/>
      </c>
      <c r="BD28" s="116">
        <f>IF(OR($K28="",$L28=""),"",IF(NETWORKDAYS(BD$5,BD$5,休日)=0,"",IF(AND(BD$5&gt;=$K28,BD$5&lt;=$L28),IF(NETWORKDAYS($K28,BD$5,休日)=1,"○",IF(NETWORKDAYS(BD$5,$L28,休日)=1,"▶","→")),"")))</f>
        <v/>
      </c>
      <c r="BE28" s="116">
        <f>IF(OR($K28="",$L28=""),"",IF(NETWORKDAYS(BE$5,BE$5,休日)=0,"",IF(AND(BE$5&gt;=$K28,BE$5&lt;=$L28),IF(NETWORKDAYS($K28,BE$5,休日)=1,"○",IF(NETWORKDAYS(BE$5,$L28,休日)=1,"▶","→")),"")))</f>
        <v/>
      </c>
      <c r="BF28" s="116">
        <f>IF(OR($K28="",$L28=""),"",IF(NETWORKDAYS(BF$5,BF$5,休日)=0,"",IF(AND(BF$5&gt;=$K28,BF$5&lt;=$L28),IF(NETWORKDAYS($K28,BF$5,休日)=1,"○",IF(NETWORKDAYS(BF$5,$L28,休日)=1,"▶","→")),"")))</f>
        <v/>
      </c>
      <c r="BG28" s="116">
        <f>IF(OR($K28="",$L28=""),"",IF(NETWORKDAYS(BG$5,BG$5,休日)=0,"",IF(AND(BG$5&gt;=$K28,BG$5&lt;=$L28),IF(NETWORKDAYS($K28,BG$5,休日)=1,"○",IF(NETWORKDAYS(BG$5,$L28,休日)=1,"▶","→")),"")))</f>
        <v/>
      </c>
      <c r="BH28" s="116">
        <f>IF(OR($K28="",$L28=""),"",IF(NETWORKDAYS(BH$5,BH$5,休日)=0,"",IF(AND(BH$5&gt;=$K28,BH$5&lt;=$L28),IF(NETWORKDAYS($K28,BH$5,休日)=1,"○",IF(NETWORKDAYS(BH$5,$L28,休日)=1,"▶","→")),"")))</f>
        <v/>
      </c>
      <c r="BI28" s="116">
        <f>IF(OR($K28="",$L28=""),"",IF(NETWORKDAYS(BI$5,BI$5,休日)=0,"",IF(AND(BI$5&gt;=$K28,BI$5&lt;=$L28),IF(NETWORKDAYS($K28,BI$5,休日)=1,"○",IF(NETWORKDAYS(BI$5,$L28,休日)=1,"▶","→")),"")))</f>
        <v/>
      </c>
      <c r="BJ28" s="116">
        <f>IF(OR($K28="",$L28=""),"",IF(NETWORKDAYS(BJ$5,BJ$5,休日)=0,"",IF(AND(BJ$5&gt;=$K28,BJ$5&lt;=$L28),IF(NETWORKDAYS($K28,BJ$5,休日)=1,"○",IF(NETWORKDAYS(BJ$5,$L28,休日)=1,"▶","→")),"")))</f>
        <v/>
      </c>
      <c r="BK28" s="116">
        <f>IF(OR($K28="",$L28=""),"",IF(NETWORKDAYS(BK$5,BK$5,休日)=0,"",IF(AND(BK$5&gt;=$K28,BK$5&lt;=$L28),IF(NETWORKDAYS($K28,BK$5,休日)=1,"○",IF(NETWORKDAYS(BK$5,$L28,休日)=1,"▶","→")),"")))</f>
        <v/>
      </c>
      <c r="BL28" s="116">
        <f>IF(OR($K28="",$L28=""),"",IF(NETWORKDAYS(BL$5,BL$5,休日)=0,"",IF(AND(BL$5&gt;=$K28,BL$5&lt;=$L28),IF(NETWORKDAYS($K28,BL$5,休日)=1,"○",IF(NETWORKDAYS(BL$5,$L28,休日)=1,"▶","→")),"")))</f>
        <v/>
      </c>
      <c r="BM28" s="116">
        <f>IF(OR($K28="",$L28=""),"",IF(NETWORKDAYS(BM$5,BM$5,休日)=0,"",IF(AND(BM$5&gt;=$K28,BM$5&lt;=$L28),IF(NETWORKDAYS($K28,BM$5,休日)=1,"○",IF(NETWORKDAYS(BM$5,$L28,休日)=1,"▶","→")),"")))</f>
        <v/>
      </c>
      <c r="BN28" s="116">
        <f>IF(OR($K28="",$L28=""),"",IF(NETWORKDAYS(BN$5,BN$5,休日)=0,"",IF(AND(BN$5&gt;=$K28,BN$5&lt;=$L28),IF(NETWORKDAYS($K28,BN$5,休日)=1,"○",IF(NETWORKDAYS(BN$5,$L28,休日)=1,"▶","→")),"")))</f>
        <v/>
      </c>
      <c r="BO28" s="116">
        <f>IF(OR($K28="",$L28=""),"",IF(NETWORKDAYS(BO$5,BO$5,休日)=0,"",IF(AND(BO$5&gt;=$K28,BO$5&lt;=$L28),IF(NETWORKDAYS($K28,BO$5,休日)=1,"○",IF(NETWORKDAYS(BO$5,$L28,休日)=1,"▶","→")),"")))</f>
        <v/>
      </c>
      <c r="BP28" s="116">
        <f>IF(OR($K28="",$L28=""),"",IF(NETWORKDAYS(BP$5,BP$5,休日)=0,"",IF(AND(BP$5&gt;=$K28,BP$5&lt;=$L28),IF(NETWORKDAYS($K28,BP$5,休日)=1,"○",IF(NETWORKDAYS(BP$5,$L28,休日)=1,"▶","→")),"")))</f>
        <v/>
      </c>
      <c r="BQ28" s="116">
        <f>IF(OR($K28="",$L28=""),"",IF(NETWORKDAYS(BQ$5,BQ$5,休日)=0,"",IF(AND(BQ$5&gt;=$K28,BQ$5&lt;=$L28),IF(NETWORKDAYS($K28,BQ$5,休日)=1,"○",IF(NETWORKDAYS(BQ$5,$L28,休日)=1,"▶","→")),"")))</f>
        <v/>
      </c>
      <c r="BR28" s="116">
        <f>IF(OR($K28="",$L28=""),"",IF(NETWORKDAYS(BR$5,BR$5,休日)=0,"",IF(AND(BR$5&gt;=$K28,BR$5&lt;=$L28),IF(NETWORKDAYS($K28,BR$5,休日)=1,"○",IF(NETWORKDAYS(BR$5,$L28,休日)=1,"▶","→")),"")))</f>
        <v/>
      </c>
      <c r="BS28" s="116">
        <f>IF(OR($K28="",$L28=""),"",IF(NETWORKDAYS(BS$5,BS$5,休日)=0,"",IF(AND(BS$5&gt;=$K28,BS$5&lt;=$L28),IF(NETWORKDAYS($K28,BS$5,休日)=1,"○",IF(NETWORKDAYS(BS$5,$L28,休日)=1,"▶","→")),"")))</f>
        <v/>
      </c>
      <c r="BT28" s="116">
        <f>IF(OR($K28="",$L28=""),"",IF(NETWORKDAYS(BT$5,BT$5,休日)=0,"",IF(AND(BT$5&gt;=$K28,BT$5&lt;=$L28),IF(NETWORKDAYS($K28,BT$5,休日)=1,"○",IF(NETWORKDAYS(BT$5,$L28,休日)=1,"▶","→")),"")))</f>
        <v/>
      </c>
      <c r="BU28" s="116">
        <f>IF(OR($K28="",$L28=""),"",IF(NETWORKDAYS(BU$5,BU$5,休日)=0,"",IF(AND(BU$5&gt;=$K28,BU$5&lt;=$L28),IF(NETWORKDAYS($K28,BU$5,休日)=1,"○",IF(NETWORKDAYS(BU$5,$L28,休日)=1,"▶","→")),"")))</f>
        <v/>
      </c>
      <c r="BV28" s="116">
        <f>IF(OR($K28="",$L28=""),"",IF(NETWORKDAYS(BV$5,BV$5,休日)=0,"",IF(AND(BV$5&gt;=$K28,BV$5&lt;=$L28),IF(NETWORKDAYS($K28,BV$5,休日)=1,"○",IF(NETWORKDAYS(BV$5,$L28,休日)=1,"▶","→")),"")))</f>
        <v/>
      </c>
      <c r="BW28" s="116">
        <f>IF(OR($K28="",$L28=""),"",IF(NETWORKDAYS(BW$5,BW$5,休日)=0,"",IF(AND(BW$5&gt;=$K28,BW$5&lt;=$L28),IF(NETWORKDAYS($K28,BW$5,休日)=1,"○",IF(NETWORKDAYS(BW$5,$L28,休日)=1,"▶","→")),"")))</f>
        <v/>
      </c>
      <c r="BX28" s="116">
        <f>IF(OR($K28="",$L28=""),"",IF(NETWORKDAYS(BX$5,BX$5,休日)=0,"",IF(AND(BX$5&gt;=$K28,BX$5&lt;=$L28),IF(NETWORKDAYS($K28,BX$5,休日)=1,"○",IF(NETWORKDAYS(BX$5,$L28,休日)=1,"▶","→")),"")))</f>
        <v/>
      </c>
      <c r="BY28" s="116">
        <f>IF(OR($K28="",$L28=""),"",IF(NETWORKDAYS(BY$5,BY$5,休日)=0,"",IF(AND(BY$5&gt;=$K28,BY$5&lt;=$L28),IF(NETWORKDAYS($K28,BY$5,休日)=1,"○",IF(NETWORKDAYS(BY$5,$L28,休日)=1,"▶","→")),"")))</f>
        <v/>
      </c>
      <c r="BZ28" s="116">
        <f>IF(OR($K28="",$L28=""),"",IF(NETWORKDAYS(BZ$5,BZ$5,休日)=0,"",IF(AND(BZ$5&gt;=$K28,BZ$5&lt;=$L28),IF(NETWORKDAYS($K28,BZ$5,休日)=1,"○",IF(NETWORKDAYS(BZ$5,$L28,休日)=1,"▶","→")),"")))</f>
        <v/>
      </c>
      <c r="CA28" s="116">
        <f>IF(OR($K28="",$L28=""),"",IF(NETWORKDAYS(CA$5,CA$5,休日)=0,"",IF(AND(CA$5&gt;=$K28,CA$5&lt;=$L28),IF(NETWORKDAYS($K28,CA$5,休日)=1,"○",IF(NETWORKDAYS(CA$5,$L28,休日)=1,"▶","→")),"")))</f>
        <v/>
      </c>
      <c r="CB28" s="116">
        <f>IF(OR($K28="",$L28=""),"",IF(NETWORKDAYS(CB$5,CB$5,休日)=0,"",IF(AND(CB$5&gt;=$K28,CB$5&lt;=$L28),IF(NETWORKDAYS($K28,CB$5,休日)=1,"○",IF(NETWORKDAYS(CB$5,$L28,休日)=1,"▶","→")),"")))</f>
        <v/>
      </c>
      <c r="CC28" s="116">
        <f>IF(OR($K28="",$L28=""),"",IF(NETWORKDAYS(CC$5,CC$5,休日)=0,"",IF(AND(CC$5&gt;=$K28,CC$5&lt;=$L28),IF(NETWORKDAYS($K28,CC$5,休日)=1,"○",IF(NETWORKDAYS(CC$5,$L28,休日)=1,"▶","→")),"")))</f>
        <v/>
      </c>
      <c r="CD28" s="116">
        <f>IF(OR($K28="",$L28=""),"",IF(NETWORKDAYS(CD$5,CD$5,休日)=0,"",IF(AND(CD$5&gt;=$K28,CD$5&lt;=$L28),IF(NETWORKDAYS($K28,CD$5,休日)=1,"○",IF(NETWORKDAYS(CD$5,$L28,休日)=1,"▶","→")),"")))</f>
        <v/>
      </c>
      <c r="CE28" s="116">
        <f>IF(OR($K28="",$L28=""),"",IF(NETWORKDAYS(CE$5,CE$5,休日)=0,"",IF(AND(CE$5&gt;=$K28,CE$5&lt;=$L28),IF(NETWORKDAYS($K28,CE$5,休日)=1,"○",IF(NETWORKDAYS(CE$5,$L28,休日)=1,"▶","→")),"")))</f>
        <v/>
      </c>
      <c r="CF28" s="116">
        <f>IF(OR($K28="",$L28=""),"",IF(NETWORKDAYS(CF$5,CF$5,休日)=0,"",IF(AND(CF$5&gt;=$K28,CF$5&lt;=$L28),IF(NETWORKDAYS($K28,CF$5,休日)=1,"○",IF(NETWORKDAYS(CF$5,$L28,休日)=1,"▶","→")),"")))</f>
        <v/>
      </c>
      <c r="CG28" s="116">
        <f>IF(OR($K28="",$L28=""),"",IF(NETWORKDAYS(CG$5,CG$5,休日)=0,"",IF(AND(CG$5&gt;=$K28,CG$5&lt;=$L28),IF(NETWORKDAYS($K28,CG$5,休日)=1,"○",IF(NETWORKDAYS(CG$5,$L28,休日)=1,"▶","→")),"")))</f>
        <v/>
      </c>
      <c r="CH28" s="116">
        <f>IF(OR($K28="",$L28=""),"",IF(NETWORKDAYS(CH$5,CH$5,休日)=0,"",IF(AND(CH$5&gt;=$K28,CH$5&lt;=$L28),IF(NETWORKDAYS($K28,CH$5,休日)=1,"○",IF(NETWORKDAYS(CH$5,$L28,休日)=1,"▶","→")),"")))</f>
        <v/>
      </c>
      <c r="CI28" s="116">
        <f>IF(OR($K28="",$L28=""),"",IF(NETWORKDAYS(CI$5,CI$5,休日)=0,"",IF(AND(CI$5&gt;=$K28,CI$5&lt;=$L28),IF(NETWORKDAYS($K28,CI$5,休日)=1,"○",IF(NETWORKDAYS(CI$5,$L28,休日)=1,"▶","→")),"")))</f>
        <v/>
      </c>
      <c r="CJ28" s="116">
        <f>IF(OR($K28="",$L28=""),"",IF(NETWORKDAYS(CJ$5,CJ$5,休日)=0,"",IF(AND(CJ$5&gt;=$K28,CJ$5&lt;=$L28),IF(NETWORKDAYS($K28,CJ$5,休日)=1,"○",IF(NETWORKDAYS(CJ$5,$L28,休日)=1,"▶","→")),"")))</f>
        <v/>
      </c>
      <c r="CK28" s="116">
        <f>IF(OR($K28="",$L28=""),"",IF(NETWORKDAYS(CK$5,CK$5,休日)=0,"",IF(AND(CK$5&gt;=$K28,CK$5&lt;=$L28),IF(NETWORKDAYS($K28,CK$5,休日)=1,"○",IF(NETWORKDAYS(CK$5,$L28,休日)=1,"▶","→")),"")))</f>
        <v/>
      </c>
      <c r="CL28" s="116">
        <f>IF(OR($K28="",$L28=""),"",IF(NETWORKDAYS(CL$5,CL$5,休日)=0,"",IF(AND(CL$5&gt;=$K28,CL$5&lt;=$L28),IF(NETWORKDAYS($K28,CL$5,休日)=1,"○",IF(NETWORKDAYS(CL$5,$L28,休日)=1,"▶","→")),"")))</f>
        <v/>
      </c>
      <c r="CM28" s="116">
        <f>IF(OR($K28="",$L28=""),"",IF(NETWORKDAYS(CM$5,CM$5,休日)=0,"",IF(AND(CM$5&gt;=$K28,CM$5&lt;=$L28),IF(NETWORKDAYS($K28,CM$5,休日)=1,"○",IF(NETWORKDAYS(CM$5,$L28,休日)=1,"▶","→")),"")))</f>
        <v/>
      </c>
      <c r="CN28" s="116">
        <f>IF(OR($K28="",$L28=""),"",IF(NETWORKDAYS(CN$5,CN$5,休日)=0,"",IF(AND(CN$5&gt;=$K28,CN$5&lt;=$L28),IF(NETWORKDAYS($K28,CN$5,休日)=1,"○",IF(NETWORKDAYS(CN$5,$L28,休日)=1,"▶","→")),"")))</f>
        <v/>
      </c>
      <c r="CO28" s="116">
        <f>IF(OR($K28="",$L28=""),"",IF(NETWORKDAYS(CO$5,CO$5,休日)=0,"",IF(AND(CO$5&gt;=$K28,CO$5&lt;=$L28),IF(NETWORKDAYS($K28,CO$5,休日)=1,"○",IF(NETWORKDAYS(CO$5,$L28,休日)=1,"▶","→")),"")))</f>
        <v/>
      </c>
    </row>
    <row r="29" ht="32" customHeight="1" s="98">
      <c r="A29" s="5" t="n"/>
      <c r="B29" s="100" t="inlineStr">
        <is>
          <t>2.1.9</t>
        </is>
      </c>
      <c r="C29" s="101" t="inlineStr">
        <is>
          <t>詳細設計</t>
        </is>
      </c>
      <c r="D29" s="101" t="inlineStr">
        <is>
          <t>Layer①</t>
        </is>
      </c>
      <c r="E29" s="101" t="inlineStr">
        <is>
          <t>生鮮入荷予定</t>
        </is>
      </c>
      <c r="F29" s="101" t="inlineStr">
        <is>
          <t>生鮮入荷予定</t>
        </is>
      </c>
      <c r="G29" s="100" t="inlineStr">
        <is>
          <t>差分</t>
        </is>
      </c>
      <c r="H29" s="100" t="inlineStr">
        <is>
          <t>尹启林</t>
        </is>
      </c>
      <c r="I29" s="113" t="n">
        <v>5</v>
      </c>
      <c r="J29" s="100" t="inlineStr">
        <is>
          <t>－</t>
        </is>
      </c>
      <c r="K29" s="114" t="n">
        <v>46321</v>
      </c>
      <c r="L29" s="114" t="n">
        <v>46328</v>
      </c>
      <c r="M29" s="114" t="n"/>
      <c r="N29" s="114" t="n"/>
      <c r="O29" s="100" t="inlineStr">
        <is>
          <t>未着手</t>
        </is>
      </c>
      <c r="P29" s="115" t="n">
        <v>0</v>
      </c>
      <c r="Q29" s="100" t="inlineStr">
        <is>
          <t>G②</t>
        </is>
      </c>
      <c r="R29" s="101" t="inlineStr">
        <is>
          <t>11/2に閉じる。開発へは11/4から。標準案はG②を待ちにしない。Layer①とLayer③の期間は出典で分離されていない。同一期間を記入</t>
        </is>
      </c>
      <c r="S29" s="116">
        <f>IF(OR($K29="",$L29=""),"",IF(NETWORKDAYS(S$5,S$5,休日)=0,"",IF(AND(S$5&gt;=$K29,S$5&lt;=$L29),IF(NETWORKDAYS($K29,S$5,休日)=1,"○",IF(NETWORKDAYS(S$5,$L29,休日)=1,"▶","→")),"")))</f>
        <v/>
      </c>
      <c r="T29" s="116">
        <f>IF(OR($K29="",$L29=""),"",IF(NETWORKDAYS(T$5,T$5,休日)=0,"",IF(AND(T$5&gt;=$K29,T$5&lt;=$L29),IF(NETWORKDAYS($K29,T$5,休日)=1,"○",IF(NETWORKDAYS(T$5,$L29,休日)=1,"▶","→")),"")))</f>
        <v/>
      </c>
      <c r="U29" s="116">
        <f>IF(OR($K29="",$L29=""),"",IF(NETWORKDAYS(U$5,U$5,休日)=0,"",IF(AND(U$5&gt;=$K29,U$5&lt;=$L29),IF(NETWORKDAYS($K29,U$5,休日)=1,"○",IF(NETWORKDAYS(U$5,$L29,休日)=1,"▶","→")),"")))</f>
        <v/>
      </c>
      <c r="V29" s="116">
        <f>IF(OR($K29="",$L29=""),"",IF(NETWORKDAYS(V$5,V$5,休日)=0,"",IF(AND(V$5&gt;=$K29,V$5&lt;=$L29),IF(NETWORKDAYS($K29,V$5,休日)=1,"○",IF(NETWORKDAYS(V$5,$L29,休日)=1,"▶","→")),"")))</f>
        <v/>
      </c>
      <c r="W29" s="116">
        <f>IF(OR($K29="",$L29=""),"",IF(NETWORKDAYS(W$5,W$5,休日)=0,"",IF(AND(W$5&gt;=$K29,W$5&lt;=$L29),IF(NETWORKDAYS($K29,W$5,休日)=1,"○",IF(NETWORKDAYS(W$5,$L29,休日)=1,"▶","→")),"")))</f>
        <v/>
      </c>
      <c r="X29" s="116">
        <f>IF(OR($K29="",$L29=""),"",IF(NETWORKDAYS(X$5,X$5,休日)=0,"",IF(AND(X$5&gt;=$K29,X$5&lt;=$L29),IF(NETWORKDAYS($K29,X$5,休日)=1,"○",IF(NETWORKDAYS(X$5,$L29,休日)=1,"▶","→")),"")))</f>
        <v/>
      </c>
      <c r="Y29" s="116">
        <f>IF(OR($K29="",$L29=""),"",IF(NETWORKDAYS(Y$5,Y$5,休日)=0,"",IF(AND(Y$5&gt;=$K29,Y$5&lt;=$L29),IF(NETWORKDAYS($K29,Y$5,休日)=1,"○",IF(NETWORKDAYS(Y$5,$L29,休日)=1,"▶","→")),"")))</f>
        <v/>
      </c>
      <c r="Z29" s="116">
        <f>IF(OR($K29="",$L29=""),"",IF(NETWORKDAYS(Z$5,Z$5,休日)=0,"",IF(AND(Z$5&gt;=$K29,Z$5&lt;=$L29),IF(NETWORKDAYS($K29,Z$5,休日)=1,"○",IF(NETWORKDAYS(Z$5,$L29,休日)=1,"▶","→")),"")))</f>
        <v/>
      </c>
      <c r="AA29" s="116">
        <f>IF(OR($K29="",$L29=""),"",IF(NETWORKDAYS(AA$5,AA$5,休日)=0,"",IF(AND(AA$5&gt;=$K29,AA$5&lt;=$L29),IF(NETWORKDAYS($K29,AA$5,休日)=1,"○",IF(NETWORKDAYS(AA$5,$L29,休日)=1,"▶","→")),"")))</f>
        <v/>
      </c>
      <c r="AB29" s="116">
        <f>IF(OR($K29="",$L29=""),"",IF(NETWORKDAYS(AB$5,AB$5,休日)=0,"",IF(AND(AB$5&gt;=$K29,AB$5&lt;=$L29),IF(NETWORKDAYS($K29,AB$5,休日)=1,"○",IF(NETWORKDAYS(AB$5,$L29,休日)=1,"▶","→")),"")))</f>
        <v/>
      </c>
      <c r="AC29" s="116">
        <f>IF(OR($K29="",$L29=""),"",IF(NETWORKDAYS(AC$5,AC$5,休日)=0,"",IF(AND(AC$5&gt;=$K29,AC$5&lt;=$L29),IF(NETWORKDAYS($K29,AC$5,休日)=1,"○",IF(NETWORKDAYS(AC$5,$L29,休日)=1,"▶","→")),"")))</f>
        <v/>
      </c>
      <c r="AD29" s="116">
        <f>IF(OR($K29="",$L29=""),"",IF(NETWORKDAYS(AD$5,AD$5,休日)=0,"",IF(AND(AD$5&gt;=$K29,AD$5&lt;=$L29),IF(NETWORKDAYS($K29,AD$5,休日)=1,"○",IF(NETWORKDAYS(AD$5,$L29,休日)=1,"▶","→")),"")))</f>
        <v/>
      </c>
      <c r="AE29" s="116">
        <f>IF(OR($K29="",$L29=""),"",IF(NETWORKDAYS(AE$5,AE$5,休日)=0,"",IF(AND(AE$5&gt;=$K29,AE$5&lt;=$L29),IF(NETWORKDAYS($K29,AE$5,休日)=1,"○",IF(NETWORKDAYS(AE$5,$L29,休日)=1,"▶","→")),"")))</f>
        <v/>
      </c>
      <c r="AF29" s="116">
        <f>IF(OR($K29="",$L29=""),"",IF(NETWORKDAYS(AF$5,AF$5,休日)=0,"",IF(AND(AF$5&gt;=$K29,AF$5&lt;=$L29),IF(NETWORKDAYS($K29,AF$5,休日)=1,"○",IF(NETWORKDAYS(AF$5,$L29,休日)=1,"▶","→")),"")))</f>
        <v/>
      </c>
      <c r="AG29" s="116">
        <f>IF(OR($K29="",$L29=""),"",IF(NETWORKDAYS(AG$5,AG$5,休日)=0,"",IF(AND(AG$5&gt;=$K29,AG$5&lt;=$L29),IF(NETWORKDAYS($K29,AG$5,休日)=1,"○",IF(NETWORKDAYS(AG$5,$L29,休日)=1,"▶","→")),"")))</f>
        <v/>
      </c>
      <c r="AH29" s="116">
        <f>IF(OR($K29="",$L29=""),"",IF(NETWORKDAYS(AH$5,AH$5,休日)=0,"",IF(AND(AH$5&gt;=$K29,AH$5&lt;=$L29),IF(NETWORKDAYS($K29,AH$5,休日)=1,"○",IF(NETWORKDAYS(AH$5,$L29,休日)=1,"▶","→")),"")))</f>
        <v/>
      </c>
      <c r="AI29" s="116">
        <f>IF(OR($K29="",$L29=""),"",IF(NETWORKDAYS(AI$5,AI$5,休日)=0,"",IF(AND(AI$5&gt;=$K29,AI$5&lt;=$L29),IF(NETWORKDAYS($K29,AI$5,休日)=1,"○",IF(NETWORKDAYS(AI$5,$L29,休日)=1,"▶","→")),"")))</f>
        <v/>
      </c>
      <c r="AJ29" s="116">
        <f>IF(OR($K29="",$L29=""),"",IF(NETWORKDAYS(AJ$5,AJ$5,休日)=0,"",IF(AND(AJ$5&gt;=$K29,AJ$5&lt;=$L29),IF(NETWORKDAYS($K29,AJ$5,休日)=1,"○",IF(NETWORKDAYS(AJ$5,$L29,休日)=1,"▶","→")),"")))</f>
        <v/>
      </c>
      <c r="AK29" s="116">
        <f>IF(OR($K29="",$L29=""),"",IF(NETWORKDAYS(AK$5,AK$5,休日)=0,"",IF(AND(AK$5&gt;=$K29,AK$5&lt;=$L29),IF(NETWORKDAYS($K29,AK$5,休日)=1,"○",IF(NETWORKDAYS(AK$5,$L29,休日)=1,"▶","→")),"")))</f>
        <v/>
      </c>
      <c r="AL29" s="116">
        <f>IF(OR($K29="",$L29=""),"",IF(NETWORKDAYS(AL$5,AL$5,休日)=0,"",IF(AND(AL$5&gt;=$K29,AL$5&lt;=$L29),IF(NETWORKDAYS($K29,AL$5,休日)=1,"○",IF(NETWORKDAYS(AL$5,$L29,休日)=1,"▶","→")),"")))</f>
        <v/>
      </c>
      <c r="AM29" s="116">
        <f>IF(OR($K29="",$L29=""),"",IF(NETWORKDAYS(AM$5,AM$5,休日)=0,"",IF(AND(AM$5&gt;=$K29,AM$5&lt;=$L29),IF(NETWORKDAYS($K29,AM$5,休日)=1,"○",IF(NETWORKDAYS(AM$5,$L29,休日)=1,"▶","→")),"")))</f>
        <v/>
      </c>
      <c r="AN29" s="116">
        <f>IF(OR($K29="",$L29=""),"",IF(NETWORKDAYS(AN$5,AN$5,休日)=0,"",IF(AND(AN$5&gt;=$K29,AN$5&lt;=$L29),IF(NETWORKDAYS($K29,AN$5,休日)=1,"○",IF(NETWORKDAYS(AN$5,$L29,休日)=1,"▶","→")),"")))</f>
        <v/>
      </c>
      <c r="AO29" s="116">
        <f>IF(OR($K29="",$L29=""),"",IF(NETWORKDAYS(AO$5,AO$5,休日)=0,"",IF(AND(AO$5&gt;=$K29,AO$5&lt;=$L29),IF(NETWORKDAYS($K29,AO$5,休日)=1,"○",IF(NETWORKDAYS(AO$5,$L29,休日)=1,"▶","→")),"")))</f>
        <v/>
      </c>
      <c r="AP29" s="116">
        <f>IF(OR($K29="",$L29=""),"",IF(NETWORKDAYS(AP$5,AP$5,休日)=0,"",IF(AND(AP$5&gt;=$K29,AP$5&lt;=$L29),IF(NETWORKDAYS($K29,AP$5,休日)=1,"○",IF(NETWORKDAYS(AP$5,$L29,休日)=1,"▶","→")),"")))</f>
        <v/>
      </c>
      <c r="AQ29" s="116">
        <f>IF(OR($K29="",$L29=""),"",IF(NETWORKDAYS(AQ$5,AQ$5,休日)=0,"",IF(AND(AQ$5&gt;=$K29,AQ$5&lt;=$L29),IF(NETWORKDAYS($K29,AQ$5,休日)=1,"○",IF(NETWORKDAYS(AQ$5,$L29,休日)=1,"▶","→")),"")))</f>
        <v/>
      </c>
      <c r="AR29" s="116">
        <f>IF(OR($K29="",$L29=""),"",IF(NETWORKDAYS(AR$5,AR$5,休日)=0,"",IF(AND(AR$5&gt;=$K29,AR$5&lt;=$L29),IF(NETWORKDAYS($K29,AR$5,休日)=1,"○",IF(NETWORKDAYS(AR$5,$L29,休日)=1,"▶","→")),"")))</f>
        <v/>
      </c>
      <c r="AS29" s="116">
        <f>IF(OR($K29="",$L29=""),"",IF(NETWORKDAYS(AS$5,AS$5,休日)=0,"",IF(AND(AS$5&gt;=$K29,AS$5&lt;=$L29),IF(NETWORKDAYS($K29,AS$5,休日)=1,"○",IF(NETWORKDAYS(AS$5,$L29,休日)=1,"▶","→")),"")))</f>
        <v/>
      </c>
      <c r="AT29" s="116">
        <f>IF(OR($K29="",$L29=""),"",IF(NETWORKDAYS(AT$5,AT$5,休日)=0,"",IF(AND(AT$5&gt;=$K29,AT$5&lt;=$L29),IF(NETWORKDAYS($K29,AT$5,休日)=1,"○",IF(NETWORKDAYS(AT$5,$L29,休日)=1,"▶","→")),"")))</f>
        <v/>
      </c>
      <c r="AU29" s="116">
        <f>IF(OR($K29="",$L29=""),"",IF(NETWORKDAYS(AU$5,AU$5,休日)=0,"",IF(AND(AU$5&gt;=$K29,AU$5&lt;=$L29),IF(NETWORKDAYS($K29,AU$5,休日)=1,"○",IF(NETWORKDAYS(AU$5,$L29,休日)=1,"▶","→")),"")))</f>
        <v/>
      </c>
      <c r="AV29" s="116">
        <f>IF(OR($K29="",$L29=""),"",IF(NETWORKDAYS(AV$5,AV$5,休日)=0,"",IF(AND(AV$5&gt;=$K29,AV$5&lt;=$L29),IF(NETWORKDAYS($K29,AV$5,休日)=1,"○",IF(NETWORKDAYS(AV$5,$L29,休日)=1,"▶","→")),"")))</f>
        <v/>
      </c>
      <c r="AW29" s="116">
        <f>IF(OR($K29="",$L29=""),"",IF(NETWORKDAYS(AW$5,AW$5,休日)=0,"",IF(AND(AW$5&gt;=$K29,AW$5&lt;=$L29),IF(NETWORKDAYS($K29,AW$5,休日)=1,"○",IF(NETWORKDAYS(AW$5,$L29,休日)=1,"▶","→")),"")))</f>
        <v/>
      </c>
      <c r="AX29" s="116">
        <f>IF(OR($K29="",$L29=""),"",IF(NETWORKDAYS(AX$5,AX$5,休日)=0,"",IF(AND(AX$5&gt;=$K29,AX$5&lt;=$L29),IF(NETWORKDAYS($K29,AX$5,休日)=1,"○",IF(NETWORKDAYS(AX$5,$L29,休日)=1,"▶","→")),"")))</f>
        <v/>
      </c>
      <c r="AY29" s="116">
        <f>IF(OR($K29="",$L29=""),"",IF(NETWORKDAYS(AY$5,AY$5,休日)=0,"",IF(AND(AY$5&gt;=$K29,AY$5&lt;=$L29),IF(NETWORKDAYS($K29,AY$5,休日)=1,"○",IF(NETWORKDAYS(AY$5,$L29,休日)=1,"▶","→")),"")))</f>
        <v/>
      </c>
      <c r="AZ29" s="116">
        <f>IF(OR($K29="",$L29=""),"",IF(NETWORKDAYS(AZ$5,AZ$5,休日)=0,"",IF(AND(AZ$5&gt;=$K29,AZ$5&lt;=$L29),IF(NETWORKDAYS($K29,AZ$5,休日)=1,"○",IF(NETWORKDAYS(AZ$5,$L29,休日)=1,"▶","→")),"")))</f>
        <v/>
      </c>
      <c r="BA29" s="116">
        <f>IF(OR($K29="",$L29=""),"",IF(NETWORKDAYS(BA$5,BA$5,休日)=0,"",IF(AND(BA$5&gt;=$K29,BA$5&lt;=$L29),IF(NETWORKDAYS($K29,BA$5,休日)=1,"○",IF(NETWORKDAYS(BA$5,$L29,休日)=1,"▶","→")),"")))</f>
        <v/>
      </c>
      <c r="BB29" s="116">
        <f>IF(OR($K29="",$L29=""),"",IF(NETWORKDAYS(BB$5,BB$5,休日)=0,"",IF(AND(BB$5&gt;=$K29,BB$5&lt;=$L29),IF(NETWORKDAYS($K29,BB$5,休日)=1,"○",IF(NETWORKDAYS(BB$5,$L29,休日)=1,"▶","→")),"")))</f>
        <v/>
      </c>
      <c r="BC29" s="116">
        <f>IF(OR($K29="",$L29=""),"",IF(NETWORKDAYS(BC$5,BC$5,休日)=0,"",IF(AND(BC$5&gt;=$K29,BC$5&lt;=$L29),IF(NETWORKDAYS($K29,BC$5,休日)=1,"○",IF(NETWORKDAYS(BC$5,$L29,休日)=1,"▶","→")),"")))</f>
        <v/>
      </c>
      <c r="BD29" s="116">
        <f>IF(OR($K29="",$L29=""),"",IF(NETWORKDAYS(BD$5,BD$5,休日)=0,"",IF(AND(BD$5&gt;=$K29,BD$5&lt;=$L29),IF(NETWORKDAYS($K29,BD$5,休日)=1,"○",IF(NETWORKDAYS(BD$5,$L29,休日)=1,"▶","→")),"")))</f>
        <v/>
      </c>
      <c r="BE29" s="116">
        <f>IF(OR($K29="",$L29=""),"",IF(NETWORKDAYS(BE$5,BE$5,休日)=0,"",IF(AND(BE$5&gt;=$K29,BE$5&lt;=$L29),IF(NETWORKDAYS($K29,BE$5,休日)=1,"○",IF(NETWORKDAYS(BE$5,$L29,休日)=1,"▶","→")),"")))</f>
        <v/>
      </c>
      <c r="BF29" s="116">
        <f>IF(OR($K29="",$L29=""),"",IF(NETWORKDAYS(BF$5,BF$5,休日)=0,"",IF(AND(BF$5&gt;=$K29,BF$5&lt;=$L29),IF(NETWORKDAYS($K29,BF$5,休日)=1,"○",IF(NETWORKDAYS(BF$5,$L29,休日)=1,"▶","→")),"")))</f>
        <v/>
      </c>
      <c r="BG29" s="116">
        <f>IF(OR($K29="",$L29=""),"",IF(NETWORKDAYS(BG$5,BG$5,休日)=0,"",IF(AND(BG$5&gt;=$K29,BG$5&lt;=$L29),IF(NETWORKDAYS($K29,BG$5,休日)=1,"○",IF(NETWORKDAYS(BG$5,$L29,休日)=1,"▶","→")),"")))</f>
        <v/>
      </c>
      <c r="BH29" s="116">
        <f>IF(OR($K29="",$L29=""),"",IF(NETWORKDAYS(BH$5,BH$5,休日)=0,"",IF(AND(BH$5&gt;=$K29,BH$5&lt;=$L29),IF(NETWORKDAYS($K29,BH$5,休日)=1,"○",IF(NETWORKDAYS(BH$5,$L29,休日)=1,"▶","→")),"")))</f>
        <v/>
      </c>
      <c r="BI29" s="116">
        <f>IF(OR($K29="",$L29=""),"",IF(NETWORKDAYS(BI$5,BI$5,休日)=0,"",IF(AND(BI$5&gt;=$K29,BI$5&lt;=$L29),IF(NETWORKDAYS($K29,BI$5,休日)=1,"○",IF(NETWORKDAYS(BI$5,$L29,休日)=1,"▶","→")),"")))</f>
        <v/>
      </c>
      <c r="BJ29" s="116">
        <f>IF(OR($K29="",$L29=""),"",IF(NETWORKDAYS(BJ$5,BJ$5,休日)=0,"",IF(AND(BJ$5&gt;=$K29,BJ$5&lt;=$L29),IF(NETWORKDAYS($K29,BJ$5,休日)=1,"○",IF(NETWORKDAYS(BJ$5,$L29,休日)=1,"▶","→")),"")))</f>
        <v/>
      </c>
      <c r="BK29" s="116">
        <f>IF(OR($K29="",$L29=""),"",IF(NETWORKDAYS(BK$5,BK$5,休日)=0,"",IF(AND(BK$5&gt;=$K29,BK$5&lt;=$L29),IF(NETWORKDAYS($K29,BK$5,休日)=1,"○",IF(NETWORKDAYS(BK$5,$L29,休日)=1,"▶","→")),"")))</f>
        <v/>
      </c>
      <c r="BL29" s="116">
        <f>IF(OR($K29="",$L29=""),"",IF(NETWORKDAYS(BL$5,BL$5,休日)=0,"",IF(AND(BL$5&gt;=$K29,BL$5&lt;=$L29),IF(NETWORKDAYS($K29,BL$5,休日)=1,"○",IF(NETWORKDAYS(BL$5,$L29,休日)=1,"▶","→")),"")))</f>
        <v/>
      </c>
      <c r="BM29" s="116">
        <f>IF(OR($K29="",$L29=""),"",IF(NETWORKDAYS(BM$5,BM$5,休日)=0,"",IF(AND(BM$5&gt;=$K29,BM$5&lt;=$L29),IF(NETWORKDAYS($K29,BM$5,休日)=1,"○",IF(NETWORKDAYS(BM$5,$L29,休日)=1,"▶","→")),"")))</f>
        <v/>
      </c>
      <c r="BN29" s="116">
        <f>IF(OR($K29="",$L29=""),"",IF(NETWORKDAYS(BN$5,BN$5,休日)=0,"",IF(AND(BN$5&gt;=$K29,BN$5&lt;=$L29),IF(NETWORKDAYS($K29,BN$5,休日)=1,"○",IF(NETWORKDAYS(BN$5,$L29,休日)=1,"▶","→")),"")))</f>
        <v/>
      </c>
      <c r="BO29" s="116">
        <f>IF(OR($K29="",$L29=""),"",IF(NETWORKDAYS(BO$5,BO$5,休日)=0,"",IF(AND(BO$5&gt;=$K29,BO$5&lt;=$L29),IF(NETWORKDAYS($K29,BO$5,休日)=1,"○",IF(NETWORKDAYS(BO$5,$L29,休日)=1,"▶","→")),"")))</f>
        <v/>
      </c>
      <c r="BP29" s="116">
        <f>IF(OR($K29="",$L29=""),"",IF(NETWORKDAYS(BP$5,BP$5,休日)=0,"",IF(AND(BP$5&gt;=$K29,BP$5&lt;=$L29),IF(NETWORKDAYS($K29,BP$5,休日)=1,"○",IF(NETWORKDAYS(BP$5,$L29,休日)=1,"▶","→")),"")))</f>
        <v/>
      </c>
      <c r="BQ29" s="116">
        <f>IF(OR($K29="",$L29=""),"",IF(NETWORKDAYS(BQ$5,BQ$5,休日)=0,"",IF(AND(BQ$5&gt;=$K29,BQ$5&lt;=$L29),IF(NETWORKDAYS($K29,BQ$5,休日)=1,"○",IF(NETWORKDAYS(BQ$5,$L29,休日)=1,"▶","→")),"")))</f>
        <v/>
      </c>
      <c r="BR29" s="116">
        <f>IF(OR($K29="",$L29=""),"",IF(NETWORKDAYS(BR$5,BR$5,休日)=0,"",IF(AND(BR$5&gt;=$K29,BR$5&lt;=$L29),IF(NETWORKDAYS($K29,BR$5,休日)=1,"○",IF(NETWORKDAYS(BR$5,$L29,休日)=1,"▶","→")),"")))</f>
        <v/>
      </c>
      <c r="BS29" s="116">
        <f>IF(OR($K29="",$L29=""),"",IF(NETWORKDAYS(BS$5,BS$5,休日)=0,"",IF(AND(BS$5&gt;=$K29,BS$5&lt;=$L29),IF(NETWORKDAYS($K29,BS$5,休日)=1,"○",IF(NETWORKDAYS(BS$5,$L29,休日)=1,"▶","→")),"")))</f>
        <v/>
      </c>
      <c r="BT29" s="116">
        <f>IF(OR($K29="",$L29=""),"",IF(NETWORKDAYS(BT$5,BT$5,休日)=0,"",IF(AND(BT$5&gt;=$K29,BT$5&lt;=$L29),IF(NETWORKDAYS($K29,BT$5,休日)=1,"○",IF(NETWORKDAYS(BT$5,$L29,休日)=1,"▶","→")),"")))</f>
        <v/>
      </c>
      <c r="BU29" s="116">
        <f>IF(OR($K29="",$L29=""),"",IF(NETWORKDAYS(BU$5,BU$5,休日)=0,"",IF(AND(BU$5&gt;=$K29,BU$5&lt;=$L29),IF(NETWORKDAYS($K29,BU$5,休日)=1,"○",IF(NETWORKDAYS(BU$5,$L29,休日)=1,"▶","→")),"")))</f>
        <v/>
      </c>
      <c r="BV29" s="116">
        <f>IF(OR($K29="",$L29=""),"",IF(NETWORKDAYS(BV$5,BV$5,休日)=0,"",IF(AND(BV$5&gt;=$K29,BV$5&lt;=$L29),IF(NETWORKDAYS($K29,BV$5,休日)=1,"○",IF(NETWORKDAYS(BV$5,$L29,休日)=1,"▶","→")),"")))</f>
        <v/>
      </c>
      <c r="BW29" s="116">
        <f>IF(OR($K29="",$L29=""),"",IF(NETWORKDAYS(BW$5,BW$5,休日)=0,"",IF(AND(BW$5&gt;=$K29,BW$5&lt;=$L29),IF(NETWORKDAYS($K29,BW$5,休日)=1,"○",IF(NETWORKDAYS(BW$5,$L29,休日)=1,"▶","→")),"")))</f>
        <v/>
      </c>
      <c r="BX29" s="116">
        <f>IF(OR($K29="",$L29=""),"",IF(NETWORKDAYS(BX$5,BX$5,休日)=0,"",IF(AND(BX$5&gt;=$K29,BX$5&lt;=$L29),IF(NETWORKDAYS($K29,BX$5,休日)=1,"○",IF(NETWORKDAYS(BX$5,$L29,休日)=1,"▶","→")),"")))</f>
        <v/>
      </c>
      <c r="BY29" s="116">
        <f>IF(OR($K29="",$L29=""),"",IF(NETWORKDAYS(BY$5,BY$5,休日)=0,"",IF(AND(BY$5&gt;=$K29,BY$5&lt;=$L29),IF(NETWORKDAYS($K29,BY$5,休日)=1,"○",IF(NETWORKDAYS(BY$5,$L29,休日)=1,"▶","→")),"")))</f>
        <v/>
      </c>
      <c r="BZ29" s="116">
        <f>IF(OR($K29="",$L29=""),"",IF(NETWORKDAYS(BZ$5,BZ$5,休日)=0,"",IF(AND(BZ$5&gt;=$K29,BZ$5&lt;=$L29),IF(NETWORKDAYS($K29,BZ$5,休日)=1,"○",IF(NETWORKDAYS(BZ$5,$L29,休日)=1,"▶","→")),"")))</f>
        <v/>
      </c>
      <c r="CA29" s="116">
        <f>IF(OR($K29="",$L29=""),"",IF(NETWORKDAYS(CA$5,CA$5,休日)=0,"",IF(AND(CA$5&gt;=$K29,CA$5&lt;=$L29),IF(NETWORKDAYS($K29,CA$5,休日)=1,"○",IF(NETWORKDAYS(CA$5,$L29,休日)=1,"▶","→")),"")))</f>
        <v/>
      </c>
      <c r="CB29" s="116">
        <f>IF(OR($K29="",$L29=""),"",IF(NETWORKDAYS(CB$5,CB$5,休日)=0,"",IF(AND(CB$5&gt;=$K29,CB$5&lt;=$L29),IF(NETWORKDAYS($K29,CB$5,休日)=1,"○",IF(NETWORKDAYS(CB$5,$L29,休日)=1,"▶","→")),"")))</f>
        <v/>
      </c>
      <c r="CC29" s="116">
        <f>IF(OR($K29="",$L29=""),"",IF(NETWORKDAYS(CC$5,CC$5,休日)=0,"",IF(AND(CC$5&gt;=$K29,CC$5&lt;=$L29),IF(NETWORKDAYS($K29,CC$5,休日)=1,"○",IF(NETWORKDAYS(CC$5,$L29,休日)=1,"▶","→")),"")))</f>
        <v/>
      </c>
      <c r="CD29" s="116">
        <f>IF(OR($K29="",$L29=""),"",IF(NETWORKDAYS(CD$5,CD$5,休日)=0,"",IF(AND(CD$5&gt;=$K29,CD$5&lt;=$L29),IF(NETWORKDAYS($K29,CD$5,休日)=1,"○",IF(NETWORKDAYS(CD$5,$L29,休日)=1,"▶","→")),"")))</f>
        <v/>
      </c>
      <c r="CE29" s="116">
        <f>IF(OR($K29="",$L29=""),"",IF(NETWORKDAYS(CE$5,CE$5,休日)=0,"",IF(AND(CE$5&gt;=$K29,CE$5&lt;=$L29),IF(NETWORKDAYS($K29,CE$5,休日)=1,"○",IF(NETWORKDAYS(CE$5,$L29,休日)=1,"▶","→")),"")))</f>
        <v/>
      </c>
      <c r="CF29" s="116">
        <f>IF(OR($K29="",$L29=""),"",IF(NETWORKDAYS(CF$5,CF$5,休日)=0,"",IF(AND(CF$5&gt;=$K29,CF$5&lt;=$L29),IF(NETWORKDAYS($K29,CF$5,休日)=1,"○",IF(NETWORKDAYS(CF$5,$L29,休日)=1,"▶","→")),"")))</f>
        <v/>
      </c>
      <c r="CG29" s="116">
        <f>IF(OR($K29="",$L29=""),"",IF(NETWORKDAYS(CG$5,CG$5,休日)=0,"",IF(AND(CG$5&gt;=$K29,CG$5&lt;=$L29),IF(NETWORKDAYS($K29,CG$5,休日)=1,"○",IF(NETWORKDAYS(CG$5,$L29,休日)=1,"▶","→")),"")))</f>
        <v/>
      </c>
      <c r="CH29" s="116">
        <f>IF(OR($K29="",$L29=""),"",IF(NETWORKDAYS(CH$5,CH$5,休日)=0,"",IF(AND(CH$5&gt;=$K29,CH$5&lt;=$L29),IF(NETWORKDAYS($K29,CH$5,休日)=1,"○",IF(NETWORKDAYS(CH$5,$L29,休日)=1,"▶","→")),"")))</f>
        <v/>
      </c>
      <c r="CI29" s="116">
        <f>IF(OR($K29="",$L29=""),"",IF(NETWORKDAYS(CI$5,CI$5,休日)=0,"",IF(AND(CI$5&gt;=$K29,CI$5&lt;=$L29),IF(NETWORKDAYS($K29,CI$5,休日)=1,"○",IF(NETWORKDAYS(CI$5,$L29,休日)=1,"▶","→")),"")))</f>
        <v/>
      </c>
      <c r="CJ29" s="116">
        <f>IF(OR($K29="",$L29=""),"",IF(NETWORKDAYS(CJ$5,CJ$5,休日)=0,"",IF(AND(CJ$5&gt;=$K29,CJ$5&lt;=$L29),IF(NETWORKDAYS($K29,CJ$5,休日)=1,"○",IF(NETWORKDAYS(CJ$5,$L29,休日)=1,"▶","→")),"")))</f>
        <v/>
      </c>
      <c r="CK29" s="116">
        <f>IF(OR($K29="",$L29=""),"",IF(NETWORKDAYS(CK$5,CK$5,休日)=0,"",IF(AND(CK$5&gt;=$K29,CK$5&lt;=$L29),IF(NETWORKDAYS($K29,CK$5,休日)=1,"○",IF(NETWORKDAYS(CK$5,$L29,休日)=1,"▶","→")),"")))</f>
        <v/>
      </c>
      <c r="CL29" s="116">
        <f>IF(OR($K29="",$L29=""),"",IF(NETWORKDAYS(CL$5,CL$5,休日)=0,"",IF(AND(CL$5&gt;=$K29,CL$5&lt;=$L29),IF(NETWORKDAYS($K29,CL$5,休日)=1,"○",IF(NETWORKDAYS(CL$5,$L29,休日)=1,"▶","→")),"")))</f>
        <v/>
      </c>
      <c r="CM29" s="116">
        <f>IF(OR($K29="",$L29=""),"",IF(NETWORKDAYS(CM$5,CM$5,休日)=0,"",IF(AND(CM$5&gt;=$K29,CM$5&lt;=$L29),IF(NETWORKDAYS($K29,CM$5,休日)=1,"○",IF(NETWORKDAYS(CM$5,$L29,休日)=1,"▶","→")),"")))</f>
        <v/>
      </c>
      <c r="CN29" s="116">
        <f>IF(OR($K29="",$L29=""),"",IF(NETWORKDAYS(CN$5,CN$5,休日)=0,"",IF(AND(CN$5&gt;=$K29,CN$5&lt;=$L29),IF(NETWORKDAYS($K29,CN$5,休日)=1,"○",IF(NETWORKDAYS(CN$5,$L29,休日)=1,"▶","→")),"")))</f>
        <v/>
      </c>
      <c r="CO29" s="116">
        <f>IF(OR($K29="",$L29=""),"",IF(NETWORKDAYS(CO$5,CO$5,休日)=0,"",IF(AND(CO$5&gt;=$K29,CO$5&lt;=$L29),IF(NETWORKDAYS($K29,CO$5,休日)=1,"○",IF(NETWORKDAYS(CO$5,$L29,休日)=1,"▶","→")),"")))</f>
        <v/>
      </c>
    </row>
    <row r="30" ht="32" customHeight="1" s="98">
      <c r="A30" s="5" t="n"/>
      <c r="B30" s="100" t="inlineStr">
        <is>
          <t>2.1.10</t>
        </is>
      </c>
      <c r="C30" s="101" t="inlineStr">
        <is>
          <t>詳細設計</t>
        </is>
      </c>
      <c r="D30" s="101" t="inlineStr">
        <is>
          <t>Layer③</t>
        </is>
      </c>
      <c r="E30" s="101" t="inlineStr">
        <is>
          <t>生鮮入荷予定</t>
        </is>
      </c>
      <c r="F30" s="101" t="inlineStr">
        <is>
          <t>生鮮入荷予定</t>
        </is>
      </c>
      <c r="G30" s="100" t="inlineStr">
        <is>
          <t>差分</t>
        </is>
      </c>
      <c r="H30" s="100" t="inlineStr">
        <is>
          <t>尹启林</t>
        </is>
      </c>
      <c r="I30" s="113" t="n">
        <v>0.5</v>
      </c>
      <c r="J30" s="100" t="inlineStr">
        <is>
          <t>－</t>
        </is>
      </c>
      <c r="K30" s="114" t="n">
        <v>46321</v>
      </c>
      <c r="L30" s="114" t="n">
        <v>46328</v>
      </c>
      <c r="M30" s="114" t="n"/>
      <c r="N30" s="114" t="n"/>
      <c r="O30" s="100" t="inlineStr">
        <is>
          <t>未着手</t>
        </is>
      </c>
      <c r="P30" s="115" t="n">
        <v>0</v>
      </c>
      <c r="Q30" s="100" t="inlineStr">
        <is>
          <t>G②</t>
        </is>
      </c>
      <c r="R30" s="101" t="inlineStr">
        <is>
          <t>Layer①とLayer③の期間は出典で分離されていない。同一期間を記入</t>
        </is>
      </c>
      <c r="S30" s="116">
        <f>IF(OR($K30="",$L30=""),"",IF(NETWORKDAYS(S$5,S$5,休日)=0,"",IF(AND(S$5&gt;=$K30,S$5&lt;=$L30),IF(NETWORKDAYS($K30,S$5,休日)=1,"○",IF(NETWORKDAYS(S$5,$L30,休日)=1,"▶","→")),"")))</f>
        <v/>
      </c>
      <c r="T30" s="116">
        <f>IF(OR($K30="",$L30=""),"",IF(NETWORKDAYS(T$5,T$5,休日)=0,"",IF(AND(T$5&gt;=$K30,T$5&lt;=$L30),IF(NETWORKDAYS($K30,T$5,休日)=1,"○",IF(NETWORKDAYS(T$5,$L30,休日)=1,"▶","→")),"")))</f>
        <v/>
      </c>
      <c r="U30" s="116">
        <f>IF(OR($K30="",$L30=""),"",IF(NETWORKDAYS(U$5,U$5,休日)=0,"",IF(AND(U$5&gt;=$K30,U$5&lt;=$L30),IF(NETWORKDAYS($K30,U$5,休日)=1,"○",IF(NETWORKDAYS(U$5,$L30,休日)=1,"▶","→")),"")))</f>
        <v/>
      </c>
      <c r="V30" s="116">
        <f>IF(OR($K30="",$L30=""),"",IF(NETWORKDAYS(V$5,V$5,休日)=0,"",IF(AND(V$5&gt;=$K30,V$5&lt;=$L30),IF(NETWORKDAYS($K30,V$5,休日)=1,"○",IF(NETWORKDAYS(V$5,$L30,休日)=1,"▶","→")),"")))</f>
        <v/>
      </c>
      <c r="W30" s="116">
        <f>IF(OR($K30="",$L30=""),"",IF(NETWORKDAYS(W$5,W$5,休日)=0,"",IF(AND(W$5&gt;=$K30,W$5&lt;=$L30),IF(NETWORKDAYS($K30,W$5,休日)=1,"○",IF(NETWORKDAYS(W$5,$L30,休日)=1,"▶","→")),"")))</f>
        <v/>
      </c>
      <c r="X30" s="116">
        <f>IF(OR($K30="",$L30=""),"",IF(NETWORKDAYS(X$5,X$5,休日)=0,"",IF(AND(X$5&gt;=$K30,X$5&lt;=$L30),IF(NETWORKDAYS($K30,X$5,休日)=1,"○",IF(NETWORKDAYS(X$5,$L30,休日)=1,"▶","→")),"")))</f>
        <v/>
      </c>
      <c r="Y30" s="116">
        <f>IF(OR($K30="",$L30=""),"",IF(NETWORKDAYS(Y$5,Y$5,休日)=0,"",IF(AND(Y$5&gt;=$K30,Y$5&lt;=$L30),IF(NETWORKDAYS($K30,Y$5,休日)=1,"○",IF(NETWORKDAYS(Y$5,$L30,休日)=1,"▶","→")),"")))</f>
        <v/>
      </c>
      <c r="Z30" s="116">
        <f>IF(OR($K30="",$L30=""),"",IF(NETWORKDAYS(Z$5,Z$5,休日)=0,"",IF(AND(Z$5&gt;=$K30,Z$5&lt;=$L30),IF(NETWORKDAYS($K30,Z$5,休日)=1,"○",IF(NETWORKDAYS(Z$5,$L30,休日)=1,"▶","→")),"")))</f>
        <v/>
      </c>
      <c r="AA30" s="116">
        <f>IF(OR($K30="",$L30=""),"",IF(NETWORKDAYS(AA$5,AA$5,休日)=0,"",IF(AND(AA$5&gt;=$K30,AA$5&lt;=$L30),IF(NETWORKDAYS($K30,AA$5,休日)=1,"○",IF(NETWORKDAYS(AA$5,$L30,休日)=1,"▶","→")),"")))</f>
        <v/>
      </c>
      <c r="AB30" s="116">
        <f>IF(OR($K30="",$L30=""),"",IF(NETWORKDAYS(AB$5,AB$5,休日)=0,"",IF(AND(AB$5&gt;=$K30,AB$5&lt;=$L30),IF(NETWORKDAYS($K30,AB$5,休日)=1,"○",IF(NETWORKDAYS(AB$5,$L30,休日)=1,"▶","→")),"")))</f>
        <v/>
      </c>
      <c r="AC30" s="116">
        <f>IF(OR($K30="",$L30=""),"",IF(NETWORKDAYS(AC$5,AC$5,休日)=0,"",IF(AND(AC$5&gt;=$K30,AC$5&lt;=$L30),IF(NETWORKDAYS($K30,AC$5,休日)=1,"○",IF(NETWORKDAYS(AC$5,$L30,休日)=1,"▶","→")),"")))</f>
        <v/>
      </c>
      <c r="AD30" s="116">
        <f>IF(OR($K30="",$L30=""),"",IF(NETWORKDAYS(AD$5,AD$5,休日)=0,"",IF(AND(AD$5&gt;=$K30,AD$5&lt;=$L30),IF(NETWORKDAYS($K30,AD$5,休日)=1,"○",IF(NETWORKDAYS(AD$5,$L30,休日)=1,"▶","→")),"")))</f>
        <v/>
      </c>
      <c r="AE30" s="116">
        <f>IF(OR($K30="",$L30=""),"",IF(NETWORKDAYS(AE$5,AE$5,休日)=0,"",IF(AND(AE$5&gt;=$K30,AE$5&lt;=$L30),IF(NETWORKDAYS($K30,AE$5,休日)=1,"○",IF(NETWORKDAYS(AE$5,$L30,休日)=1,"▶","→")),"")))</f>
        <v/>
      </c>
      <c r="AF30" s="116">
        <f>IF(OR($K30="",$L30=""),"",IF(NETWORKDAYS(AF$5,AF$5,休日)=0,"",IF(AND(AF$5&gt;=$K30,AF$5&lt;=$L30),IF(NETWORKDAYS($K30,AF$5,休日)=1,"○",IF(NETWORKDAYS(AF$5,$L30,休日)=1,"▶","→")),"")))</f>
        <v/>
      </c>
      <c r="AG30" s="116">
        <f>IF(OR($K30="",$L30=""),"",IF(NETWORKDAYS(AG$5,AG$5,休日)=0,"",IF(AND(AG$5&gt;=$K30,AG$5&lt;=$L30),IF(NETWORKDAYS($K30,AG$5,休日)=1,"○",IF(NETWORKDAYS(AG$5,$L30,休日)=1,"▶","→")),"")))</f>
        <v/>
      </c>
      <c r="AH30" s="116">
        <f>IF(OR($K30="",$L30=""),"",IF(NETWORKDAYS(AH$5,AH$5,休日)=0,"",IF(AND(AH$5&gt;=$K30,AH$5&lt;=$L30),IF(NETWORKDAYS($K30,AH$5,休日)=1,"○",IF(NETWORKDAYS(AH$5,$L30,休日)=1,"▶","→")),"")))</f>
        <v/>
      </c>
      <c r="AI30" s="116">
        <f>IF(OR($K30="",$L30=""),"",IF(NETWORKDAYS(AI$5,AI$5,休日)=0,"",IF(AND(AI$5&gt;=$K30,AI$5&lt;=$L30),IF(NETWORKDAYS($K30,AI$5,休日)=1,"○",IF(NETWORKDAYS(AI$5,$L30,休日)=1,"▶","→")),"")))</f>
        <v/>
      </c>
      <c r="AJ30" s="116">
        <f>IF(OR($K30="",$L30=""),"",IF(NETWORKDAYS(AJ$5,AJ$5,休日)=0,"",IF(AND(AJ$5&gt;=$K30,AJ$5&lt;=$L30),IF(NETWORKDAYS($K30,AJ$5,休日)=1,"○",IF(NETWORKDAYS(AJ$5,$L30,休日)=1,"▶","→")),"")))</f>
        <v/>
      </c>
      <c r="AK30" s="116">
        <f>IF(OR($K30="",$L30=""),"",IF(NETWORKDAYS(AK$5,AK$5,休日)=0,"",IF(AND(AK$5&gt;=$K30,AK$5&lt;=$L30),IF(NETWORKDAYS($K30,AK$5,休日)=1,"○",IF(NETWORKDAYS(AK$5,$L30,休日)=1,"▶","→")),"")))</f>
        <v/>
      </c>
      <c r="AL30" s="116">
        <f>IF(OR($K30="",$L30=""),"",IF(NETWORKDAYS(AL$5,AL$5,休日)=0,"",IF(AND(AL$5&gt;=$K30,AL$5&lt;=$L30),IF(NETWORKDAYS($K30,AL$5,休日)=1,"○",IF(NETWORKDAYS(AL$5,$L30,休日)=1,"▶","→")),"")))</f>
        <v/>
      </c>
      <c r="AM30" s="116">
        <f>IF(OR($K30="",$L30=""),"",IF(NETWORKDAYS(AM$5,AM$5,休日)=0,"",IF(AND(AM$5&gt;=$K30,AM$5&lt;=$L30),IF(NETWORKDAYS($K30,AM$5,休日)=1,"○",IF(NETWORKDAYS(AM$5,$L30,休日)=1,"▶","→")),"")))</f>
        <v/>
      </c>
      <c r="AN30" s="116">
        <f>IF(OR($K30="",$L30=""),"",IF(NETWORKDAYS(AN$5,AN$5,休日)=0,"",IF(AND(AN$5&gt;=$K30,AN$5&lt;=$L30),IF(NETWORKDAYS($K30,AN$5,休日)=1,"○",IF(NETWORKDAYS(AN$5,$L30,休日)=1,"▶","→")),"")))</f>
        <v/>
      </c>
      <c r="AO30" s="116">
        <f>IF(OR($K30="",$L30=""),"",IF(NETWORKDAYS(AO$5,AO$5,休日)=0,"",IF(AND(AO$5&gt;=$K30,AO$5&lt;=$L30),IF(NETWORKDAYS($K30,AO$5,休日)=1,"○",IF(NETWORKDAYS(AO$5,$L30,休日)=1,"▶","→")),"")))</f>
        <v/>
      </c>
      <c r="AP30" s="116">
        <f>IF(OR($K30="",$L30=""),"",IF(NETWORKDAYS(AP$5,AP$5,休日)=0,"",IF(AND(AP$5&gt;=$K30,AP$5&lt;=$L30),IF(NETWORKDAYS($K30,AP$5,休日)=1,"○",IF(NETWORKDAYS(AP$5,$L30,休日)=1,"▶","→")),"")))</f>
        <v/>
      </c>
      <c r="AQ30" s="116">
        <f>IF(OR($K30="",$L30=""),"",IF(NETWORKDAYS(AQ$5,AQ$5,休日)=0,"",IF(AND(AQ$5&gt;=$K30,AQ$5&lt;=$L30),IF(NETWORKDAYS($K30,AQ$5,休日)=1,"○",IF(NETWORKDAYS(AQ$5,$L30,休日)=1,"▶","→")),"")))</f>
        <v/>
      </c>
      <c r="AR30" s="116">
        <f>IF(OR($K30="",$L30=""),"",IF(NETWORKDAYS(AR$5,AR$5,休日)=0,"",IF(AND(AR$5&gt;=$K30,AR$5&lt;=$L30),IF(NETWORKDAYS($K30,AR$5,休日)=1,"○",IF(NETWORKDAYS(AR$5,$L30,休日)=1,"▶","→")),"")))</f>
        <v/>
      </c>
      <c r="AS30" s="116">
        <f>IF(OR($K30="",$L30=""),"",IF(NETWORKDAYS(AS$5,AS$5,休日)=0,"",IF(AND(AS$5&gt;=$K30,AS$5&lt;=$L30),IF(NETWORKDAYS($K30,AS$5,休日)=1,"○",IF(NETWORKDAYS(AS$5,$L30,休日)=1,"▶","→")),"")))</f>
        <v/>
      </c>
      <c r="AT30" s="116">
        <f>IF(OR($K30="",$L30=""),"",IF(NETWORKDAYS(AT$5,AT$5,休日)=0,"",IF(AND(AT$5&gt;=$K30,AT$5&lt;=$L30),IF(NETWORKDAYS($K30,AT$5,休日)=1,"○",IF(NETWORKDAYS(AT$5,$L30,休日)=1,"▶","→")),"")))</f>
        <v/>
      </c>
      <c r="AU30" s="116">
        <f>IF(OR($K30="",$L30=""),"",IF(NETWORKDAYS(AU$5,AU$5,休日)=0,"",IF(AND(AU$5&gt;=$K30,AU$5&lt;=$L30),IF(NETWORKDAYS($K30,AU$5,休日)=1,"○",IF(NETWORKDAYS(AU$5,$L30,休日)=1,"▶","→")),"")))</f>
        <v/>
      </c>
      <c r="AV30" s="116">
        <f>IF(OR($K30="",$L30=""),"",IF(NETWORKDAYS(AV$5,AV$5,休日)=0,"",IF(AND(AV$5&gt;=$K30,AV$5&lt;=$L30),IF(NETWORKDAYS($K30,AV$5,休日)=1,"○",IF(NETWORKDAYS(AV$5,$L30,休日)=1,"▶","→")),"")))</f>
        <v/>
      </c>
      <c r="AW30" s="116">
        <f>IF(OR($K30="",$L30=""),"",IF(NETWORKDAYS(AW$5,AW$5,休日)=0,"",IF(AND(AW$5&gt;=$K30,AW$5&lt;=$L30),IF(NETWORKDAYS($K30,AW$5,休日)=1,"○",IF(NETWORKDAYS(AW$5,$L30,休日)=1,"▶","→")),"")))</f>
        <v/>
      </c>
      <c r="AX30" s="116">
        <f>IF(OR($K30="",$L30=""),"",IF(NETWORKDAYS(AX$5,AX$5,休日)=0,"",IF(AND(AX$5&gt;=$K30,AX$5&lt;=$L30),IF(NETWORKDAYS($K30,AX$5,休日)=1,"○",IF(NETWORKDAYS(AX$5,$L30,休日)=1,"▶","→")),"")))</f>
        <v/>
      </c>
      <c r="AY30" s="116">
        <f>IF(OR($K30="",$L30=""),"",IF(NETWORKDAYS(AY$5,AY$5,休日)=0,"",IF(AND(AY$5&gt;=$K30,AY$5&lt;=$L30),IF(NETWORKDAYS($K30,AY$5,休日)=1,"○",IF(NETWORKDAYS(AY$5,$L30,休日)=1,"▶","→")),"")))</f>
        <v/>
      </c>
      <c r="AZ30" s="116">
        <f>IF(OR($K30="",$L30=""),"",IF(NETWORKDAYS(AZ$5,AZ$5,休日)=0,"",IF(AND(AZ$5&gt;=$K30,AZ$5&lt;=$L30),IF(NETWORKDAYS($K30,AZ$5,休日)=1,"○",IF(NETWORKDAYS(AZ$5,$L30,休日)=1,"▶","→")),"")))</f>
        <v/>
      </c>
      <c r="BA30" s="116">
        <f>IF(OR($K30="",$L30=""),"",IF(NETWORKDAYS(BA$5,BA$5,休日)=0,"",IF(AND(BA$5&gt;=$K30,BA$5&lt;=$L30),IF(NETWORKDAYS($K30,BA$5,休日)=1,"○",IF(NETWORKDAYS(BA$5,$L30,休日)=1,"▶","→")),"")))</f>
        <v/>
      </c>
      <c r="BB30" s="116">
        <f>IF(OR($K30="",$L30=""),"",IF(NETWORKDAYS(BB$5,BB$5,休日)=0,"",IF(AND(BB$5&gt;=$K30,BB$5&lt;=$L30),IF(NETWORKDAYS($K30,BB$5,休日)=1,"○",IF(NETWORKDAYS(BB$5,$L30,休日)=1,"▶","→")),"")))</f>
        <v/>
      </c>
      <c r="BC30" s="116">
        <f>IF(OR($K30="",$L30=""),"",IF(NETWORKDAYS(BC$5,BC$5,休日)=0,"",IF(AND(BC$5&gt;=$K30,BC$5&lt;=$L30),IF(NETWORKDAYS($K30,BC$5,休日)=1,"○",IF(NETWORKDAYS(BC$5,$L30,休日)=1,"▶","→")),"")))</f>
        <v/>
      </c>
      <c r="BD30" s="116">
        <f>IF(OR($K30="",$L30=""),"",IF(NETWORKDAYS(BD$5,BD$5,休日)=0,"",IF(AND(BD$5&gt;=$K30,BD$5&lt;=$L30),IF(NETWORKDAYS($K30,BD$5,休日)=1,"○",IF(NETWORKDAYS(BD$5,$L30,休日)=1,"▶","→")),"")))</f>
        <v/>
      </c>
      <c r="BE30" s="116">
        <f>IF(OR($K30="",$L30=""),"",IF(NETWORKDAYS(BE$5,BE$5,休日)=0,"",IF(AND(BE$5&gt;=$K30,BE$5&lt;=$L30),IF(NETWORKDAYS($K30,BE$5,休日)=1,"○",IF(NETWORKDAYS(BE$5,$L30,休日)=1,"▶","→")),"")))</f>
        <v/>
      </c>
      <c r="BF30" s="116">
        <f>IF(OR($K30="",$L30=""),"",IF(NETWORKDAYS(BF$5,BF$5,休日)=0,"",IF(AND(BF$5&gt;=$K30,BF$5&lt;=$L30),IF(NETWORKDAYS($K30,BF$5,休日)=1,"○",IF(NETWORKDAYS(BF$5,$L30,休日)=1,"▶","→")),"")))</f>
        <v/>
      </c>
      <c r="BG30" s="116">
        <f>IF(OR($K30="",$L30=""),"",IF(NETWORKDAYS(BG$5,BG$5,休日)=0,"",IF(AND(BG$5&gt;=$K30,BG$5&lt;=$L30),IF(NETWORKDAYS($K30,BG$5,休日)=1,"○",IF(NETWORKDAYS(BG$5,$L30,休日)=1,"▶","→")),"")))</f>
        <v/>
      </c>
      <c r="BH30" s="116">
        <f>IF(OR($K30="",$L30=""),"",IF(NETWORKDAYS(BH$5,BH$5,休日)=0,"",IF(AND(BH$5&gt;=$K30,BH$5&lt;=$L30),IF(NETWORKDAYS($K30,BH$5,休日)=1,"○",IF(NETWORKDAYS(BH$5,$L30,休日)=1,"▶","→")),"")))</f>
        <v/>
      </c>
      <c r="BI30" s="116">
        <f>IF(OR($K30="",$L30=""),"",IF(NETWORKDAYS(BI$5,BI$5,休日)=0,"",IF(AND(BI$5&gt;=$K30,BI$5&lt;=$L30),IF(NETWORKDAYS($K30,BI$5,休日)=1,"○",IF(NETWORKDAYS(BI$5,$L30,休日)=1,"▶","→")),"")))</f>
        <v/>
      </c>
      <c r="BJ30" s="116">
        <f>IF(OR($K30="",$L30=""),"",IF(NETWORKDAYS(BJ$5,BJ$5,休日)=0,"",IF(AND(BJ$5&gt;=$K30,BJ$5&lt;=$L30),IF(NETWORKDAYS($K30,BJ$5,休日)=1,"○",IF(NETWORKDAYS(BJ$5,$L30,休日)=1,"▶","→")),"")))</f>
        <v/>
      </c>
      <c r="BK30" s="116">
        <f>IF(OR($K30="",$L30=""),"",IF(NETWORKDAYS(BK$5,BK$5,休日)=0,"",IF(AND(BK$5&gt;=$K30,BK$5&lt;=$L30),IF(NETWORKDAYS($K30,BK$5,休日)=1,"○",IF(NETWORKDAYS(BK$5,$L30,休日)=1,"▶","→")),"")))</f>
        <v/>
      </c>
      <c r="BL30" s="116">
        <f>IF(OR($K30="",$L30=""),"",IF(NETWORKDAYS(BL$5,BL$5,休日)=0,"",IF(AND(BL$5&gt;=$K30,BL$5&lt;=$L30),IF(NETWORKDAYS($K30,BL$5,休日)=1,"○",IF(NETWORKDAYS(BL$5,$L30,休日)=1,"▶","→")),"")))</f>
        <v/>
      </c>
      <c r="BM30" s="116">
        <f>IF(OR($K30="",$L30=""),"",IF(NETWORKDAYS(BM$5,BM$5,休日)=0,"",IF(AND(BM$5&gt;=$K30,BM$5&lt;=$L30),IF(NETWORKDAYS($K30,BM$5,休日)=1,"○",IF(NETWORKDAYS(BM$5,$L30,休日)=1,"▶","→")),"")))</f>
        <v/>
      </c>
      <c r="BN30" s="116">
        <f>IF(OR($K30="",$L30=""),"",IF(NETWORKDAYS(BN$5,BN$5,休日)=0,"",IF(AND(BN$5&gt;=$K30,BN$5&lt;=$L30),IF(NETWORKDAYS($K30,BN$5,休日)=1,"○",IF(NETWORKDAYS(BN$5,$L30,休日)=1,"▶","→")),"")))</f>
        <v/>
      </c>
      <c r="BO30" s="116">
        <f>IF(OR($K30="",$L30=""),"",IF(NETWORKDAYS(BO$5,BO$5,休日)=0,"",IF(AND(BO$5&gt;=$K30,BO$5&lt;=$L30),IF(NETWORKDAYS($K30,BO$5,休日)=1,"○",IF(NETWORKDAYS(BO$5,$L30,休日)=1,"▶","→")),"")))</f>
        <v/>
      </c>
      <c r="BP30" s="116">
        <f>IF(OR($K30="",$L30=""),"",IF(NETWORKDAYS(BP$5,BP$5,休日)=0,"",IF(AND(BP$5&gt;=$K30,BP$5&lt;=$L30),IF(NETWORKDAYS($K30,BP$5,休日)=1,"○",IF(NETWORKDAYS(BP$5,$L30,休日)=1,"▶","→")),"")))</f>
        <v/>
      </c>
      <c r="BQ30" s="116">
        <f>IF(OR($K30="",$L30=""),"",IF(NETWORKDAYS(BQ$5,BQ$5,休日)=0,"",IF(AND(BQ$5&gt;=$K30,BQ$5&lt;=$L30),IF(NETWORKDAYS($K30,BQ$5,休日)=1,"○",IF(NETWORKDAYS(BQ$5,$L30,休日)=1,"▶","→")),"")))</f>
        <v/>
      </c>
      <c r="BR30" s="116">
        <f>IF(OR($K30="",$L30=""),"",IF(NETWORKDAYS(BR$5,BR$5,休日)=0,"",IF(AND(BR$5&gt;=$K30,BR$5&lt;=$L30),IF(NETWORKDAYS($K30,BR$5,休日)=1,"○",IF(NETWORKDAYS(BR$5,$L30,休日)=1,"▶","→")),"")))</f>
        <v/>
      </c>
      <c r="BS30" s="116">
        <f>IF(OR($K30="",$L30=""),"",IF(NETWORKDAYS(BS$5,BS$5,休日)=0,"",IF(AND(BS$5&gt;=$K30,BS$5&lt;=$L30),IF(NETWORKDAYS($K30,BS$5,休日)=1,"○",IF(NETWORKDAYS(BS$5,$L30,休日)=1,"▶","→")),"")))</f>
        <v/>
      </c>
      <c r="BT30" s="116">
        <f>IF(OR($K30="",$L30=""),"",IF(NETWORKDAYS(BT$5,BT$5,休日)=0,"",IF(AND(BT$5&gt;=$K30,BT$5&lt;=$L30),IF(NETWORKDAYS($K30,BT$5,休日)=1,"○",IF(NETWORKDAYS(BT$5,$L30,休日)=1,"▶","→")),"")))</f>
        <v/>
      </c>
      <c r="BU30" s="116">
        <f>IF(OR($K30="",$L30=""),"",IF(NETWORKDAYS(BU$5,BU$5,休日)=0,"",IF(AND(BU$5&gt;=$K30,BU$5&lt;=$L30),IF(NETWORKDAYS($K30,BU$5,休日)=1,"○",IF(NETWORKDAYS(BU$5,$L30,休日)=1,"▶","→")),"")))</f>
        <v/>
      </c>
      <c r="BV30" s="116">
        <f>IF(OR($K30="",$L30=""),"",IF(NETWORKDAYS(BV$5,BV$5,休日)=0,"",IF(AND(BV$5&gt;=$K30,BV$5&lt;=$L30),IF(NETWORKDAYS($K30,BV$5,休日)=1,"○",IF(NETWORKDAYS(BV$5,$L30,休日)=1,"▶","→")),"")))</f>
        <v/>
      </c>
      <c r="BW30" s="116">
        <f>IF(OR($K30="",$L30=""),"",IF(NETWORKDAYS(BW$5,BW$5,休日)=0,"",IF(AND(BW$5&gt;=$K30,BW$5&lt;=$L30),IF(NETWORKDAYS($K30,BW$5,休日)=1,"○",IF(NETWORKDAYS(BW$5,$L30,休日)=1,"▶","→")),"")))</f>
        <v/>
      </c>
      <c r="BX30" s="116">
        <f>IF(OR($K30="",$L30=""),"",IF(NETWORKDAYS(BX$5,BX$5,休日)=0,"",IF(AND(BX$5&gt;=$K30,BX$5&lt;=$L30),IF(NETWORKDAYS($K30,BX$5,休日)=1,"○",IF(NETWORKDAYS(BX$5,$L30,休日)=1,"▶","→")),"")))</f>
        <v/>
      </c>
      <c r="BY30" s="116">
        <f>IF(OR($K30="",$L30=""),"",IF(NETWORKDAYS(BY$5,BY$5,休日)=0,"",IF(AND(BY$5&gt;=$K30,BY$5&lt;=$L30),IF(NETWORKDAYS($K30,BY$5,休日)=1,"○",IF(NETWORKDAYS(BY$5,$L30,休日)=1,"▶","→")),"")))</f>
        <v/>
      </c>
      <c r="BZ30" s="116">
        <f>IF(OR($K30="",$L30=""),"",IF(NETWORKDAYS(BZ$5,BZ$5,休日)=0,"",IF(AND(BZ$5&gt;=$K30,BZ$5&lt;=$L30),IF(NETWORKDAYS($K30,BZ$5,休日)=1,"○",IF(NETWORKDAYS(BZ$5,$L30,休日)=1,"▶","→")),"")))</f>
        <v/>
      </c>
      <c r="CA30" s="116">
        <f>IF(OR($K30="",$L30=""),"",IF(NETWORKDAYS(CA$5,CA$5,休日)=0,"",IF(AND(CA$5&gt;=$K30,CA$5&lt;=$L30),IF(NETWORKDAYS($K30,CA$5,休日)=1,"○",IF(NETWORKDAYS(CA$5,$L30,休日)=1,"▶","→")),"")))</f>
        <v/>
      </c>
      <c r="CB30" s="116">
        <f>IF(OR($K30="",$L30=""),"",IF(NETWORKDAYS(CB$5,CB$5,休日)=0,"",IF(AND(CB$5&gt;=$K30,CB$5&lt;=$L30),IF(NETWORKDAYS($K30,CB$5,休日)=1,"○",IF(NETWORKDAYS(CB$5,$L30,休日)=1,"▶","→")),"")))</f>
        <v/>
      </c>
      <c r="CC30" s="116">
        <f>IF(OR($K30="",$L30=""),"",IF(NETWORKDAYS(CC$5,CC$5,休日)=0,"",IF(AND(CC$5&gt;=$K30,CC$5&lt;=$L30),IF(NETWORKDAYS($K30,CC$5,休日)=1,"○",IF(NETWORKDAYS(CC$5,$L30,休日)=1,"▶","→")),"")))</f>
        <v/>
      </c>
      <c r="CD30" s="116">
        <f>IF(OR($K30="",$L30=""),"",IF(NETWORKDAYS(CD$5,CD$5,休日)=0,"",IF(AND(CD$5&gt;=$K30,CD$5&lt;=$L30),IF(NETWORKDAYS($K30,CD$5,休日)=1,"○",IF(NETWORKDAYS(CD$5,$L30,休日)=1,"▶","→")),"")))</f>
        <v/>
      </c>
      <c r="CE30" s="116">
        <f>IF(OR($K30="",$L30=""),"",IF(NETWORKDAYS(CE$5,CE$5,休日)=0,"",IF(AND(CE$5&gt;=$K30,CE$5&lt;=$L30),IF(NETWORKDAYS($K30,CE$5,休日)=1,"○",IF(NETWORKDAYS(CE$5,$L30,休日)=1,"▶","→")),"")))</f>
        <v/>
      </c>
      <c r="CF30" s="116">
        <f>IF(OR($K30="",$L30=""),"",IF(NETWORKDAYS(CF$5,CF$5,休日)=0,"",IF(AND(CF$5&gt;=$K30,CF$5&lt;=$L30),IF(NETWORKDAYS($K30,CF$5,休日)=1,"○",IF(NETWORKDAYS(CF$5,$L30,休日)=1,"▶","→")),"")))</f>
        <v/>
      </c>
      <c r="CG30" s="116">
        <f>IF(OR($K30="",$L30=""),"",IF(NETWORKDAYS(CG$5,CG$5,休日)=0,"",IF(AND(CG$5&gt;=$K30,CG$5&lt;=$L30),IF(NETWORKDAYS($K30,CG$5,休日)=1,"○",IF(NETWORKDAYS(CG$5,$L30,休日)=1,"▶","→")),"")))</f>
        <v/>
      </c>
      <c r="CH30" s="116">
        <f>IF(OR($K30="",$L30=""),"",IF(NETWORKDAYS(CH$5,CH$5,休日)=0,"",IF(AND(CH$5&gt;=$K30,CH$5&lt;=$L30),IF(NETWORKDAYS($K30,CH$5,休日)=1,"○",IF(NETWORKDAYS(CH$5,$L30,休日)=1,"▶","→")),"")))</f>
        <v/>
      </c>
      <c r="CI30" s="116">
        <f>IF(OR($K30="",$L30=""),"",IF(NETWORKDAYS(CI$5,CI$5,休日)=0,"",IF(AND(CI$5&gt;=$K30,CI$5&lt;=$L30),IF(NETWORKDAYS($K30,CI$5,休日)=1,"○",IF(NETWORKDAYS(CI$5,$L30,休日)=1,"▶","→")),"")))</f>
        <v/>
      </c>
      <c r="CJ30" s="116">
        <f>IF(OR($K30="",$L30=""),"",IF(NETWORKDAYS(CJ$5,CJ$5,休日)=0,"",IF(AND(CJ$5&gt;=$K30,CJ$5&lt;=$L30),IF(NETWORKDAYS($K30,CJ$5,休日)=1,"○",IF(NETWORKDAYS(CJ$5,$L30,休日)=1,"▶","→")),"")))</f>
        <v/>
      </c>
      <c r="CK30" s="116">
        <f>IF(OR($K30="",$L30=""),"",IF(NETWORKDAYS(CK$5,CK$5,休日)=0,"",IF(AND(CK$5&gt;=$K30,CK$5&lt;=$L30),IF(NETWORKDAYS($K30,CK$5,休日)=1,"○",IF(NETWORKDAYS(CK$5,$L30,休日)=1,"▶","→")),"")))</f>
        <v/>
      </c>
      <c r="CL30" s="116">
        <f>IF(OR($K30="",$L30=""),"",IF(NETWORKDAYS(CL$5,CL$5,休日)=0,"",IF(AND(CL$5&gt;=$K30,CL$5&lt;=$L30),IF(NETWORKDAYS($K30,CL$5,休日)=1,"○",IF(NETWORKDAYS(CL$5,$L30,休日)=1,"▶","→")),"")))</f>
        <v/>
      </c>
      <c r="CM30" s="116">
        <f>IF(OR($K30="",$L30=""),"",IF(NETWORKDAYS(CM$5,CM$5,休日)=0,"",IF(AND(CM$5&gt;=$K30,CM$5&lt;=$L30),IF(NETWORKDAYS($K30,CM$5,休日)=1,"○",IF(NETWORKDAYS(CM$5,$L30,休日)=1,"▶","→")),"")))</f>
        <v/>
      </c>
      <c r="CN30" s="116">
        <f>IF(OR($K30="",$L30=""),"",IF(NETWORKDAYS(CN$5,CN$5,休日)=0,"",IF(AND(CN$5&gt;=$K30,CN$5&lt;=$L30),IF(NETWORKDAYS($K30,CN$5,休日)=1,"○",IF(NETWORKDAYS(CN$5,$L30,休日)=1,"▶","→")),"")))</f>
        <v/>
      </c>
      <c r="CO30" s="116">
        <f>IF(OR($K30="",$L30=""),"",IF(NETWORKDAYS(CO$5,CO$5,休日)=0,"",IF(AND(CO$5&gt;=$K30,CO$5&lt;=$L30),IF(NETWORKDAYS($K30,CO$5,休日)=1,"○",IF(NETWORKDAYS(CO$5,$L30,休日)=1,"▶","→")),"")))</f>
        <v/>
      </c>
    </row>
    <row r="31" ht="32" customHeight="1" s="98">
      <c r="A31" s="5" t="n"/>
      <c r="B31" s="100" t="inlineStr">
        <is>
          <t>2.1.11</t>
        </is>
      </c>
      <c r="C31" s="101" t="inlineStr">
        <is>
          <t>詳細設計</t>
        </is>
      </c>
      <c r="D31" s="101" t="inlineStr">
        <is>
          <t>Layer①</t>
        </is>
      </c>
      <c r="E31" s="101" t="inlineStr">
        <is>
          <t>生鮮発注スケジュール</t>
        </is>
      </c>
      <c r="F31" s="101" t="inlineStr">
        <is>
          <t>生鮮発注スケジュール</t>
        </is>
      </c>
      <c r="G31" s="100" t="inlineStr">
        <is>
          <t>差分</t>
        </is>
      </c>
      <c r="H31" s="100" t="inlineStr">
        <is>
          <t>杨艳</t>
        </is>
      </c>
      <c r="I31" s="113" t="n">
        <v>5</v>
      </c>
      <c r="J31" s="100" t="inlineStr">
        <is>
          <t>－</t>
        </is>
      </c>
      <c r="K31" s="114" t="n">
        <v>46321</v>
      </c>
      <c r="L31" s="114" t="n">
        <v>46328</v>
      </c>
      <c r="M31" s="114" t="n"/>
      <c r="N31" s="114" t="n"/>
      <c r="O31" s="100" t="inlineStr">
        <is>
          <t>未着手</t>
        </is>
      </c>
      <c r="P31" s="115" t="n">
        <v>0</v>
      </c>
      <c r="Q31" s="100" t="inlineStr">
        <is>
          <t>G②</t>
        </is>
      </c>
      <c r="R31" s="101" t="inlineStr">
        <is>
          <t>11/2に閉じる。開発へは11/4から。標準案はG②を待ちにしない。Layer①とLayer③の期間は出典で分離されていない。同一期間を記入</t>
        </is>
      </c>
      <c r="S31" s="116">
        <f>IF(OR($K31="",$L31=""),"",IF(NETWORKDAYS(S$5,S$5,休日)=0,"",IF(AND(S$5&gt;=$K31,S$5&lt;=$L31),IF(NETWORKDAYS($K31,S$5,休日)=1,"○",IF(NETWORKDAYS(S$5,$L31,休日)=1,"▶","→")),"")))</f>
        <v/>
      </c>
      <c r="T31" s="116">
        <f>IF(OR($K31="",$L31=""),"",IF(NETWORKDAYS(T$5,T$5,休日)=0,"",IF(AND(T$5&gt;=$K31,T$5&lt;=$L31),IF(NETWORKDAYS($K31,T$5,休日)=1,"○",IF(NETWORKDAYS(T$5,$L31,休日)=1,"▶","→")),"")))</f>
        <v/>
      </c>
      <c r="U31" s="116">
        <f>IF(OR($K31="",$L31=""),"",IF(NETWORKDAYS(U$5,U$5,休日)=0,"",IF(AND(U$5&gt;=$K31,U$5&lt;=$L31),IF(NETWORKDAYS($K31,U$5,休日)=1,"○",IF(NETWORKDAYS(U$5,$L31,休日)=1,"▶","→")),"")))</f>
        <v/>
      </c>
      <c r="V31" s="116">
        <f>IF(OR($K31="",$L31=""),"",IF(NETWORKDAYS(V$5,V$5,休日)=0,"",IF(AND(V$5&gt;=$K31,V$5&lt;=$L31),IF(NETWORKDAYS($K31,V$5,休日)=1,"○",IF(NETWORKDAYS(V$5,$L31,休日)=1,"▶","→")),"")))</f>
        <v/>
      </c>
      <c r="W31" s="116">
        <f>IF(OR($K31="",$L31=""),"",IF(NETWORKDAYS(W$5,W$5,休日)=0,"",IF(AND(W$5&gt;=$K31,W$5&lt;=$L31),IF(NETWORKDAYS($K31,W$5,休日)=1,"○",IF(NETWORKDAYS(W$5,$L31,休日)=1,"▶","→")),"")))</f>
        <v/>
      </c>
      <c r="X31" s="116">
        <f>IF(OR($K31="",$L31=""),"",IF(NETWORKDAYS(X$5,X$5,休日)=0,"",IF(AND(X$5&gt;=$K31,X$5&lt;=$L31),IF(NETWORKDAYS($K31,X$5,休日)=1,"○",IF(NETWORKDAYS(X$5,$L31,休日)=1,"▶","→")),"")))</f>
        <v/>
      </c>
      <c r="Y31" s="116">
        <f>IF(OR($K31="",$L31=""),"",IF(NETWORKDAYS(Y$5,Y$5,休日)=0,"",IF(AND(Y$5&gt;=$K31,Y$5&lt;=$L31),IF(NETWORKDAYS($K31,Y$5,休日)=1,"○",IF(NETWORKDAYS(Y$5,$L31,休日)=1,"▶","→")),"")))</f>
        <v/>
      </c>
      <c r="Z31" s="116">
        <f>IF(OR($K31="",$L31=""),"",IF(NETWORKDAYS(Z$5,Z$5,休日)=0,"",IF(AND(Z$5&gt;=$K31,Z$5&lt;=$L31),IF(NETWORKDAYS($K31,Z$5,休日)=1,"○",IF(NETWORKDAYS(Z$5,$L31,休日)=1,"▶","→")),"")))</f>
        <v/>
      </c>
      <c r="AA31" s="116">
        <f>IF(OR($K31="",$L31=""),"",IF(NETWORKDAYS(AA$5,AA$5,休日)=0,"",IF(AND(AA$5&gt;=$K31,AA$5&lt;=$L31),IF(NETWORKDAYS($K31,AA$5,休日)=1,"○",IF(NETWORKDAYS(AA$5,$L31,休日)=1,"▶","→")),"")))</f>
        <v/>
      </c>
      <c r="AB31" s="116">
        <f>IF(OR($K31="",$L31=""),"",IF(NETWORKDAYS(AB$5,AB$5,休日)=0,"",IF(AND(AB$5&gt;=$K31,AB$5&lt;=$L31),IF(NETWORKDAYS($K31,AB$5,休日)=1,"○",IF(NETWORKDAYS(AB$5,$L31,休日)=1,"▶","→")),"")))</f>
        <v/>
      </c>
      <c r="AC31" s="116">
        <f>IF(OR($K31="",$L31=""),"",IF(NETWORKDAYS(AC$5,AC$5,休日)=0,"",IF(AND(AC$5&gt;=$K31,AC$5&lt;=$L31),IF(NETWORKDAYS($K31,AC$5,休日)=1,"○",IF(NETWORKDAYS(AC$5,$L31,休日)=1,"▶","→")),"")))</f>
        <v/>
      </c>
      <c r="AD31" s="116">
        <f>IF(OR($K31="",$L31=""),"",IF(NETWORKDAYS(AD$5,AD$5,休日)=0,"",IF(AND(AD$5&gt;=$K31,AD$5&lt;=$L31),IF(NETWORKDAYS($K31,AD$5,休日)=1,"○",IF(NETWORKDAYS(AD$5,$L31,休日)=1,"▶","→")),"")))</f>
        <v/>
      </c>
      <c r="AE31" s="116">
        <f>IF(OR($K31="",$L31=""),"",IF(NETWORKDAYS(AE$5,AE$5,休日)=0,"",IF(AND(AE$5&gt;=$K31,AE$5&lt;=$L31),IF(NETWORKDAYS($K31,AE$5,休日)=1,"○",IF(NETWORKDAYS(AE$5,$L31,休日)=1,"▶","→")),"")))</f>
        <v/>
      </c>
      <c r="AF31" s="116">
        <f>IF(OR($K31="",$L31=""),"",IF(NETWORKDAYS(AF$5,AF$5,休日)=0,"",IF(AND(AF$5&gt;=$K31,AF$5&lt;=$L31),IF(NETWORKDAYS($K31,AF$5,休日)=1,"○",IF(NETWORKDAYS(AF$5,$L31,休日)=1,"▶","→")),"")))</f>
        <v/>
      </c>
      <c r="AG31" s="116">
        <f>IF(OR($K31="",$L31=""),"",IF(NETWORKDAYS(AG$5,AG$5,休日)=0,"",IF(AND(AG$5&gt;=$K31,AG$5&lt;=$L31),IF(NETWORKDAYS($K31,AG$5,休日)=1,"○",IF(NETWORKDAYS(AG$5,$L31,休日)=1,"▶","→")),"")))</f>
        <v/>
      </c>
      <c r="AH31" s="116">
        <f>IF(OR($K31="",$L31=""),"",IF(NETWORKDAYS(AH$5,AH$5,休日)=0,"",IF(AND(AH$5&gt;=$K31,AH$5&lt;=$L31),IF(NETWORKDAYS($K31,AH$5,休日)=1,"○",IF(NETWORKDAYS(AH$5,$L31,休日)=1,"▶","→")),"")))</f>
        <v/>
      </c>
      <c r="AI31" s="116">
        <f>IF(OR($K31="",$L31=""),"",IF(NETWORKDAYS(AI$5,AI$5,休日)=0,"",IF(AND(AI$5&gt;=$K31,AI$5&lt;=$L31),IF(NETWORKDAYS($K31,AI$5,休日)=1,"○",IF(NETWORKDAYS(AI$5,$L31,休日)=1,"▶","→")),"")))</f>
        <v/>
      </c>
      <c r="AJ31" s="116">
        <f>IF(OR($K31="",$L31=""),"",IF(NETWORKDAYS(AJ$5,AJ$5,休日)=0,"",IF(AND(AJ$5&gt;=$K31,AJ$5&lt;=$L31),IF(NETWORKDAYS($K31,AJ$5,休日)=1,"○",IF(NETWORKDAYS(AJ$5,$L31,休日)=1,"▶","→")),"")))</f>
        <v/>
      </c>
      <c r="AK31" s="116">
        <f>IF(OR($K31="",$L31=""),"",IF(NETWORKDAYS(AK$5,AK$5,休日)=0,"",IF(AND(AK$5&gt;=$K31,AK$5&lt;=$L31),IF(NETWORKDAYS($K31,AK$5,休日)=1,"○",IF(NETWORKDAYS(AK$5,$L31,休日)=1,"▶","→")),"")))</f>
        <v/>
      </c>
      <c r="AL31" s="116">
        <f>IF(OR($K31="",$L31=""),"",IF(NETWORKDAYS(AL$5,AL$5,休日)=0,"",IF(AND(AL$5&gt;=$K31,AL$5&lt;=$L31),IF(NETWORKDAYS($K31,AL$5,休日)=1,"○",IF(NETWORKDAYS(AL$5,$L31,休日)=1,"▶","→")),"")))</f>
        <v/>
      </c>
      <c r="AM31" s="116">
        <f>IF(OR($K31="",$L31=""),"",IF(NETWORKDAYS(AM$5,AM$5,休日)=0,"",IF(AND(AM$5&gt;=$K31,AM$5&lt;=$L31),IF(NETWORKDAYS($K31,AM$5,休日)=1,"○",IF(NETWORKDAYS(AM$5,$L31,休日)=1,"▶","→")),"")))</f>
        <v/>
      </c>
      <c r="AN31" s="116">
        <f>IF(OR($K31="",$L31=""),"",IF(NETWORKDAYS(AN$5,AN$5,休日)=0,"",IF(AND(AN$5&gt;=$K31,AN$5&lt;=$L31),IF(NETWORKDAYS($K31,AN$5,休日)=1,"○",IF(NETWORKDAYS(AN$5,$L31,休日)=1,"▶","→")),"")))</f>
        <v/>
      </c>
      <c r="AO31" s="116">
        <f>IF(OR($K31="",$L31=""),"",IF(NETWORKDAYS(AO$5,AO$5,休日)=0,"",IF(AND(AO$5&gt;=$K31,AO$5&lt;=$L31),IF(NETWORKDAYS($K31,AO$5,休日)=1,"○",IF(NETWORKDAYS(AO$5,$L31,休日)=1,"▶","→")),"")))</f>
        <v/>
      </c>
      <c r="AP31" s="116">
        <f>IF(OR($K31="",$L31=""),"",IF(NETWORKDAYS(AP$5,AP$5,休日)=0,"",IF(AND(AP$5&gt;=$K31,AP$5&lt;=$L31),IF(NETWORKDAYS($K31,AP$5,休日)=1,"○",IF(NETWORKDAYS(AP$5,$L31,休日)=1,"▶","→")),"")))</f>
        <v/>
      </c>
      <c r="AQ31" s="116">
        <f>IF(OR($K31="",$L31=""),"",IF(NETWORKDAYS(AQ$5,AQ$5,休日)=0,"",IF(AND(AQ$5&gt;=$K31,AQ$5&lt;=$L31),IF(NETWORKDAYS($K31,AQ$5,休日)=1,"○",IF(NETWORKDAYS(AQ$5,$L31,休日)=1,"▶","→")),"")))</f>
        <v/>
      </c>
      <c r="AR31" s="116">
        <f>IF(OR($K31="",$L31=""),"",IF(NETWORKDAYS(AR$5,AR$5,休日)=0,"",IF(AND(AR$5&gt;=$K31,AR$5&lt;=$L31),IF(NETWORKDAYS($K31,AR$5,休日)=1,"○",IF(NETWORKDAYS(AR$5,$L31,休日)=1,"▶","→")),"")))</f>
        <v/>
      </c>
      <c r="AS31" s="116">
        <f>IF(OR($K31="",$L31=""),"",IF(NETWORKDAYS(AS$5,AS$5,休日)=0,"",IF(AND(AS$5&gt;=$K31,AS$5&lt;=$L31),IF(NETWORKDAYS($K31,AS$5,休日)=1,"○",IF(NETWORKDAYS(AS$5,$L31,休日)=1,"▶","→")),"")))</f>
        <v/>
      </c>
      <c r="AT31" s="116">
        <f>IF(OR($K31="",$L31=""),"",IF(NETWORKDAYS(AT$5,AT$5,休日)=0,"",IF(AND(AT$5&gt;=$K31,AT$5&lt;=$L31),IF(NETWORKDAYS($K31,AT$5,休日)=1,"○",IF(NETWORKDAYS(AT$5,$L31,休日)=1,"▶","→")),"")))</f>
        <v/>
      </c>
      <c r="AU31" s="116">
        <f>IF(OR($K31="",$L31=""),"",IF(NETWORKDAYS(AU$5,AU$5,休日)=0,"",IF(AND(AU$5&gt;=$K31,AU$5&lt;=$L31),IF(NETWORKDAYS($K31,AU$5,休日)=1,"○",IF(NETWORKDAYS(AU$5,$L31,休日)=1,"▶","→")),"")))</f>
        <v/>
      </c>
      <c r="AV31" s="116">
        <f>IF(OR($K31="",$L31=""),"",IF(NETWORKDAYS(AV$5,AV$5,休日)=0,"",IF(AND(AV$5&gt;=$K31,AV$5&lt;=$L31),IF(NETWORKDAYS($K31,AV$5,休日)=1,"○",IF(NETWORKDAYS(AV$5,$L31,休日)=1,"▶","→")),"")))</f>
        <v/>
      </c>
      <c r="AW31" s="116">
        <f>IF(OR($K31="",$L31=""),"",IF(NETWORKDAYS(AW$5,AW$5,休日)=0,"",IF(AND(AW$5&gt;=$K31,AW$5&lt;=$L31),IF(NETWORKDAYS($K31,AW$5,休日)=1,"○",IF(NETWORKDAYS(AW$5,$L31,休日)=1,"▶","→")),"")))</f>
        <v/>
      </c>
      <c r="AX31" s="116">
        <f>IF(OR($K31="",$L31=""),"",IF(NETWORKDAYS(AX$5,AX$5,休日)=0,"",IF(AND(AX$5&gt;=$K31,AX$5&lt;=$L31),IF(NETWORKDAYS($K31,AX$5,休日)=1,"○",IF(NETWORKDAYS(AX$5,$L31,休日)=1,"▶","→")),"")))</f>
        <v/>
      </c>
      <c r="AY31" s="116">
        <f>IF(OR($K31="",$L31=""),"",IF(NETWORKDAYS(AY$5,AY$5,休日)=0,"",IF(AND(AY$5&gt;=$K31,AY$5&lt;=$L31),IF(NETWORKDAYS($K31,AY$5,休日)=1,"○",IF(NETWORKDAYS(AY$5,$L31,休日)=1,"▶","→")),"")))</f>
        <v/>
      </c>
      <c r="AZ31" s="116">
        <f>IF(OR($K31="",$L31=""),"",IF(NETWORKDAYS(AZ$5,AZ$5,休日)=0,"",IF(AND(AZ$5&gt;=$K31,AZ$5&lt;=$L31),IF(NETWORKDAYS($K31,AZ$5,休日)=1,"○",IF(NETWORKDAYS(AZ$5,$L31,休日)=1,"▶","→")),"")))</f>
        <v/>
      </c>
      <c r="BA31" s="116">
        <f>IF(OR($K31="",$L31=""),"",IF(NETWORKDAYS(BA$5,BA$5,休日)=0,"",IF(AND(BA$5&gt;=$K31,BA$5&lt;=$L31),IF(NETWORKDAYS($K31,BA$5,休日)=1,"○",IF(NETWORKDAYS(BA$5,$L31,休日)=1,"▶","→")),"")))</f>
        <v/>
      </c>
      <c r="BB31" s="116">
        <f>IF(OR($K31="",$L31=""),"",IF(NETWORKDAYS(BB$5,BB$5,休日)=0,"",IF(AND(BB$5&gt;=$K31,BB$5&lt;=$L31),IF(NETWORKDAYS($K31,BB$5,休日)=1,"○",IF(NETWORKDAYS(BB$5,$L31,休日)=1,"▶","→")),"")))</f>
        <v/>
      </c>
      <c r="BC31" s="116">
        <f>IF(OR($K31="",$L31=""),"",IF(NETWORKDAYS(BC$5,BC$5,休日)=0,"",IF(AND(BC$5&gt;=$K31,BC$5&lt;=$L31),IF(NETWORKDAYS($K31,BC$5,休日)=1,"○",IF(NETWORKDAYS(BC$5,$L31,休日)=1,"▶","→")),"")))</f>
        <v/>
      </c>
      <c r="BD31" s="116">
        <f>IF(OR($K31="",$L31=""),"",IF(NETWORKDAYS(BD$5,BD$5,休日)=0,"",IF(AND(BD$5&gt;=$K31,BD$5&lt;=$L31),IF(NETWORKDAYS($K31,BD$5,休日)=1,"○",IF(NETWORKDAYS(BD$5,$L31,休日)=1,"▶","→")),"")))</f>
        <v/>
      </c>
      <c r="BE31" s="116">
        <f>IF(OR($K31="",$L31=""),"",IF(NETWORKDAYS(BE$5,BE$5,休日)=0,"",IF(AND(BE$5&gt;=$K31,BE$5&lt;=$L31),IF(NETWORKDAYS($K31,BE$5,休日)=1,"○",IF(NETWORKDAYS(BE$5,$L31,休日)=1,"▶","→")),"")))</f>
        <v/>
      </c>
      <c r="BF31" s="116">
        <f>IF(OR($K31="",$L31=""),"",IF(NETWORKDAYS(BF$5,BF$5,休日)=0,"",IF(AND(BF$5&gt;=$K31,BF$5&lt;=$L31),IF(NETWORKDAYS($K31,BF$5,休日)=1,"○",IF(NETWORKDAYS(BF$5,$L31,休日)=1,"▶","→")),"")))</f>
        <v/>
      </c>
      <c r="BG31" s="116">
        <f>IF(OR($K31="",$L31=""),"",IF(NETWORKDAYS(BG$5,BG$5,休日)=0,"",IF(AND(BG$5&gt;=$K31,BG$5&lt;=$L31),IF(NETWORKDAYS($K31,BG$5,休日)=1,"○",IF(NETWORKDAYS(BG$5,$L31,休日)=1,"▶","→")),"")))</f>
        <v/>
      </c>
      <c r="BH31" s="116">
        <f>IF(OR($K31="",$L31=""),"",IF(NETWORKDAYS(BH$5,BH$5,休日)=0,"",IF(AND(BH$5&gt;=$K31,BH$5&lt;=$L31),IF(NETWORKDAYS($K31,BH$5,休日)=1,"○",IF(NETWORKDAYS(BH$5,$L31,休日)=1,"▶","→")),"")))</f>
        <v/>
      </c>
      <c r="BI31" s="116">
        <f>IF(OR($K31="",$L31=""),"",IF(NETWORKDAYS(BI$5,BI$5,休日)=0,"",IF(AND(BI$5&gt;=$K31,BI$5&lt;=$L31),IF(NETWORKDAYS($K31,BI$5,休日)=1,"○",IF(NETWORKDAYS(BI$5,$L31,休日)=1,"▶","→")),"")))</f>
        <v/>
      </c>
      <c r="BJ31" s="116">
        <f>IF(OR($K31="",$L31=""),"",IF(NETWORKDAYS(BJ$5,BJ$5,休日)=0,"",IF(AND(BJ$5&gt;=$K31,BJ$5&lt;=$L31),IF(NETWORKDAYS($K31,BJ$5,休日)=1,"○",IF(NETWORKDAYS(BJ$5,$L31,休日)=1,"▶","→")),"")))</f>
        <v/>
      </c>
      <c r="BK31" s="116">
        <f>IF(OR($K31="",$L31=""),"",IF(NETWORKDAYS(BK$5,BK$5,休日)=0,"",IF(AND(BK$5&gt;=$K31,BK$5&lt;=$L31),IF(NETWORKDAYS($K31,BK$5,休日)=1,"○",IF(NETWORKDAYS(BK$5,$L31,休日)=1,"▶","→")),"")))</f>
        <v/>
      </c>
      <c r="BL31" s="116">
        <f>IF(OR($K31="",$L31=""),"",IF(NETWORKDAYS(BL$5,BL$5,休日)=0,"",IF(AND(BL$5&gt;=$K31,BL$5&lt;=$L31),IF(NETWORKDAYS($K31,BL$5,休日)=1,"○",IF(NETWORKDAYS(BL$5,$L31,休日)=1,"▶","→")),"")))</f>
        <v/>
      </c>
      <c r="BM31" s="116">
        <f>IF(OR($K31="",$L31=""),"",IF(NETWORKDAYS(BM$5,BM$5,休日)=0,"",IF(AND(BM$5&gt;=$K31,BM$5&lt;=$L31),IF(NETWORKDAYS($K31,BM$5,休日)=1,"○",IF(NETWORKDAYS(BM$5,$L31,休日)=1,"▶","→")),"")))</f>
        <v/>
      </c>
      <c r="BN31" s="116">
        <f>IF(OR($K31="",$L31=""),"",IF(NETWORKDAYS(BN$5,BN$5,休日)=0,"",IF(AND(BN$5&gt;=$K31,BN$5&lt;=$L31),IF(NETWORKDAYS($K31,BN$5,休日)=1,"○",IF(NETWORKDAYS(BN$5,$L31,休日)=1,"▶","→")),"")))</f>
        <v/>
      </c>
      <c r="BO31" s="116">
        <f>IF(OR($K31="",$L31=""),"",IF(NETWORKDAYS(BO$5,BO$5,休日)=0,"",IF(AND(BO$5&gt;=$K31,BO$5&lt;=$L31),IF(NETWORKDAYS($K31,BO$5,休日)=1,"○",IF(NETWORKDAYS(BO$5,$L31,休日)=1,"▶","→")),"")))</f>
        <v/>
      </c>
      <c r="BP31" s="116">
        <f>IF(OR($K31="",$L31=""),"",IF(NETWORKDAYS(BP$5,BP$5,休日)=0,"",IF(AND(BP$5&gt;=$K31,BP$5&lt;=$L31),IF(NETWORKDAYS($K31,BP$5,休日)=1,"○",IF(NETWORKDAYS(BP$5,$L31,休日)=1,"▶","→")),"")))</f>
        <v/>
      </c>
      <c r="BQ31" s="116">
        <f>IF(OR($K31="",$L31=""),"",IF(NETWORKDAYS(BQ$5,BQ$5,休日)=0,"",IF(AND(BQ$5&gt;=$K31,BQ$5&lt;=$L31),IF(NETWORKDAYS($K31,BQ$5,休日)=1,"○",IF(NETWORKDAYS(BQ$5,$L31,休日)=1,"▶","→")),"")))</f>
        <v/>
      </c>
      <c r="BR31" s="116">
        <f>IF(OR($K31="",$L31=""),"",IF(NETWORKDAYS(BR$5,BR$5,休日)=0,"",IF(AND(BR$5&gt;=$K31,BR$5&lt;=$L31),IF(NETWORKDAYS($K31,BR$5,休日)=1,"○",IF(NETWORKDAYS(BR$5,$L31,休日)=1,"▶","→")),"")))</f>
        <v/>
      </c>
      <c r="BS31" s="116">
        <f>IF(OR($K31="",$L31=""),"",IF(NETWORKDAYS(BS$5,BS$5,休日)=0,"",IF(AND(BS$5&gt;=$K31,BS$5&lt;=$L31),IF(NETWORKDAYS($K31,BS$5,休日)=1,"○",IF(NETWORKDAYS(BS$5,$L31,休日)=1,"▶","→")),"")))</f>
        <v/>
      </c>
      <c r="BT31" s="116">
        <f>IF(OR($K31="",$L31=""),"",IF(NETWORKDAYS(BT$5,BT$5,休日)=0,"",IF(AND(BT$5&gt;=$K31,BT$5&lt;=$L31),IF(NETWORKDAYS($K31,BT$5,休日)=1,"○",IF(NETWORKDAYS(BT$5,$L31,休日)=1,"▶","→")),"")))</f>
        <v/>
      </c>
      <c r="BU31" s="116">
        <f>IF(OR($K31="",$L31=""),"",IF(NETWORKDAYS(BU$5,BU$5,休日)=0,"",IF(AND(BU$5&gt;=$K31,BU$5&lt;=$L31),IF(NETWORKDAYS($K31,BU$5,休日)=1,"○",IF(NETWORKDAYS(BU$5,$L31,休日)=1,"▶","→")),"")))</f>
        <v/>
      </c>
      <c r="BV31" s="116">
        <f>IF(OR($K31="",$L31=""),"",IF(NETWORKDAYS(BV$5,BV$5,休日)=0,"",IF(AND(BV$5&gt;=$K31,BV$5&lt;=$L31),IF(NETWORKDAYS($K31,BV$5,休日)=1,"○",IF(NETWORKDAYS(BV$5,$L31,休日)=1,"▶","→")),"")))</f>
        <v/>
      </c>
      <c r="BW31" s="116">
        <f>IF(OR($K31="",$L31=""),"",IF(NETWORKDAYS(BW$5,BW$5,休日)=0,"",IF(AND(BW$5&gt;=$K31,BW$5&lt;=$L31),IF(NETWORKDAYS($K31,BW$5,休日)=1,"○",IF(NETWORKDAYS(BW$5,$L31,休日)=1,"▶","→")),"")))</f>
        <v/>
      </c>
      <c r="BX31" s="116">
        <f>IF(OR($K31="",$L31=""),"",IF(NETWORKDAYS(BX$5,BX$5,休日)=0,"",IF(AND(BX$5&gt;=$K31,BX$5&lt;=$L31),IF(NETWORKDAYS($K31,BX$5,休日)=1,"○",IF(NETWORKDAYS(BX$5,$L31,休日)=1,"▶","→")),"")))</f>
        <v/>
      </c>
      <c r="BY31" s="116">
        <f>IF(OR($K31="",$L31=""),"",IF(NETWORKDAYS(BY$5,BY$5,休日)=0,"",IF(AND(BY$5&gt;=$K31,BY$5&lt;=$L31),IF(NETWORKDAYS($K31,BY$5,休日)=1,"○",IF(NETWORKDAYS(BY$5,$L31,休日)=1,"▶","→")),"")))</f>
        <v/>
      </c>
      <c r="BZ31" s="116">
        <f>IF(OR($K31="",$L31=""),"",IF(NETWORKDAYS(BZ$5,BZ$5,休日)=0,"",IF(AND(BZ$5&gt;=$K31,BZ$5&lt;=$L31),IF(NETWORKDAYS($K31,BZ$5,休日)=1,"○",IF(NETWORKDAYS(BZ$5,$L31,休日)=1,"▶","→")),"")))</f>
        <v/>
      </c>
      <c r="CA31" s="116">
        <f>IF(OR($K31="",$L31=""),"",IF(NETWORKDAYS(CA$5,CA$5,休日)=0,"",IF(AND(CA$5&gt;=$K31,CA$5&lt;=$L31),IF(NETWORKDAYS($K31,CA$5,休日)=1,"○",IF(NETWORKDAYS(CA$5,$L31,休日)=1,"▶","→")),"")))</f>
        <v/>
      </c>
      <c r="CB31" s="116">
        <f>IF(OR($K31="",$L31=""),"",IF(NETWORKDAYS(CB$5,CB$5,休日)=0,"",IF(AND(CB$5&gt;=$K31,CB$5&lt;=$L31),IF(NETWORKDAYS($K31,CB$5,休日)=1,"○",IF(NETWORKDAYS(CB$5,$L31,休日)=1,"▶","→")),"")))</f>
        <v/>
      </c>
      <c r="CC31" s="116">
        <f>IF(OR($K31="",$L31=""),"",IF(NETWORKDAYS(CC$5,CC$5,休日)=0,"",IF(AND(CC$5&gt;=$K31,CC$5&lt;=$L31),IF(NETWORKDAYS($K31,CC$5,休日)=1,"○",IF(NETWORKDAYS(CC$5,$L31,休日)=1,"▶","→")),"")))</f>
        <v/>
      </c>
      <c r="CD31" s="116">
        <f>IF(OR($K31="",$L31=""),"",IF(NETWORKDAYS(CD$5,CD$5,休日)=0,"",IF(AND(CD$5&gt;=$K31,CD$5&lt;=$L31),IF(NETWORKDAYS($K31,CD$5,休日)=1,"○",IF(NETWORKDAYS(CD$5,$L31,休日)=1,"▶","→")),"")))</f>
        <v/>
      </c>
      <c r="CE31" s="116">
        <f>IF(OR($K31="",$L31=""),"",IF(NETWORKDAYS(CE$5,CE$5,休日)=0,"",IF(AND(CE$5&gt;=$K31,CE$5&lt;=$L31),IF(NETWORKDAYS($K31,CE$5,休日)=1,"○",IF(NETWORKDAYS(CE$5,$L31,休日)=1,"▶","→")),"")))</f>
        <v/>
      </c>
      <c r="CF31" s="116">
        <f>IF(OR($K31="",$L31=""),"",IF(NETWORKDAYS(CF$5,CF$5,休日)=0,"",IF(AND(CF$5&gt;=$K31,CF$5&lt;=$L31),IF(NETWORKDAYS($K31,CF$5,休日)=1,"○",IF(NETWORKDAYS(CF$5,$L31,休日)=1,"▶","→")),"")))</f>
        <v/>
      </c>
      <c r="CG31" s="116">
        <f>IF(OR($K31="",$L31=""),"",IF(NETWORKDAYS(CG$5,CG$5,休日)=0,"",IF(AND(CG$5&gt;=$K31,CG$5&lt;=$L31),IF(NETWORKDAYS($K31,CG$5,休日)=1,"○",IF(NETWORKDAYS(CG$5,$L31,休日)=1,"▶","→")),"")))</f>
        <v/>
      </c>
      <c r="CH31" s="116">
        <f>IF(OR($K31="",$L31=""),"",IF(NETWORKDAYS(CH$5,CH$5,休日)=0,"",IF(AND(CH$5&gt;=$K31,CH$5&lt;=$L31),IF(NETWORKDAYS($K31,CH$5,休日)=1,"○",IF(NETWORKDAYS(CH$5,$L31,休日)=1,"▶","→")),"")))</f>
        <v/>
      </c>
      <c r="CI31" s="116">
        <f>IF(OR($K31="",$L31=""),"",IF(NETWORKDAYS(CI$5,CI$5,休日)=0,"",IF(AND(CI$5&gt;=$K31,CI$5&lt;=$L31),IF(NETWORKDAYS($K31,CI$5,休日)=1,"○",IF(NETWORKDAYS(CI$5,$L31,休日)=1,"▶","→")),"")))</f>
        <v/>
      </c>
      <c r="CJ31" s="116">
        <f>IF(OR($K31="",$L31=""),"",IF(NETWORKDAYS(CJ$5,CJ$5,休日)=0,"",IF(AND(CJ$5&gt;=$K31,CJ$5&lt;=$L31),IF(NETWORKDAYS($K31,CJ$5,休日)=1,"○",IF(NETWORKDAYS(CJ$5,$L31,休日)=1,"▶","→")),"")))</f>
        <v/>
      </c>
      <c r="CK31" s="116">
        <f>IF(OR($K31="",$L31=""),"",IF(NETWORKDAYS(CK$5,CK$5,休日)=0,"",IF(AND(CK$5&gt;=$K31,CK$5&lt;=$L31),IF(NETWORKDAYS($K31,CK$5,休日)=1,"○",IF(NETWORKDAYS(CK$5,$L31,休日)=1,"▶","→")),"")))</f>
        <v/>
      </c>
      <c r="CL31" s="116">
        <f>IF(OR($K31="",$L31=""),"",IF(NETWORKDAYS(CL$5,CL$5,休日)=0,"",IF(AND(CL$5&gt;=$K31,CL$5&lt;=$L31),IF(NETWORKDAYS($K31,CL$5,休日)=1,"○",IF(NETWORKDAYS(CL$5,$L31,休日)=1,"▶","→")),"")))</f>
        <v/>
      </c>
      <c r="CM31" s="116">
        <f>IF(OR($K31="",$L31=""),"",IF(NETWORKDAYS(CM$5,CM$5,休日)=0,"",IF(AND(CM$5&gt;=$K31,CM$5&lt;=$L31),IF(NETWORKDAYS($K31,CM$5,休日)=1,"○",IF(NETWORKDAYS(CM$5,$L31,休日)=1,"▶","→")),"")))</f>
        <v/>
      </c>
      <c r="CN31" s="116">
        <f>IF(OR($K31="",$L31=""),"",IF(NETWORKDAYS(CN$5,CN$5,休日)=0,"",IF(AND(CN$5&gt;=$K31,CN$5&lt;=$L31),IF(NETWORKDAYS($K31,CN$5,休日)=1,"○",IF(NETWORKDAYS(CN$5,$L31,休日)=1,"▶","→")),"")))</f>
        <v/>
      </c>
      <c r="CO31" s="116">
        <f>IF(OR($K31="",$L31=""),"",IF(NETWORKDAYS(CO$5,CO$5,休日)=0,"",IF(AND(CO$5&gt;=$K31,CO$5&lt;=$L31),IF(NETWORKDAYS($K31,CO$5,休日)=1,"○",IF(NETWORKDAYS(CO$5,$L31,休日)=1,"▶","→")),"")))</f>
        <v/>
      </c>
    </row>
    <row r="32" ht="32" customHeight="1" s="98">
      <c r="A32" s="5" t="n"/>
      <c r="B32" s="100" t="inlineStr">
        <is>
          <t>2.1.12</t>
        </is>
      </c>
      <c r="C32" s="101" t="inlineStr">
        <is>
          <t>詳細設計</t>
        </is>
      </c>
      <c r="D32" s="101" t="inlineStr">
        <is>
          <t>Layer③</t>
        </is>
      </c>
      <c r="E32" s="101" t="inlineStr">
        <is>
          <t>生鮮発注スケジュール</t>
        </is>
      </c>
      <c r="F32" s="101" t="inlineStr">
        <is>
          <t>生鮮発注スケジュール</t>
        </is>
      </c>
      <c r="G32" s="100" t="inlineStr">
        <is>
          <t>差分</t>
        </is>
      </c>
      <c r="H32" s="100" t="inlineStr">
        <is>
          <t>杨艳</t>
        </is>
      </c>
      <c r="I32" s="113" t="n">
        <v>0.5</v>
      </c>
      <c r="J32" s="100" t="inlineStr">
        <is>
          <t>－</t>
        </is>
      </c>
      <c r="K32" s="114" t="n">
        <v>46321</v>
      </c>
      <c r="L32" s="114" t="n">
        <v>46328</v>
      </c>
      <c r="M32" s="114" t="n"/>
      <c r="N32" s="114" t="n"/>
      <c r="O32" s="100" t="inlineStr">
        <is>
          <t>未着手</t>
        </is>
      </c>
      <c r="P32" s="115" t="n">
        <v>0</v>
      </c>
      <c r="Q32" s="100" t="inlineStr">
        <is>
          <t>G②</t>
        </is>
      </c>
      <c r="R32" s="101" t="inlineStr">
        <is>
          <t>Layer①とLayer③の期間は出典で分離されていない。同一期間を記入</t>
        </is>
      </c>
      <c r="S32" s="116">
        <f>IF(OR($K32="",$L32=""),"",IF(NETWORKDAYS(S$5,S$5,休日)=0,"",IF(AND(S$5&gt;=$K32,S$5&lt;=$L32),IF(NETWORKDAYS($K32,S$5,休日)=1,"○",IF(NETWORKDAYS(S$5,$L32,休日)=1,"▶","→")),"")))</f>
        <v/>
      </c>
      <c r="T32" s="116">
        <f>IF(OR($K32="",$L32=""),"",IF(NETWORKDAYS(T$5,T$5,休日)=0,"",IF(AND(T$5&gt;=$K32,T$5&lt;=$L32),IF(NETWORKDAYS($K32,T$5,休日)=1,"○",IF(NETWORKDAYS(T$5,$L32,休日)=1,"▶","→")),"")))</f>
        <v/>
      </c>
      <c r="U32" s="116">
        <f>IF(OR($K32="",$L32=""),"",IF(NETWORKDAYS(U$5,U$5,休日)=0,"",IF(AND(U$5&gt;=$K32,U$5&lt;=$L32),IF(NETWORKDAYS($K32,U$5,休日)=1,"○",IF(NETWORKDAYS(U$5,$L32,休日)=1,"▶","→")),"")))</f>
        <v/>
      </c>
      <c r="V32" s="116">
        <f>IF(OR($K32="",$L32=""),"",IF(NETWORKDAYS(V$5,V$5,休日)=0,"",IF(AND(V$5&gt;=$K32,V$5&lt;=$L32),IF(NETWORKDAYS($K32,V$5,休日)=1,"○",IF(NETWORKDAYS(V$5,$L32,休日)=1,"▶","→")),"")))</f>
        <v/>
      </c>
      <c r="W32" s="116">
        <f>IF(OR($K32="",$L32=""),"",IF(NETWORKDAYS(W$5,W$5,休日)=0,"",IF(AND(W$5&gt;=$K32,W$5&lt;=$L32),IF(NETWORKDAYS($K32,W$5,休日)=1,"○",IF(NETWORKDAYS(W$5,$L32,休日)=1,"▶","→")),"")))</f>
        <v/>
      </c>
      <c r="X32" s="116">
        <f>IF(OR($K32="",$L32=""),"",IF(NETWORKDAYS(X$5,X$5,休日)=0,"",IF(AND(X$5&gt;=$K32,X$5&lt;=$L32),IF(NETWORKDAYS($K32,X$5,休日)=1,"○",IF(NETWORKDAYS(X$5,$L32,休日)=1,"▶","→")),"")))</f>
        <v/>
      </c>
      <c r="Y32" s="116">
        <f>IF(OR($K32="",$L32=""),"",IF(NETWORKDAYS(Y$5,Y$5,休日)=0,"",IF(AND(Y$5&gt;=$K32,Y$5&lt;=$L32),IF(NETWORKDAYS($K32,Y$5,休日)=1,"○",IF(NETWORKDAYS(Y$5,$L32,休日)=1,"▶","→")),"")))</f>
        <v/>
      </c>
      <c r="Z32" s="116">
        <f>IF(OR($K32="",$L32=""),"",IF(NETWORKDAYS(Z$5,Z$5,休日)=0,"",IF(AND(Z$5&gt;=$K32,Z$5&lt;=$L32),IF(NETWORKDAYS($K32,Z$5,休日)=1,"○",IF(NETWORKDAYS(Z$5,$L32,休日)=1,"▶","→")),"")))</f>
        <v/>
      </c>
      <c r="AA32" s="116">
        <f>IF(OR($K32="",$L32=""),"",IF(NETWORKDAYS(AA$5,AA$5,休日)=0,"",IF(AND(AA$5&gt;=$K32,AA$5&lt;=$L32),IF(NETWORKDAYS($K32,AA$5,休日)=1,"○",IF(NETWORKDAYS(AA$5,$L32,休日)=1,"▶","→")),"")))</f>
        <v/>
      </c>
      <c r="AB32" s="116">
        <f>IF(OR($K32="",$L32=""),"",IF(NETWORKDAYS(AB$5,AB$5,休日)=0,"",IF(AND(AB$5&gt;=$K32,AB$5&lt;=$L32),IF(NETWORKDAYS($K32,AB$5,休日)=1,"○",IF(NETWORKDAYS(AB$5,$L32,休日)=1,"▶","→")),"")))</f>
        <v/>
      </c>
      <c r="AC32" s="116">
        <f>IF(OR($K32="",$L32=""),"",IF(NETWORKDAYS(AC$5,AC$5,休日)=0,"",IF(AND(AC$5&gt;=$K32,AC$5&lt;=$L32),IF(NETWORKDAYS($K32,AC$5,休日)=1,"○",IF(NETWORKDAYS(AC$5,$L32,休日)=1,"▶","→")),"")))</f>
        <v/>
      </c>
      <c r="AD32" s="116">
        <f>IF(OR($K32="",$L32=""),"",IF(NETWORKDAYS(AD$5,AD$5,休日)=0,"",IF(AND(AD$5&gt;=$K32,AD$5&lt;=$L32),IF(NETWORKDAYS($K32,AD$5,休日)=1,"○",IF(NETWORKDAYS(AD$5,$L32,休日)=1,"▶","→")),"")))</f>
        <v/>
      </c>
      <c r="AE32" s="116">
        <f>IF(OR($K32="",$L32=""),"",IF(NETWORKDAYS(AE$5,AE$5,休日)=0,"",IF(AND(AE$5&gt;=$K32,AE$5&lt;=$L32),IF(NETWORKDAYS($K32,AE$5,休日)=1,"○",IF(NETWORKDAYS(AE$5,$L32,休日)=1,"▶","→")),"")))</f>
        <v/>
      </c>
      <c r="AF32" s="116">
        <f>IF(OR($K32="",$L32=""),"",IF(NETWORKDAYS(AF$5,AF$5,休日)=0,"",IF(AND(AF$5&gt;=$K32,AF$5&lt;=$L32),IF(NETWORKDAYS($K32,AF$5,休日)=1,"○",IF(NETWORKDAYS(AF$5,$L32,休日)=1,"▶","→")),"")))</f>
        <v/>
      </c>
      <c r="AG32" s="116">
        <f>IF(OR($K32="",$L32=""),"",IF(NETWORKDAYS(AG$5,AG$5,休日)=0,"",IF(AND(AG$5&gt;=$K32,AG$5&lt;=$L32),IF(NETWORKDAYS($K32,AG$5,休日)=1,"○",IF(NETWORKDAYS(AG$5,$L32,休日)=1,"▶","→")),"")))</f>
        <v/>
      </c>
      <c r="AH32" s="116">
        <f>IF(OR($K32="",$L32=""),"",IF(NETWORKDAYS(AH$5,AH$5,休日)=0,"",IF(AND(AH$5&gt;=$K32,AH$5&lt;=$L32),IF(NETWORKDAYS($K32,AH$5,休日)=1,"○",IF(NETWORKDAYS(AH$5,$L32,休日)=1,"▶","→")),"")))</f>
        <v/>
      </c>
      <c r="AI32" s="116">
        <f>IF(OR($K32="",$L32=""),"",IF(NETWORKDAYS(AI$5,AI$5,休日)=0,"",IF(AND(AI$5&gt;=$K32,AI$5&lt;=$L32),IF(NETWORKDAYS($K32,AI$5,休日)=1,"○",IF(NETWORKDAYS(AI$5,$L32,休日)=1,"▶","→")),"")))</f>
        <v/>
      </c>
      <c r="AJ32" s="116">
        <f>IF(OR($K32="",$L32=""),"",IF(NETWORKDAYS(AJ$5,AJ$5,休日)=0,"",IF(AND(AJ$5&gt;=$K32,AJ$5&lt;=$L32),IF(NETWORKDAYS($K32,AJ$5,休日)=1,"○",IF(NETWORKDAYS(AJ$5,$L32,休日)=1,"▶","→")),"")))</f>
        <v/>
      </c>
      <c r="AK32" s="116">
        <f>IF(OR($K32="",$L32=""),"",IF(NETWORKDAYS(AK$5,AK$5,休日)=0,"",IF(AND(AK$5&gt;=$K32,AK$5&lt;=$L32),IF(NETWORKDAYS($K32,AK$5,休日)=1,"○",IF(NETWORKDAYS(AK$5,$L32,休日)=1,"▶","→")),"")))</f>
        <v/>
      </c>
      <c r="AL32" s="116">
        <f>IF(OR($K32="",$L32=""),"",IF(NETWORKDAYS(AL$5,AL$5,休日)=0,"",IF(AND(AL$5&gt;=$K32,AL$5&lt;=$L32),IF(NETWORKDAYS($K32,AL$5,休日)=1,"○",IF(NETWORKDAYS(AL$5,$L32,休日)=1,"▶","→")),"")))</f>
        <v/>
      </c>
      <c r="AM32" s="116">
        <f>IF(OR($K32="",$L32=""),"",IF(NETWORKDAYS(AM$5,AM$5,休日)=0,"",IF(AND(AM$5&gt;=$K32,AM$5&lt;=$L32),IF(NETWORKDAYS($K32,AM$5,休日)=1,"○",IF(NETWORKDAYS(AM$5,$L32,休日)=1,"▶","→")),"")))</f>
        <v/>
      </c>
      <c r="AN32" s="116">
        <f>IF(OR($K32="",$L32=""),"",IF(NETWORKDAYS(AN$5,AN$5,休日)=0,"",IF(AND(AN$5&gt;=$K32,AN$5&lt;=$L32),IF(NETWORKDAYS($K32,AN$5,休日)=1,"○",IF(NETWORKDAYS(AN$5,$L32,休日)=1,"▶","→")),"")))</f>
        <v/>
      </c>
      <c r="AO32" s="116">
        <f>IF(OR($K32="",$L32=""),"",IF(NETWORKDAYS(AO$5,AO$5,休日)=0,"",IF(AND(AO$5&gt;=$K32,AO$5&lt;=$L32),IF(NETWORKDAYS($K32,AO$5,休日)=1,"○",IF(NETWORKDAYS(AO$5,$L32,休日)=1,"▶","→")),"")))</f>
        <v/>
      </c>
      <c r="AP32" s="116">
        <f>IF(OR($K32="",$L32=""),"",IF(NETWORKDAYS(AP$5,AP$5,休日)=0,"",IF(AND(AP$5&gt;=$K32,AP$5&lt;=$L32),IF(NETWORKDAYS($K32,AP$5,休日)=1,"○",IF(NETWORKDAYS(AP$5,$L32,休日)=1,"▶","→")),"")))</f>
        <v/>
      </c>
      <c r="AQ32" s="116">
        <f>IF(OR($K32="",$L32=""),"",IF(NETWORKDAYS(AQ$5,AQ$5,休日)=0,"",IF(AND(AQ$5&gt;=$K32,AQ$5&lt;=$L32),IF(NETWORKDAYS($K32,AQ$5,休日)=1,"○",IF(NETWORKDAYS(AQ$5,$L32,休日)=1,"▶","→")),"")))</f>
        <v/>
      </c>
      <c r="AR32" s="116">
        <f>IF(OR($K32="",$L32=""),"",IF(NETWORKDAYS(AR$5,AR$5,休日)=0,"",IF(AND(AR$5&gt;=$K32,AR$5&lt;=$L32),IF(NETWORKDAYS($K32,AR$5,休日)=1,"○",IF(NETWORKDAYS(AR$5,$L32,休日)=1,"▶","→")),"")))</f>
        <v/>
      </c>
      <c r="AS32" s="116">
        <f>IF(OR($K32="",$L32=""),"",IF(NETWORKDAYS(AS$5,AS$5,休日)=0,"",IF(AND(AS$5&gt;=$K32,AS$5&lt;=$L32),IF(NETWORKDAYS($K32,AS$5,休日)=1,"○",IF(NETWORKDAYS(AS$5,$L32,休日)=1,"▶","→")),"")))</f>
        <v/>
      </c>
      <c r="AT32" s="116">
        <f>IF(OR($K32="",$L32=""),"",IF(NETWORKDAYS(AT$5,AT$5,休日)=0,"",IF(AND(AT$5&gt;=$K32,AT$5&lt;=$L32),IF(NETWORKDAYS($K32,AT$5,休日)=1,"○",IF(NETWORKDAYS(AT$5,$L32,休日)=1,"▶","→")),"")))</f>
        <v/>
      </c>
      <c r="AU32" s="116">
        <f>IF(OR($K32="",$L32=""),"",IF(NETWORKDAYS(AU$5,AU$5,休日)=0,"",IF(AND(AU$5&gt;=$K32,AU$5&lt;=$L32),IF(NETWORKDAYS($K32,AU$5,休日)=1,"○",IF(NETWORKDAYS(AU$5,$L32,休日)=1,"▶","→")),"")))</f>
        <v/>
      </c>
      <c r="AV32" s="116">
        <f>IF(OR($K32="",$L32=""),"",IF(NETWORKDAYS(AV$5,AV$5,休日)=0,"",IF(AND(AV$5&gt;=$K32,AV$5&lt;=$L32),IF(NETWORKDAYS($K32,AV$5,休日)=1,"○",IF(NETWORKDAYS(AV$5,$L32,休日)=1,"▶","→")),"")))</f>
        <v/>
      </c>
      <c r="AW32" s="116">
        <f>IF(OR($K32="",$L32=""),"",IF(NETWORKDAYS(AW$5,AW$5,休日)=0,"",IF(AND(AW$5&gt;=$K32,AW$5&lt;=$L32),IF(NETWORKDAYS($K32,AW$5,休日)=1,"○",IF(NETWORKDAYS(AW$5,$L32,休日)=1,"▶","→")),"")))</f>
        <v/>
      </c>
      <c r="AX32" s="116">
        <f>IF(OR($K32="",$L32=""),"",IF(NETWORKDAYS(AX$5,AX$5,休日)=0,"",IF(AND(AX$5&gt;=$K32,AX$5&lt;=$L32),IF(NETWORKDAYS($K32,AX$5,休日)=1,"○",IF(NETWORKDAYS(AX$5,$L32,休日)=1,"▶","→")),"")))</f>
        <v/>
      </c>
      <c r="AY32" s="116">
        <f>IF(OR($K32="",$L32=""),"",IF(NETWORKDAYS(AY$5,AY$5,休日)=0,"",IF(AND(AY$5&gt;=$K32,AY$5&lt;=$L32),IF(NETWORKDAYS($K32,AY$5,休日)=1,"○",IF(NETWORKDAYS(AY$5,$L32,休日)=1,"▶","→")),"")))</f>
        <v/>
      </c>
      <c r="AZ32" s="116">
        <f>IF(OR($K32="",$L32=""),"",IF(NETWORKDAYS(AZ$5,AZ$5,休日)=0,"",IF(AND(AZ$5&gt;=$K32,AZ$5&lt;=$L32),IF(NETWORKDAYS($K32,AZ$5,休日)=1,"○",IF(NETWORKDAYS(AZ$5,$L32,休日)=1,"▶","→")),"")))</f>
        <v/>
      </c>
      <c r="BA32" s="116">
        <f>IF(OR($K32="",$L32=""),"",IF(NETWORKDAYS(BA$5,BA$5,休日)=0,"",IF(AND(BA$5&gt;=$K32,BA$5&lt;=$L32),IF(NETWORKDAYS($K32,BA$5,休日)=1,"○",IF(NETWORKDAYS(BA$5,$L32,休日)=1,"▶","→")),"")))</f>
        <v/>
      </c>
      <c r="BB32" s="116">
        <f>IF(OR($K32="",$L32=""),"",IF(NETWORKDAYS(BB$5,BB$5,休日)=0,"",IF(AND(BB$5&gt;=$K32,BB$5&lt;=$L32),IF(NETWORKDAYS($K32,BB$5,休日)=1,"○",IF(NETWORKDAYS(BB$5,$L32,休日)=1,"▶","→")),"")))</f>
        <v/>
      </c>
      <c r="BC32" s="116">
        <f>IF(OR($K32="",$L32=""),"",IF(NETWORKDAYS(BC$5,BC$5,休日)=0,"",IF(AND(BC$5&gt;=$K32,BC$5&lt;=$L32),IF(NETWORKDAYS($K32,BC$5,休日)=1,"○",IF(NETWORKDAYS(BC$5,$L32,休日)=1,"▶","→")),"")))</f>
        <v/>
      </c>
      <c r="BD32" s="116">
        <f>IF(OR($K32="",$L32=""),"",IF(NETWORKDAYS(BD$5,BD$5,休日)=0,"",IF(AND(BD$5&gt;=$K32,BD$5&lt;=$L32),IF(NETWORKDAYS($K32,BD$5,休日)=1,"○",IF(NETWORKDAYS(BD$5,$L32,休日)=1,"▶","→")),"")))</f>
        <v/>
      </c>
      <c r="BE32" s="116">
        <f>IF(OR($K32="",$L32=""),"",IF(NETWORKDAYS(BE$5,BE$5,休日)=0,"",IF(AND(BE$5&gt;=$K32,BE$5&lt;=$L32),IF(NETWORKDAYS($K32,BE$5,休日)=1,"○",IF(NETWORKDAYS(BE$5,$L32,休日)=1,"▶","→")),"")))</f>
        <v/>
      </c>
      <c r="BF32" s="116">
        <f>IF(OR($K32="",$L32=""),"",IF(NETWORKDAYS(BF$5,BF$5,休日)=0,"",IF(AND(BF$5&gt;=$K32,BF$5&lt;=$L32),IF(NETWORKDAYS($K32,BF$5,休日)=1,"○",IF(NETWORKDAYS(BF$5,$L32,休日)=1,"▶","→")),"")))</f>
        <v/>
      </c>
      <c r="BG32" s="116">
        <f>IF(OR($K32="",$L32=""),"",IF(NETWORKDAYS(BG$5,BG$5,休日)=0,"",IF(AND(BG$5&gt;=$K32,BG$5&lt;=$L32),IF(NETWORKDAYS($K32,BG$5,休日)=1,"○",IF(NETWORKDAYS(BG$5,$L32,休日)=1,"▶","→")),"")))</f>
        <v/>
      </c>
      <c r="BH32" s="116">
        <f>IF(OR($K32="",$L32=""),"",IF(NETWORKDAYS(BH$5,BH$5,休日)=0,"",IF(AND(BH$5&gt;=$K32,BH$5&lt;=$L32),IF(NETWORKDAYS($K32,BH$5,休日)=1,"○",IF(NETWORKDAYS(BH$5,$L32,休日)=1,"▶","→")),"")))</f>
        <v/>
      </c>
      <c r="BI32" s="116">
        <f>IF(OR($K32="",$L32=""),"",IF(NETWORKDAYS(BI$5,BI$5,休日)=0,"",IF(AND(BI$5&gt;=$K32,BI$5&lt;=$L32),IF(NETWORKDAYS($K32,BI$5,休日)=1,"○",IF(NETWORKDAYS(BI$5,$L32,休日)=1,"▶","→")),"")))</f>
        <v/>
      </c>
      <c r="BJ32" s="116">
        <f>IF(OR($K32="",$L32=""),"",IF(NETWORKDAYS(BJ$5,BJ$5,休日)=0,"",IF(AND(BJ$5&gt;=$K32,BJ$5&lt;=$L32),IF(NETWORKDAYS($K32,BJ$5,休日)=1,"○",IF(NETWORKDAYS(BJ$5,$L32,休日)=1,"▶","→")),"")))</f>
        <v/>
      </c>
      <c r="BK32" s="116">
        <f>IF(OR($K32="",$L32=""),"",IF(NETWORKDAYS(BK$5,BK$5,休日)=0,"",IF(AND(BK$5&gt;=$K32,BK$5&lt;=$L32),IF(NETWORKDAYS($K32,BK$5,休日)=1,"○",IF(NETWORKDAYS(BK$5,$L32,休日)=1,"▶","→")),"")))</f>
        <v/>
      </c>
      <c r="BL32" s="116">
        <f>IF(OR($K32="",$L32=""),"",IF(NETWORKDAYS(BL$5,BL$5,休日)=0,"",IF(AND(BL$5&gt;=$K32,BL$5&lt;=$L32),IF(NETWORKDAYS($K32,BL$5,休日)=1,"○",IF(NETWORKDAYS(BL$5,$L32,休日)=1,"▶","→")),"")))</f>
        <v/>
      </c>
      <c r="BM32" s="116">
        <f>IF(OR($K32="",$L32=""),"",IF(NETWORKDAYS(BM$5,BM$5,休日)=0,"",IF(AND(BM$5&gt;=$K32,BM$5&lt;=$L32),IF(NETWORKDAYS($K32,BM$5,休日)=1,"○",IF(NETWORKDAYS(BM$5,$L32,休日)=1,"▶","→")),"")))</f>
        <v/>
      </c>
      <c r="BN32" s="116">
        <f>IF(OR($K32="",$L32=""),"",IF(NETWORKDAYS(BN$5,BN$5,休日)=0,"",IF(AND(BN$5&gt;=$K32,BN$5&lt;=$L32),IF(NETWORKDAYS($K32,BN$5,休日)=1,"○",IF(NETWORKDAYS(BN$5,$L32,休日)=1,"▶","→")),"")))</f>
        <v/>
      </c>
      <c r="BO32" s="116">
        <f>IF(OR($K32="",$L32=""),"",IF(NETWORKDAYS(BO$5,BO$5,休日)=0,"",IF(AND(BO$5&gt;=$K32,BO$5&lt;=$L32),IF(NETWORKDAYS($K32,BO$5,休日)=1,"○",IF(NETWORKDAYS(BO$5,$L32,休日)=1,"▶","→")),"")))</f>
        <v/>
      </c>
      <c r="BP32" s="116">
        <f>IF(OR($K32="",$L32=""),"",IF(NETWORKDAYS(BP$5,BP$5,休日)=0,"",IF(AND(BP$5&gt;=$K32,BP$5&lt;=$L32),IF(NETWORKDAYS($K32,BP$5,休日)=1,"○",IF(NETWORKDAYS(BP$5,$L32,休日)=1,"▶","→")),"")))</f>
        <v/>
      </c>
      <c r="BQ32" s="116">
        <f>IF(OR($K32="",$L32=""),"",IF(NETWORKDAYS(BQ$5,BQ$5,休日)=0,"",IF(AND(BQ$5&gt;=$K32,BQ$5&lt;=$L32),IF(NETWORKDAYS($K32,BQ$5,休日)=1,"○",IF(NETWORKDAYS(BQ$5,$L32,休日)=1,"▶","→")),"")))</f>
        <v/>
      </c>
      <c r="BR32" s="116">
        <f>IF(OR($K32="",$L32=""),"",IF(NETWORKDAYS(BR$5,BR$5,休日)=0,"",IF(AND(BR$5&gt;=$K32,BR$5&lt;=$L32),IF(NETWORKDAYS($K32,BR$5,休日)=1,"○",IF(NETWORKDAYS(BR$5,$L32,休日)=1,"▶","→")),"")))</f>
        <v/>
      </c>
      <c r="BS32" s="116">
        <f>IF(OR($K32="",$L32=""),"",IF(NETWORKDAYS(BS$5,BS$5,休日)=0,"",IF(AND(BS$5&gt;=$K32,BS$5&lt;=$L32),IF(NETWORKDAYS($K32,BS$5,休日)=1,"○",IF(NETWORKDAYS(BS$5,$L32,休日)=1,"▶","→")),"")))</f>
        <v/>
      </c>
      <c r="BT32" s="116">
        <f>IF(OR($K32="",$L32=""),"",IF(NETWORKDAYS(BT$5,BT$5,休日)=0,"",IF(AND(BT$5&gt;=$K32,BT$5&lt;=$L32),IF(NETWORKDAYS($K32,BT$5,休日)=1,"○",IF(NETWORKDAYS(BT$5,$L32,休日)=1,"▶","→")),"")))</f>
        <v/>
      </c>
      <c r="BU32" s="116">
        <f>IF(OR($K32="",$L32=""),"",IF(NETWORKDAYS(BU$5,BU$5,休日)=0,"",IF(AND(BU$5&gt;=$K32,BU$5&lt;=$L32),IF(NETWORKDAYS($K32,BU$5,休日)=1,"○",IF(NETWORKDAYS(BU$5,$L32,休日)=1,"▶","→")),"")))</f>
        <v/>
      </c>
      <c r="BV32" s="116">
        <f>IF(OR($K32="",$L32=""),"",IF(NETWORKDAYS(BV$5,BV$5,休日)=0,"",IF(AND(BV$5&gt;=$K32,BV$5&lt;=$L32),IF(NETWORKDAYS($K32,BV$5,休日)=1,"○",IF(NETWORKDAYS(BV$5,$L32,休日)=1,"▶","→")),"")))</f>
        <v/>
      </c>
      <c r="BW32" s="116">
        <f>IF(OR($K32="",$L32=""),"",IF(NETWORKDAYS(BW$5,BW$5,休日)=0,"",IF(AND(BW$5&gt;=$K32,BW$5&lt;=$L32),IF(NETWORKDAYS($K32,BW$5,休日)=1,"○",IF(NETWORKDAYS(BW$5,$L32,休日)=1,"▶","→")),"")))</f>
        <v/>
      </c>
      <c r="BX32" s="116">
        <f>IF(OR($K32="",$L32=""),"",IF(NETWORKDAYS(BX$5,BX$5,休日)=0,"",IF(AND(BX$5&gt;=$K32,BX$5&lt;=$L32),IF(NETWORKDAYS($K32,BX$5,休日)=1,"○",IF(NETWORKDAYS(BX$5,$L32,休日)=1,"▶","→")),"")))</f>
        <v/>
      </c>
      <c r="BY32" s="116">
        <f>IF(OR($K32="",$L32=""),"",IF(NETWORKDAYS(BY$5,BY$5,休日)=0,"",IF(AND(BY$5&gt;=$K32,BY$5&lt;=$L32),IF(NETWORKDAYS($K32,BY$5,休日)=1,"○",IF(NETWORKDAYS(BY$5,$L32,休日)=1,"▶","→")),"")))</f>
        <v/>
      </c>
      <c r="BZ32" s="116">
        <f>IF(OR($K32="",$L32=""),"",IF(NETWORKDAYS(BZ$5,BZ$5,休日)=0,"",IF(AND(BZ$5&gt;=$K32,BZ$5&lt;=$L32),IF(NETWORKDAYS($K32,BZ$5,休日)=1,"○",IF(NETWORKDAYS(BZ$5,$L32,休日)=1,"▶","→")),"")))</f>
        <v/>
      </c>
      <c r="CA32" s="116">
        <f>IF(OR($K32="",$L32=""),"",IF(NETWORKDAYS(CA$5,CA$5,休日)=0,"",IF(AND(CA$5&gt;=$K32,CA$5&lt;=$L32),IF(NETWORKDAYS($K32,CA$5,休日)=1,"○",IF(NETWORKDAYS(CA$5,$L32,休日)=1,"▶","→")),"")))</f>
        <v/>
      </c>
      <c r="CB32" s="116">
        <f>IF(OR($K32="",$L32=""),"",IF(NETWORKDAYS(CB$5,CB$5,休日)=0,"",IF(AND(CB$5&gt;=$K32,CB$5&lt;=$L32),IF(NETWORKDAYS($K32,CB$5,休日)=1,"○",IF(NETWORKDAYS(CB$5,$L32,休日)=1,"▶","→")),"")))</f>
        <v/>
      </c>
      <c r="CC32" s="116">
        <f>IF(OR($K32="",$L32=""),"",IF(NETWORKDAYS(CC$5,CC$5,休日)=0,"",IF(AND(CC$5&gt;=$K32,CC$5&lt;=$L32),IF(NETWORKDAYS($K32,CC$5,休日)=1,"○",IF(NETWORKDAYS(CC$5,$L32,休日)=1,"▶","→")),"")))</f>
        <v/>
      </c>
      <c r="CD32" s="116">
        <f>IF(OR($K32="",$L32=""),"",IF(NETWORKDAYS(CD$5,CD$5,休日)=0,"",IF(AND(CD$5&gt;=$K32,CD$5&lt;=$L32),IF(NETWORKDAYS($K32,CD$5,休日)=1,"○",IF(NETWORKDAYS(CD$5,$L32,休日)=1,"▶","→")),"")))</f>
        <v/>
      </c>
      <c r="CE32" s="116">
        <f>IF(OR($K32="",$L32=""),"",IF(NETWORKDAYS(CE$5,CE$5,休日)=0,"",IF(AND(CE$5&gt;=$K32,CE$5&lt;=$L32),IF(NETWORKDAYS($K32,CE$5,休日)=1,"○",IF(NETWORKDAYS(CE$5,$L32,休日)=1,"▶","→")),"")))</f>
        <v/>
      </c>
      <c r="CF32" s="116">
        <f>IF(OR($K32="",$L32=""),"",IF(NETWORKDAYS(CF$5,CF$5,休日)=0,"",IF(AND(CF$5&gt;=$K32,CF$5&lt;=$L32),IF(NETWORKDAYS($K32,CF$5,休日)=1,"○",IF(NETWORKDAYS(CF$5,$L32,休日)=1,"▶","→")),"")))</f>
        <v/>
      </c>
      <c r="CG32" s="116">
        <f>IF(OR($K32="",$L32=""),"",IF(NETWORKDAYS(CG$5,CG$5,休日)=0,"",IF(AND(CG$5&gt;=$K32,CG$5&lt;=$L32),IF(NETWORKDAYS($K32,CG$5,休日)=1,"○",IF(NETWORKDAYS(CG$5,$L32,休日)=1,"▶","→")),"")))</f>
        <v/>
      </c>
      <c r="CH32" s="116">
        <f>IF(OR($K32="",$L32=""),"",IF(NETWORKDAYS(CH$5,CH$5,休日)=0,"",IF(AND(CH$5&gt;=$K32,CH$5&lt;=$L32),IF(NETWORKDAYS($K32,CH$5,休日)=1,"○",IF(NETWORKDAYS(CH$5,$L32,休日)=1,"▶","→")),"")))</f>
        <v/>
      </c>
      <c r="CI32" s="116">
        <f>IF(OR($K32="",$L32=""),"",IF(NETWORKDAYS(CI$5,CI$5,休日)=0,"",IF(AND(CI$5&gt;=$K32,CI$5&lt;=$L32),IF(NETWORKDAYS($K32,CI$5,休日)=1,"○",IF(NETWORKDAYS(CI$5,$L32,休日)=1,"▶","→")),"")))</f>
        <v/>
      </c>
      <c r="CJ32" s="116">
        <f>IF(OR($K32="",$L32=""),"",IF(NETWORKDAYS(CJ$5,CJ$5,休日)=0,"",IF(AND(CJ$5&gt;=$K32,CJ$5&lt;=$L32),IF(NETWORKDAYS($K32,CJ$5,休日)=1,"○",IF(NETWORKDAYS(CJ$5,$L32,休日)=1,"▶","→")),"")))</f>
        <v/>
      </c>
      <c r="CK32" s="116">
        <f>IF(OR($K32="",$L32=""),"",IF(NETWORKDAYS(CK$5,CK$5,休日)=0,"",IF(AND(CK$5&gt;=$K32,CK$5&lt;=$L32),IF(NETWORKDAYS($K32,CK$5,休日)=1,"○",IF(NETWORKDAYS(CK$5,$L32,休日)=1,"▶","→")),"")))</f>
        <v/>
      </c>
      <c r="CL32" s="116">
        <f>IF(OR($K32="",$L32=""),"",IF(NETWORKDAYS(CL$5,CL$5,休日)=0,"",IF(AND(CL$5&gt;=$K32,CL$5&lt;=$L32),IF(NETWORKDAYS($K32,CL$5,休日)=1,"○",IF(NETWORKDAYS(CL$5,$L32,休日)=1,"▶","→")),"")))</f>
        <v/>
      </c>
      <c r="CM32" s="116">
        <f>IF(OR($K32="",$L32=""),"",IF(NETWORKDAYS(CM$5,CM$5,休日)=0,"",IF(AND(CM$5&gt;=$K32,CM$5&lt;=$L32),IF(NETWORKDAYS($K32,CM$5,休日)=1,"○",IF(NETWORKDAYS(CM$5,$L32,休日)=1,"▶","→")),"")))</f>
        <v/>
      </c>
      <c r="CN32" s="116">
        <f>IF(OR($K32="",$L32=""),"",IF(NETWORKDAYS(CN$5,CN$5,休日)=0,"",IF(AND(CN$5&gt;=$K32,CN$5&lt;=$L32),IF(NETWORKDAYS($K32,CN$5,休日)=1,"○",IF(NETWORKDAYS(CN$5,$L32,休日)=1,"▶","→")),"")))</f>
        <v/>
      </c>
      <c r="CO32" s="116">
        <f>IF(OR($K32="",$L32=""),"",IF(NETWORKDAYS(CO$5,CO$5,休日)=0,"",IF(AND(CO$5&gt;=$K32,CO$5&lt;=$L32),IF(NETWORKDAYS($K32,CO$5,休日)=1,"○",IF(NETWORKDAYS(CO$5,$L32,休日)=1,"▶","→")),"")))</f>
        <v/>
      </c>
    </row>
    <row r="33" ht="19.5" customHeight="1" s="98">
      <c r="A33" s="5" t="n"/>
      <c r="B33" s="109" t="inlineStr">
        <is>
          <t>3</t>
        </is>
      </c>
      <c r="C33" s="110" t="inlineStr">
        <is>
          <t>開発</t>
        </is>
      </c>
      <c r="D33" s="117" t="n"/>
      <c r="E33" s="127" t="n"/>
      <c r="F33" s="124" t="n"/>
      <c r="G33" s="117" t="n"/>
      <c r="H33" s="120" t="n"/>
      <c r="I33" s="121" t="n"/>
      <c r="J33" s="117" t="n"/>
      <c r="K33" s="122" t="n"/>
      <c r="L33" s="122" t="n"/>
      <c r="M33" s="122" t="n"/>
      <c r="N33" s="122" t="n"/>
      <c r="O33" s="120" t="n"/>
      <c r="P33" s="123" t="n"/>
      <c r="Q33" s="117" t="n"/>
      <c r="R33" s="124" t="n"/>
      <c r="S33" s="61" t="n"/>
      <c r="T33" s="61" t="n"/>
      <c r="U33" s="61" t="n"/>
      <c r="V33" s="61" t="n"/>
      <c r="W33" s="61" t="n"/>
      <c r="X33" s="61" t="n"/>
      <c r="Y33" s="61" t="n"/>
      <c r="Z33" s="61" t="n"/>
      <c r="AA33" s="61" t="n"/>
      <c r="AB33" s="61" t="n"/>
      <c r="AC33" s="61" t="n"/>
      <c r="AD33" s="61" t="n"/>
      <c r="AE33" s="61" t="n"/>
      <c r="AF33" s="61" t="n"/>
      <c r="AG33" s="61" t="n"/>
      <c r="AH33" s="61" t="n"/>
      <c r="AI33" s="61" t="n"/>
      <c r="AJ33" s="61" t="n"/>
      <c r="AK33" s="61" t="n"/>
      <c r="AL33" s="61" t="n"/>
      <c r="AM33" s="61" t="n"/>
      <c r="AN33" s="61" t="n"/>
      <c r="AO33" s="61" t="n"/>
      <c r="AP33" s="61" t="n"/>
      <c r="AQ33" s="61" t="n"/>
      <c r="AR33" s="61" t="n"/>
      <c r="AS33" s="61" t="n"/>
      <c r="AT33" s="61" t="n"/>
      <c r="AU33" s="61" t="n"/>
      <c r="AV33" s="61" t="n"/>
      <c r="AW33" s="61" t="n"/>
      <c r="AX33" s="61" t="n"/>
      <c r="AY33" s="61" t="n"/>
      <c r="AZ33" s="61" t="n"/>
      <c r="BA33" s="61" t="n"/>
      <c r="BB33" s="61" t="n"/>
      <c r="BC33" s="61" t="n"/>
      <c r="BD33" s="61" t="n"/>
      <c r="BE33" s="61" t="n"/>
      <c r="BF33" s="61" t="n"/>
      <c r="BG33" s="61" t="n"/>
      <c r="BH33" s="61" t="n"/>
      <c r="BI33" s="61" t="n"/>
      <c r="BJ33" s="61" t="n"/>
      <c r="BK33" s="61" t="n"/>
      <c r="BL33" s="61" t="n"/>
      <c r="BM33" s="61" t="n"/>
      <c r="BN33" s="61" t="n"/>
      <c r="BO33" s="61" t="n"/>
      <c r="BP33" s="61" t="n"/>
      <c r="BQ33" s="61" t="n"/>
      <c r="BR33" s="61" t="n"/>
      <c r="BS33" s="61" t="n"/>
      <c r="BT33" s="61" t="n"/>
      <c r="BU33" s="61" t="n"/>
      <c r="BV33" s="61" t="n"/>
      <c r="BW33" s="61" t="n"/>
      <c r="BX33" s="61" t="n"/>
      <c r="BY33" s="61" t="n"/>
      <c r="BZ33" s="61" t="n"/>
      <c r="CA33" s="61" t="n"/>
      <c r="CB33" s="61" t="n"/>
      <c r="CC33" s="61" t="n"/>
      <c r="CD33" s="61" t="n"/>
      <c r="CE33" s="61" t="n"/>
      <c r="CF33" s="61" t="n"/>
      <c r="CG33" s="61" t="n"/>
      <c r="CH33" s="61" t="n"/>
    </row>
    <row r="34" ht="32" customHeight="1" s="98">
      <c r="A34" s="5" t="n"/>
      <c r="B34" s="100" t="inlineStr">
        <is>
          <t>3.1.1</t>
        </is>
      </c>
      <c r="C34" s="101" t="inlineStr">
        <is>
          <t>開発</t>
        </is>
      </c>
      <c r="D34" s="101" t="inlineStr">
        <is>
          <t>Layer①</t>
        </is>
      </c>
      <c r="E34" s="101" t="inlineStr">
        <is>
          <t>生鮮発注勧告（当日分）</t>
        </is>
      </c>
      <c r="F34" s="101" t="inlineStr">
        <is>
          <t>生鮮発注勧告（当日分）</t>
        </is>
      </c>
      <c r="G34" s="100" t="inlineStr">
        <is>
          <t>新規</t>
        </is>
      </c>
      <c r="H34" s="100" t="inlineStr">
        <is>
          <t>未定</t>
        </is>
      </c>
      <c r="I34" s="113" t="n">
        <v>6</v>
      </c>
      <c r="J34" s="100" t="inlineStr">
        <is>
          <t>－</t>
        </is>
      </c>
      <c r="K34" s="114" t="n">
        <v>46336</v>
      </c>
      <c r="L34" s="114" t="n">
        <v>46374</v>
      </c>
      <c r="M34" s="114" t="n"/>
      <c r="N34" s="114" t="n"/>
      <c r="O34" s="100" t="inlineStr">
        <is>
          <t>未着手</t>
        </is>
      </c>
      <c r="P34" s="115" t="n">
        <v>0</v>
      </c>
      <c r="Q34" s="100" t="inlineStr">
        <is>
          <t>G③</t>
        </is>
      </c>
      <c r="R34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34" s="116">
        <f>IF(OR($K34="",$L34=""),"",IF(NETWORKDAYS(S$5,S$5,休日)=0,"",IF(AND(S$5&gt;=$K34,S$5&lt;=$L34),IF(NETWORKDAYS($K34,S$5,休日)=1,"○",IF(NETWORKDAYS(S$5,$L34,休日)=1,"▶","→")),"")))</f>
        <v/>
      </c>
      <c r="T34" s="116">
        <f>IF(OR($K34="",$L34=""),"",IF(NETWORKDAYS(T$5,T$5,休日)=0,"",IF(AND(T$5&gt;=$K34,T$5&lt;=$L34),IF(NETWORKDAYS($K34,T$5,休日)=1,"○",IF(NETWORKDAYS(T$5,$L34,休日)=1,"▶","→")),"")))</f>
        <v/>
      </c>
      <c r="U34" s="116">
        <f>IF(OR($K34="",$L34=""),"",IF(NETWORKDAYS(U$5,U$5,休日)=0,"",IF(AND(U$5&gt;=$K34,U$5&lt;=$L34),IF(NETWORKDAYS($K34,U$5,休日)=1,"○",IF(NETWORKDAYS(U$5,$L34,休日)=1,"▶","→")),"")))</f>
        <v/>
      </c>
      <c r="V34" s="116">
        <f>IF(OR($K34="",$L34=""),"",IF(NETWORKDAYS(V$5,V$5,休日)=0,"",IF(AND(V$5&gt;=$K34,V$5&lt;=$L34),IF(NETWORKDAYS($K34,V$5,休日)=1,"○",IF(NETWORKDAYS(V$5,$L34,休日)=1,"▶","→")),"")))</f>
        <v/>
      </c>
      <c r="W34" s="116">
        <f>IF(OR($K34="",$L34=""),"",IF(NETWORKDAYS(W$5,W$5,休日)=0,"",IF(AND(W$5&gt;=$K34,W$5&lt;=$L34),IF(NETWORKDAYS($K34,W$5,休日)=1,"○",IF(NETWORKDAYS(W$5,$L34,休日)=1,"▶","→")),"")))</f>
        <v/>
      </c>
      <c r="X34" s="116">
        <f>IF(OR($K34="",$L34=""),"",IF(NETWORKDAYS(X$5,X$5,休日)=0,"",IF(AND(X$5&gt;=$K34,X$5&lt;=$L34),IF(NETWORKDAYS($K34,X$5,休日)=1,"○",IF(NETWORKDAYS(X$5,$L34,休日)=1,"▶","→")),"")))</f>
        <v/>
      </c>
      <c r="Y34" s="116">
        <f>IF(OR($K34="",$L34=""),"",IF(NETWORKDAYS(Y$5,Y$5,休日)=0,"",IF(AND(Y$5&gt;=$K34,Y$5&lt;=$L34),IF(NETWORKDAYS($K34,Y$5,休日)=1,"○",IF(NETWORKDAYS(Y$5,$L34,休日)=1,"▶","→")),"")))</f>
        <v/>
      </c>
      <c r="Z34" s="116">
        <f>IF(OR($K34="",$L34=""),"",IF(NETWORKDAYS(Z$5,Z$5,休日)=0,"",IF(AND(Z$5&gt;=$K34,Z$5&lt;=$L34),IF(NETWORKDAYS($K34,Z$5,休日)=1,"○",IF(NETWORKDAYS(Z$5,$L34,休日)=1,"▶","→")),"")))</f>
        <v/>
      </c>
      <c r="AA34" s="116">
        <f>IF(OR($K34="",$L34=""),"",IF(NETWORKDAYS(AA$5,AA$5,休日)=0,"",IF(AND(AA$5&gt;=$K34,AA$5&lt;=$L34),IF(NETWORKDAYS($K34,AA$5,休日)=1,"○",IF(NETWORKDAYS(AA$5,$L34,休日)=1,"▶","→")),"")))</f>
        <v/>
      </c>
      <c r="AB34" s="116">
        <f>IF(OR($K34="",$L34=""),"",IF(NETWORKDAYS(AB$5,AB$5,休日)=0,"",IF(AND(AB$5&gt;=$K34,AB$5&lt;=$L34),IF(NETWORKDAYS($K34,AB$5,休日)=1,"○",IF(NETWORKDAYS(AB$5,$L34,休日)=1,"▶","→")),"")))</f>
        <v/>
      </c>
      <c r="AC34" s="116">
        <f>IF(OR($K34="",$L34=""),"",IF(NETWORKDAYS(AC$5,AC$5,休日)=0,"",IF(AND(AC$5&gt;=$K34,AC$5&lt;=$L34),IF(NETWORKDAYS($K34,AC$5,休日)=1,"○",IF(NETWORKDAYS(AC$5,$L34,休日)=1,"▶","→")),"")))</f>
        <v/>
      </c>
      <c r="AD34" s="116">
        <f>IF(OR($K34="",$L34=""),"",IF(NETWORKDAYS(AD$5,AD$5,休日)=0,"",IF(AND(AD$5&gt;=$K34,AD$5&lt;=$L34),IF(NETWORKDAYS($K34,AD$5,休日)=1,"○",IF(NETWORKDAYS(AD$5,$L34,休日)=1,"▶","→")),"")))</f>
        <v/>
      </c>
      <c r="AE34" s="116">
        <f>IF(OR($K34="",$L34=""),"",IF(NETWORKDAYS(AE$5,AE$5,休日)=0,"",IF(AND(AE$5&gt;=$K34,AE$5&lt;=$L34),IF(NETWORKDAYS($K34,AE$5,休日)=1,"○",IF(NETWORKDAYS(AE$5,$L34,休日)=1,"▶","→")),"")))</f>
        <v/>
      </c>
      <c r="AF34" s="116">
        <f>IF(OR($K34="",$L34=""),"",IF(NETWORKDAYS(AF$5,AF$5,休日)=0,"",IF(AND(AF$5&gt;=$K34,AF$5&lt;=$L34),IF(NETWORKDAYS($K34,AF$5,休日)=1,"○",IF(NETWORKDAYS(AF$5,$L34,休日)=1,"▶","→")),"")))</f>
        <v/>
      </c>
      <c r="AG34" s="116">
        <f>IF(OR($K34="",$L34=""),"",IF(NETWORKDAYS(AG$5,AG$5,休日)=0,"",IF(AND(AG$5&gt;=$K34,AG$5&lt;=$L34),IF(NETWORKDAYS($K34,AG$5,休日)=1,"○",IF(NETWORKDAYS(AG$5,$L34,休日)=1,"▶","→")),"")))</f>
        <v/>
      </c>
      <c r="AH34" s="116">
        <f>IF(OR($K34="",$L34=""),"",IF(NETWORKDAYS(AH$5,AH$5,休日)=0,"",IF(AND(AH$5&gt;=$K34,AH$5&lt;=$L34),IF(NETWORKDAYS($K34,AH$5,休日)=1,"○",IF(NETWORKDAYS(AH$5,$L34,休日)=1,"▶","→")),"")))</f>
        <v/>
      </c>
      <c r="AI34" s="116">
        <f>IF(OR($K34="",$L34=""),"",IF(NETWORKDAYS(AI$5,AI$5,休日)=0,"",IF(AND(AI$5&gt;=$K34,AI$5&lt;=$L34),IF(NETWORKDAYS($K34,AI$5,休日)=1,"○",IF(NETWORKDAYS(AI$5,$L34,休日)=1,"▶","→")),"")))</f>
        <v/>
      </c>
      <c r="AJ34" s="116">
        <f>IF(OR($K34="",$L34=""),"",IF(NETWORKDAYS(AJ$5,AJ$5,休日)=0,"",IF(AND(AJ$5&gt;=$K34,AJ$5&lt;=$L34),IF(NETWORKDAYS($K34,AJ$5,休日)=1,"○",IF(NETWORKDAYS(AJ$5,$L34,休日)=1,"▶","→")),"")))</f>
        <v/>
      </c>
      <c r="AK34" s="116">
        <f>IF(OR($K34="",$L34=""),"",IF(NETWORKDAYS(AK$5,AK$5,休日)=0,"",IF(AND(AK$5&gt;=$K34,AK$5&lt;=$L34),IF(NETWORKDAYS($K34,AK$5,休日)=1,"○",IF(NETWORKDAYS(AK$5,$L34,休日)=1,"▶","→")),"")))</f>
        <v/>
      </c>
      <c r="AL34" s="116">
        <f>IF(OR($K34="",$L34=""),"",IF(NETWORKDAYS(AL$5,AL$5,休日)=0,"",IF(AND(AL$5&gt;=$K34,AL$5&lt;=$L34),IF(NETWORKDAYS($K34,AL$5,休日)=1,"○",IF(NETWORKDAYS(AL$5,$L34,休日)=1,"▶","→")),"")))</f>
        <v/>
      </c>
      <c r="AM34" s="116">
        <f>IF(OR($K34="",$L34=""),"",IF(NETWORKDAYS(AM$5,AM$5,休日)=0,"",IF(AND(AM$5&gt;=$K34,AM$5&lt;=$L34),IF(NETWORKDAYS($K34,AM$5,休日)=1,"○",IF(NETWORKDAYS(AM$5,$L34,休日)=1,"▶","→")),"")))</f>
        <v/>
      </c>
      <c r="AN34" s="116">
        <f>IF(OR($K34="",$L34=""),"",IF(NETWORKDAYS(AN$5,AN$5,休日)=0,"",IF(AND(AN$5&gt;=$K34,AN$5&lt;=$L34),IF(NETWORKDAYS($K34,AN$5,休日)=1,"○",IF(NETWORKDAYS(AN$5,$L34,休日)=1,"▶","→")),"")))</f>
        <v/>
      </c>
      <c r="AO34" s="116">
        <f>IF(OR($K34="",$L34=""),"",IF(NETWORKDAYS(AO$5,AO$5,休日)=0,"",IF(AND(AO$5&gt;=$K34,AO$5&lt;=$L34),IF(NETWORKDAYS($K34,AO$5,休日)=1,"○",IF(NETWORKDAYS(AO$5,$L34,休日)=1,"▶","→")),"")))</f>
        <v/>
      </c>
      <c r="AP34" s="116">
        <f>IF(OR($K34="",$L34=""),"",IF(NETWORKDAYS(AP$5,AP$5,休日)=0,"",IF(AND(AP$5&gt;=$K34,AP$5&lt;=$L34),IF(NETWORKDAYS($K34,AP$5,休日)=1,"○",IF(NETWORKDAYS(AP$5,$L34,休日)=1,"▶","→")),"")))</f>
        <v/>
      </c>
      <c r="AQ34" s="116">
        <f>IF(OR($K34="",$L34=""),"",IF(NETWORKDAYS(AQ$5,AQ$5,休日)=0,"",IF(AND(AQ$5&gt;=$K34,AQ$5&lt;=$L34),IF(NETWORKDAYS($K34,AQ$5,休日)=1,"○",IF(NETWORKDAYS(AQ$5,$L34,休日)=1,"▶","→")),"")))</f>
        <v/>
      </c>
      <c r="AR34" s="116">
        <f>IF(OR($K34="",$L34=""),"",IF(NETWORKDAYS(AR$5,AR$5,休日)=0,"",IF(AND(AR$5&gt;=$K34,AR$5&lt;=$L34),IF(NETWORKDAYS($K34,AR$5,休日)=1,"○",IF(NETWORKDAYS(AR$5,$L34,休日)=1,"▶","→")),"")))</f>
        <v/>
      </c>
      <c r="AS34" s="116">
        <f>IF(OR($K34="",$L34=""),"",IF(NETWORKDAYS(AS$5,AS$5,休日)=0,"",IF(AND(AS$5&gt;=$K34,AS$5&lt;=$L34),IF(NETWORKDAYS($K34,AS$5,休日)=1,"○",IF(NETWORKDAYS(AS$5,$L34,休日)=1,"▶","→")),"")))</f>
        <v/>
      </c>
      <c r="AT34" s="116">
        <f>IF(OR($K34="",$L34=""),"",IF(NETWORKDAYS(AT$5,AT$5,休日)=0,"",IF(AND(AT$5&gt;=$K34,AT$5&lt;=$L34),IF(NETWORKDAYS($K34,AT$5,休日)=1,"○",IF(NETWORKDAYS(AT$5,$L34,休日)=1,"▶","→")),"")))</f>
        <v/>
      </c>
      <c r="AU34" s="116">
        <f>IF(OR($K34="",$L34=""),"",IF(NETWORKDAYS(AU$5,AU$5,休日)=0,"",IF(AND(AU$5&gt;=$K34,AU$5&lt;=$L34),IF(NETWORKDAYS($K34,AU$5,休日)=1,"○",IF(NETWORKDAYS(AU$5,$L34,休日)=1,"▶","→")),"")))</f>
        <v/>
      </c>
      <c r="AV34" s="116">
        <f>IF(OR($K34="",$L34=""),"",IF(NETWORKDAYS(AV$5,AV$5,休日)=0,"",IF(AND(AV$5&gt;=$K34,AV$5&lt;=$L34),IF(NETWORKDAYS($K34,AV$5,休日)=1,"○",IF(NETWORKDAYS(AV$5,$L34,休日)=1,"▶","→")),"")))</f>
        <v/>
      </c>
      <c r="AW34" s="116">
        <f>IF(OR($K34="",$L34=""),"",IF(NETWORKDAYS(AW$5,AW$5,休日)=0,"",IF(AND(AW$5&gt;=$K34,AW$5&lt;=$L34),IF(NETWORKDAYS($K34,AW$5,休日)=1,"○",IF(NETWORKDAYS(AW$5,$L34,休日)=1,"▶","→")),"")))</f>
        <v/>
      </c>
      <c r="AX34" s="116">
        <f>IF(OR($K34="",$L34=""),"",IF(NETWORKDAYS(AX$5,AX$5,休日)=0,"",IF(AND(AX$5&gt;=$K34,AX$5&lt;=$L34),IF(NETWORKDAYS($K34,AX$5,休日)=1,"○",IF(NETWORKDAYS(AX$5,$L34,休日)=1,"▶","→")),"")))</f>
        <v/>
      </c>
      <c r="AY34" s="116">
        <f>IF(OR($K34="",$L34=""),"",IF(NETWORKDAYS(AY$5,AY$5,休日)=0,"",IF(AND(AY$5&gt;=$K34,AY$5&lt;=$L34),IF(NETWORKDAYS($K34,AY$5,休日)=1,"○",IF(NETWORKDAYS(AY$5,$L34,休日)=1,"▶","→")),"")))</f>
        <v/>
      </c>
      <c r="AZ34" s="116">
        <f>IF(OR($K34="",$L34=""),"",IF(NETWORKDAYS(AZ$5,AZ$5,休日)=0,"",IF(AND(AZ$5&gt;=$K34,AZ$5&lt;=$L34),IF(NETWORKDAYS($K34,AZ$5,休日)=1,"○",IF(NETWORKDAYS(AZ$5,$L34,休日)=1,"▶","→")),"")))</f>
        <v/>
      </c>
      <c r="BA34" s="116">
        <f>IF(OR($K34="",$L34=""),"",IF(NETWORKDAYS(BA$5,BA$5,休日)=0,"",IF(AND(BA$5&gt;=$K34,BA$5&lt;=$L34),IF(NETWORKDAYS($K34,BA$5,休日)=1,"○",IF(NETWORKDAYS(BA$5,$L34,休日)=1,"▶","→")),"")))</f>
        <v/>
      </c>
      <c r="BB34" s="116">
        <f>IF(OR($K34="",$L34=""),"",IF(NETWORKDAYS(BB$5,BB$5,休日)=0,"",IF(AND(BB$5&gt;=$K34,BB$5&lt;=$L34),IF(NETWORKDAYS($K34,BB$5,休日)=1,"○",IF(NETWORKDAYS(BB$5,$L34,休日)=1,"▶","→")),"")))</f>
        <v/>
      </c>
      <c r="BC34" s="116">
        <f>IF(OR($K34="",$L34=""),"",IF(NETWORKDAYS(BC$5,BC$5,休日)=0,"",IF(AND(BC$5&gt;=$K34,BC$5&lt;=$L34),IF(NETWORKDAYS($K34,BC$5,休日)=1,"○",IF(NETWORKDAYS(BC$5,$L34,休日)=1,"▶","→")),"")))</f>
        <v/>
      </c>
      <c r="BD34" s="116">
        <f>IF(OR($K34="",$L34=""),"",IF(NETWORKDAYS(BD$5,BD$5,休日)=0,"",IF(AND(BD$5&gt;=$K34,BD$5&lt;=$L34),IF(NETWORKDAYS($K34,BD$5,休日)=1,"○",IF(NETWORKDAYS(BD$5,$L34,休日)=1,"▶","→")),"")))</f>
        <v/>
      </c>
      <c r="BE34" s="116">
        <f>IF(OR($K34="",$L34=""),"",IF(NETWORKDAYS(BE$5,BE$5,休日)=0,"",IF(AND(BE$5&gt;=$K34,BE$5&lt;=$L34),IF(NETWORKDAYS($K34,BE$5,休日)=1,"○",IF(NETWORKDAYS(BE$5,$L34,休日)=1,"▶","→")),"")))</f>
        <v/>
      </c>
      <c r="BF34" s="116">
        <f>IF(OR($K34="",$L34=""),"",IF(NETWORKDAYS(BF$5,BF$5,休日)=0,"",IF(AND(BF$5&gt;=$K34,BF$5&lt;=$L34),IF(NETWORKDAYS($K34,BF$5,休日)=1,"○",IF(NETWORKDAYS(BF$5,$L34,休日)=1,"▶","→")),"")))</f>
        <v/>
      </c>
      <c r="BG34" s="116">
        <f>IF(OR($K34="",$L34=""),"",IF(NETWORKDAYS(BG$5,BG$5,休日)=0,"",IF(AND(BG$5&gt;=$K34,BG$5&lt;=$L34),IF(NETWORKDAYS($K34,BG$5,休日)=1,"○",IF(NETWORKDAYS(BG$5,$L34,休日)=1,"▶","→")),"")))</f>
        <v/>
      </c>
      <c r="BH34" s="116">
        <f>IF(OR($K34="",$L34=""),"",IF(NETWORKDAYS(BH$5,BH$5,休日)=0,"",IF(AND(BH$5&gt;=$K34,BH$5&lt;=$L34),IF(NETWORKDAYS($K34,BH$5,休日)=1,"○",IF(NETWORKDAYS(BH$5,$L34,休日)=1,"▶","→")),"")))</f>
        <v/>
      </c>
      <c r="BI34" s="116">
        <f>IF(OR($K34="",$L34=""),"",IF(NETWORKDAYS(BI$5,BI$5,休日)=0,"",IF(AND(BI$5&gt;=$K34,BI$5&lt;=$L34),IF(NETWORKDAYS($K34,BI$5,休日)=1,"○",IF(NETWORKDAYS(BI$5,$L34,休日)=1,"▶","→")),"")))</f>
        <v/>
      </c>
      <c r="BJ34" s="116">
        <f>IF(OR($K34="",$L34=""),"",IF(NETWORKDAYS(BJ$5,BJ$5,休日)=0,"",IF(AND(BJ$5&gt;=$K34,BJ$5&lt;=$L34),IF(NETWORKDAYS($K34,BJ$5,休日)=1,"○",IF(NETWORKDAYS(BJ$5,$L34,休日)=1,"▶","→")),"")))</f>
        <v/>
      </c>
      <c r="BK34" s="116">
        <f>IF(OR($K34="",$L34=""),"",IF(NETWORKDAYS(BK$5,BK$5,休日)=0,"",IF(AND(BK$5&gt;=$K34,BK$5&lt;=$L34),IF(NETWORKDAYS($K34,BK$5,休日)=1,"○",IF(NETWORKDAYS(BK$5,$L34,休日)=1,"▶","→")),"")))</f>
        <v/>
      </c>
      <c r="BL34" s="116">
        <f>IF(OR($K34="",$L34=""),"",IF(NETWORKDAYS(BL$5,BL$5,休日)=0,"",IF(AND(BL$5&gt;=$K34,BL$5&lt;=$L34),IF(NETWORKDAYS($K34,BL$5,休日)=1,"○",IF(NETWORKDAYS(BL$5,$L34,休日)=1,"▶","→")),"")))</f>
        <v/>
      </c>
      <c r="BM34" s="116">
        <f>IF(OR($K34="",$L34=""),"",IF(NETWORKDAYS(BM$5,BM$5,休日)=0,"",IF(AND(BM$5&gt;=$K34,BM$5&lt;=$L34),IF(NETWORKDAYS($K34,BM$5,休日)=1,"○",IF(NETWORKDAYS(BM$5,$L34,休日)=1,"▶","→")),"")))</f>
        <v/>
      </c>
      <c r="BN34" s="116">
        <f>IF(OR($K34="",$L34=""),"",IF(NETWORKDAYS(BN$5,BN$5,休日)=0,"",IF(AND(BN$5&gt;=$K34,BN$5&lt;=$L34),IF(NETWORKDAYS($K34,BN$5,休日)=1,"○",IF(NETWORKDAYS(BN$5,$L34,休日)=1,"▶","→")),"")))</f>
        <v/>
      </c>
      <c r="BO34" s="116">
        <f>IF(OR($K34="",$L34=""),"",IF(NETWORKDAYS(BO$5,BO$5,休日)=0,"",IF(AND(BO$5&gt;=$K34,BO$5&lt;=$L34),IF(NETWORKDAYS($K34,BO$5,休日)=1,"○",IF(NETWORKDAYS(BO$5,$L34,休日)=1,"▶","→")),"")))</f>
        <v/>
      </c>
      <c r="BP34" s="116">
        <f>IF(OR($K34="",$L34=""),"",IF(NETWORKDAYS(BP$5,BP$5,休日)=0,"",IF(AND(BP$5&gt;=$K34,BP$5&lt;=$L34),IF(NETWORKDAYS($K34,BP$5,休日)=1,"○",IF(NETWORKDAYS(BP$5,$L34,休日)=1,"▶","→")),"")))</f>
        <v/>
      </c>
      <c r="BQ34" s="116">
        <f>IF(OR($K34="",$L34=""),"",IF(NETWORKDAYS(BQ$5,BQ$5,休日)=0,"",IF(AND(BQ$5&gt;=$K34,BQ$5&lt;=$L34),IF(NETWORKDAYS($K34,BQ$5,休日)=1,"○",IF(NETWORKDAYS(BQ$5,$L34,休日)=1,"▶","→")),"")))</f>
        <v/>
      </c>
      <c r="BR34" s="116">
        <f>IF(OR($K34="",$L34=""),"",IF(NETWORKDAYS(BR$5,BR$5,休日)=0,"",IF(AND(BR$5&gt;=$K34,BR$5&lt;=$L34),IF(NETWORKDAYS($K34,BR$5,休日)=1,"○",IF(NETWORKDAYS(BR$5,$L34,休日)=1,"▶","→")),"")))</f>
        <v/>
      </c>
      <c r="BS34" s="116">
        <f>IF(OR($K34="",$L34=""),"",IF(NETWORKDAYS(BS$5,BS$5,休日)=0,"",IF(AND(BS$5&gt;=$K34,BS$5&lt;=$L34),IF(NETWORKDAYS($K34,BS$5,休日)=1,"○",IF(NETWORKDAYS(BS$5,$L34,休日)=1,"▶","→")),"")))</f>
        <v/>
      </c>
      <c r="BT34" s="116">
        <f>IF(OR($K34="",$L34=""),"",IF(NETWORKDAYS(BT$5,BT$5,休日)=0,"",IF(AND(BT$5&gt;=$K34,BT$5&lt;=$L34),IF(NETWORKDAYS($K34,BT$5,休日)=1,"○",IF(NETWORKDAYS(BT$5,$L34,休日)=1,"▶","→")),"")))</f>
        <v/>
      </c>
      <c r="BU34" s="116">
        <f>IF(OR($K34="",$L34=""),"",IF(NETWORKDAYS(BU$5,BU$5,休日)=0,"",IF(AND(BU$5&gt;=$K34,BU$5&lt;=$L34),IF(NETWORKDAYS($K34,BU$5,休日)=1,"○",IF(NETWORKDAYS(BU$5,$L34,休日)=1,"▶","→")),"")))</f>
        <v/>
      </c>
      <c r="BV34" s="116">
        <f>IF(OR($K34="",$L34=""),"",IF(NETWORKDAYS(BV$5,BV$5,休日)=0,"",IF(AND(BV$5&gt;=$K34,BV$5&lt;=$L34),IF(NETWORKDAYS($K34,BV$5,休日)=1,"○",IF(NETWORKDAYS(BV$5,$L34,休日)=1,"▶","→")),"")))</f>
        <v/>
      </c>
      <c r="BW34" s="116">
        <f>IF(OR($K34="",$L34=""),"",IF(NETWORKDAYS(BW$5,BW$5,休日)=0,"",IF(AND(BW$5&gt;=$K34,BW$5&lt;=$L34),IF(NETWORKDAYS($K34,BW$5,休日)=1,"○",IF(NETWORKDAYS(BW$5,$L34,休日)=1,"▶","→")),"")))</f>
        <v/>
      </c>
      <c r="BX34" s="116">
        <f>IF(OR($K34="",$L34=""),"",IF(NETWORKDAYS(BX$5,BX$5,休日)=0,"",IF(AND(BX$5&gt;=$K34,BX$5&lt;=$L34),IF(NETWORKDAYS($K34,BX$5,休日)=1,"○",IF(NETWORKDAYS(BX$5,$L34,休日)=1,"▶","→")),"")))</f>
        <v/>
      </c>
      <c r="BY34" s="116">
        <f>IF(OR($K34="",$L34=""),"",IF(NETWORKDAYS(BY$5,BY$5,休日)=0,"",IF(AND(BY$5&gt;=$K34,BY$5&lt;=$L34),IF(NETWORKDAYS($K34,BY$5,休日)=1,"○",IF(NETWORKDAYS(BY$5,$L34,休日)=1,"▶","→")),"")))</f>
        <v/>
      </c>
      <c r="BZ34" s="116">
        <f>IF(OR($K34="",$L34=""),"",IF(NETWORKDAYS(BZ$5,BZ$5,休日)=0,"",IF(AND(BZ$5&gt;=$K34,BZ$5&lt;=$L34),IF(NETWORKDAYS($K34,BZ$5,休日)=1,"○",IF(NETWORKDAYS(BZ$5,$L34,休日)=1,"▶","→")),"")))</f>
        <v/>
      </c>
      <c r="CA34" s="116">
        <f>IF(OR($K34="",$L34=""),"",IF(NETWORKDAYS(CA$5,CA$5,休日)=0,"",IF(AND(CA$5&gt;=$K34,CA$5&lt;=$L34),IF(NETWORKDAYS($K34,CA$5,休日)=1,"○",IF(NETWORKDAYS(CA$5,$L34,休日)=1,"▶","→")),"")))</f>
        <v/>
      </c>
      <c r="CB34" s="116">
        <f>IF(OR($K34="",$L34=""),"",IF(NETWORKDAYS(CB$5,CB$5,休日)=0,"",IF(AND(CB$5&gt;=$K34,CB$5&lt;=$L34),IF(NETWORKDAYS($K34,CB$5,休日)=1,"○",IF(NETWORKDAYS(CB$5,$L34,休日)=1,"▶","→")),"")))</f>
        <v/>
      </c>
      <c r="CC34" s="116">
        <f>IF(OR($K34="",$L34=""),"",IF(NETWORKDAYS(CC$5,CC$5,休日)=0,"",IF(AND(CC$5&gt;=$K34,CC$5&lt;=$L34),IF(NETWORKDAYS($K34,CC$5,休日)=1,"○",IF(NETWORKDAYS(CC$5,$L34,休日)=1,"▶","→")),"")))</f>
        <v/>
      </c>
      <c r="CD34" s="116">
        <f>IF(OR($K34="",$L34=""),"",IF(NETWORKDAYS(CD$5,CD$5,休日)=0,"",IF(AND(CD$5&gt;=$K34,CD$5&lt;=$L34),IF(NETWORKDAYS($K34,CD$5,休日)=1,"○",IF(NETWORKDAYS(CD$5,$L34,休日)=1,"▶","→")),"")))</f>
        <v/>
      </c>
      <c r="CE34" s="116">
        <f>IF(OR($K34="",$L34=""),"",IF(NETWORKDAYS(CE$5,CE$5,休日)=0,"",IF(AND(CE$5&gt;=$K34,CE$5&lt;=$L34),IF(NETWORKDAYS($K34,CE$5,休日)=1,"○",IF(NETWORKDAYS(CE$5,$L34,休日)=1,"▶","→")),"")))</f>
        <v/>
      </c>
      <c r="CF34" s="116">
        <f>IF(OR($K34="",$L34=""),"",IF(NETWORKDAYS(CF$5,CF$5,休日)=0,"",IF(AND(CF$5&gt;=$K34,CF$5&lt;=$L34),IF(NETWORKDAYS($K34,CF$5,休日)=1,"○",IF(NETWORKDAYS(CF$5,$L34,休日)=1,"▶","→")),"")))</f>
        <v/>
      </c>
      <c r="CG34" s="116">
        <f>IF(OR($K34="",$L34=""),"",IF(NETWORKDAYS(CG$5,CG$5,休日)=0,"",IF(AND(CG$5&gt;=$K34,CG$5&lt;=$L34),IF(NETWORKDAYS($K34,CG$5,休日)=1,"○",IF(NETWORKDAYS(CG$5,$L34,休日)=1,"▶","→")),"")))</f>
        <v/>
      </c>
      <c r="CH34" s="116">
        <f>IF(OR($K34="",$L34=""),"",IF(NETWORKDAYS(CH$5,CH$5,休日)=0,"",IF(AND(CH$5&gt;=$K34,CH$5&lt;=$L34),IF(NETWORKDAYS($K34,CH$5,休日)=1,"○",IF(NETWORKDAYS(CH$5,$L34,休日)=1,"▶","→")),"")))</f>
        <v/>
      </c>
      <c r="CI34" s="116">
        <f>IF(OR($K34="",$L34=""),"",IF(NETWORKDAYS(CI$5,CI$5,休日)=0,"",IF(AND(CI$5&gt;=$K34,CI$5&lt;=$L34),IF(NETWORKDAYS($K34,CI$5,休日)=1,"○",IF(NETWORKDAYS(CI$5,$L34,休日)=1,"▶","→")),"")))</f>
        <v/>
      </c>
      <c r="CJ34" s="116">
        <f>IF(OR($K34="",$L34=""),"",IF(NETWORKDAYS(CJ$5,CJ$5,休日)=0,"",IF(AND(CJ$5&gt;=$K34,CJ$5&lt;=$L34),IF(NETWORKDAYS($K34,CJ$5,休日)=1,"○",IF(NETWORKDAYS(CJ$5,$L34,休日)=1,"▶","→")),"")))</f>
        <v/>
      </c>
      <c r="CK34" s="116">
        <f>IF(OR($K34="",$L34=""),"",IF(NETWORKDAYS(CK$5,CK$5,休日)=0,"",IF(AND(CK$5&gt;=$K34,CK$5&lt;=$L34),IF(NETWORKDAYS($K34,CK$5,休日)=1,"○",IF(NETWORKDAYS(CK$5,$L34,休日)=1,"▶","→")),"")))</f>
        <v/>
      </c>
      <c r="CL34" s="116">
        <f>IF(OR($K34="",$L34=""),"",IF(NETWORKDAYS(CL$5,CL$5,休日)=0,"",IF(AND(CL$5&gt;=$K34,CL$5&lt;=$L34),IF(NETWORKDAYS($K34,CL$5,休日)=1,"○",IF(NETWORKDAYS(CL$5,$L34,休日)=1,"▶","→")),"")))</f>
        <v/>
      </c>
      <c r="CM34" s="116">
        <f>IF(OR($K34="",$L34=""),"",IF(NETWORKDAYS(CM$5,CM$5,休日)=0,"",IF(AND(CM$5&gt;=$K34,CM$5&lt;=$L34),IF(NETWORKDAYS($K34,CM$5,休日)=1,"○",IF(NETWORKDAYS(CM$5,$L34,休日)=1,"▶","→")),"")))</f>
        <v/>
      </c>
      <c r="CN34" s="116">
        <f>IF(OR($K34="",$L34=""),"",IF(NETWORKDAYS(CN$5,CN$5,休日)=0,"",IF(AND(CN$5&gt;=$K34,CN$5&lt;=$L34),IF(NETWORKDAYS($K34,CN$5,休日)=1,"○",IF(NETWORKDAYS(CN$5,$L34,休日)=1,"▶","→")),"")))</f>
        <v/>
      </c>
      <c r="CO34" s="116">
        <f>IF(OR($K34="",$L34=""),"",IF(NETWORKDAYS(CO$5,CO$5,休日)=0,"",IF(AND(CO$5&gt;=$K34,CO$5&lt;=$L34),IF(NETWORKDAYS($K34,CO$5,休日)=1,"○",IF(NETWORKDAYS(CO$5,$L34,休日)=1,"▶","→")),"")))</f>
        <v/>
      </c>
    </row>
    <row r="35" ht="32" customHeight="1" s="98">
      <c r="A35" s="5" t="n"/>
      <c r="B35" s="100" t="inlineStr">
        <is>
          <t>3.1.2</t>
        </is>
      </c>
      <c r="C35" s="101" t="inlineStr">
        <is>
          <t>開発</t>
        </is>
      </c>
      <c r="D35" s="101" t="inlineStr">
        <is>
          <t>Layer③</t>
        </is>
      </c>
      <c r="E35" s="101" t="inlineStr">
        <is>
          <t>生鮮発注勧告（当日分）</t>
        </is>
      </c>
      <c r="F35" s="101" t="inlineStr">
        <is>
          <t>生鮮発注勧告（当日分）</t>
        </is>
      </c>
      <c r="G35" s="100" t="inlineStr">
        <is>
          <t>新規</t>
        </is>
      </c>
      <c r="H35" s="100" t="inlineStr">
        <is>
          <t>未定</t>
        </is>
      </c>
      <c r="I35" s="113" t="n">
        <v>1.5</v>
      </c>
      <c r="J35" s="100" t="inlineStr">
        <is>
          <t>－</t>
        </is>
      </c>
      <c r="K35" s="114" t="n">
        <v>46336</v>
      </c>
      <c r="L35" s="114" t="n">
        <v>46374</v>
      </c>
      <c r="M35" s="114" t="n"/>
      <c r="N35" s="114" t="n"/>
      <c r="O35" s="100" t="inlineStr">
        <is>
          <t>未着手</t>
        </is>
      </c>
      <c r="P35" s="115" t="n">
        <v>0</v>
      </c>
      <c r="Q35" s="100" t="inlineStr">
        <is>
          <t>G③</t>
        </is>
      </c>
      <c r="R35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35" s="116">
        <f>IF(OR($K35="",$L35=""),"",IF(NETWORKDAYS(S$5,S$5,休日)=0,"",IF(AND(S$5&gt;=$K35,S$5&lt;=$L35),IF(NETWORKDAYS($K35,S$5,休日)=1,"○",IF(NETWORKDAYS(S$5,$L35,休日)=1,"▶","→")),"")))</f>
        <v/>
      </c>
      <c r="T35" s="116">
        <f>IF(OR($K35="",$L35=""),"",IF(NETWORKDAYS(T$5,T$5,休日)=0,"",IF(AND(T$5&gt;=$K35,T$5&lt;=$L35),IF(NETWORKDAYS($K35,T$5,休日)=1,"○",IF(NETWORKDAYS(T$5,$L35,休日)=1,"▶","→")),"")))</f>
        <v/>
      </c>
      <c r="U35" s="116">
        <f>IF(OR($K35="",$L35=""),"",IF(NETWORKDAYS(U$5,U$5,休日)=0,"",IF(AND(U$5&gt;=$K35,U$5&lt;=$L35),IF(NETWORKDAYS($K35,U$5,休日)=1,"○",IF(NETWORKDAYS(U$5,$L35,休日)=1,"▶","→")),"")))</f>
        <v/>
      </c>
      <c r="V35" s="116">
        <f>IF(OR($K35="",$L35=""),"",IF(NETWORKDAYS(V$5,V$5,休日)=0,"",IF(AND(V$5&gt;=$K35,V$5&lt;=$L35),IF(NETWORKDAYS($K35,V$5,休日)=1,"○",IF(NETWORKDAYS(V$5,$L35,休日)=1,"▶","→")),"")))</f>
        <v/>
      </c>
      <c r="W35" s="116">
        <f>IF(OR($K35="",$L35=""),"",IF(NETWORKDAYS(W$5,W$5,休日)=0,"",IF(AND(W$5&gt;=$K35,W$5&lt;=$L35),IF(NETWORKDAYS($K35,W$5,休日)=1,"○",IF(NETWORKDAYS(W$5,$L35,休日)=1,"▶","→")),"")))</f>
        <v/>
      </c>
      <c r="X35" s="116">
        <f>IF(OR($K35="",$L35=""),"",IF(NETWORKDAYS(X$5,X$5,休日)=0,"",IF(AND(X$5&gt;=$K35,X$5&lt;=$L35),IF(NETWORKDAYS($K35,X$5,休日)=1,"○",IF(NETWORKDAYS(X$5,$L35,休日)=1,"▶","→")),"")))</f>
        <v/>
      </c>
      <c r="Y35" s="116">
        <f>IF(OR($K35="",$L35=""),"",IF(NETWORKDAYS(Y$5,Y$5,休日)=0,"",IF(AND(Y$5&gt;=$K35,Y$5&lt;=$L35),IF(NETWORKDAYS($K35,Y$5,休日)=1,"○",IF(NETWORKDAYS(Y$5,$L35,休日)=1,"▶","→")),"")))</f>
        <v/>
      </c>
      <c r="Z35" s="116">
        <f>IF(OR($K35="",$L35=""),"",IF(NETWORKDAYS(Z$5,Z$5,休日)=0,"",IF(AND(Z$5&gt;=$K35,Z$5&lt;=$L35),IF(NETWORKDAYS($K35,Z$5,休日)=1,"○",IF(NETWORKDAYS(Z$5,$L35,休日)=1,"▶","→")),"")))</f>
        <v/>
      </c>
      <c r="AA35" s="116">
        <f>IF(OR($K35="",$L35=""),"",IF(NETWORKDAYS(AA$5,AA$5,休日)=0,"",IF(AND(AA$5&gt;=$K35,AA$5&lt;=$L35),IF(NETWORKDAYS($K35,AA$5,休日)=1,"○",IF(NETWORKDAYS(AA$5,$L35,休日)=1,"▶","→")),"")))</f>
        <v/>
      </c>
      <c r="AB35" s="116">
        <f>IF(OR($K35="",$L35=""),"",IF(NETWORKDAYS(AB$5,AB$5,休日)=0,"",IF(AND(AB$5&gt;=$K35,AB$5&lt;=$L35),IF(NETWORKDAYS($K35,AB$5,休日)=1,"○",IF(NETWORKDAYS(AB$5,$L35,休日)=1,"▶","→")),"")))</f>
        <v/>
      </c>
      <c r="AC35" s="116">
        <f>IF(OR($K35="",$L35=""),"",IF(NETWORKDAYS(AC$5,AC$5,休日)=0,"",IF(AND(AC$5&gt;=$K35,AC$5&lt;=$L35),IF(NETWORKDAYS($K35,AC$5,休日)=1,"○",IF(NETWORKDAYS(AC$5,$L35,休日)=1,"▶","→")),"")))</f>
        <v/>
      </c>
      <c r="AD35" s="116">
        <f>IF(OR($K35="",$L35=""),"",IF(NETWORKDAYS(AD$5,AD$5,休日)=0,"",IF(AND(AD$5&gt;=$K35,AD$5&lt;=$L35),IF(NETWORKDAYS($K35,AD$5,休日)=1,"○",IF(NETWORKDAYS(AD$5,$L35,休日)=1,"▶","→")),"")))</f>
        <v/>
      </c>
      <c r="AE35" s="116">
        <f>IF(OR($K35="",$L35=""),"",IF(NETWORKDAYS(AE$5,AE$5,休日)=0,"",IF(AND(AE$5&gt;=$K35,AE$5&lt;=$L35),IF(NETWORKDAYS($K35,AE$5,休日)=1,"○",IF(NETWORKDAYS(AE$5,$L35,休日)=1,"▶","→")),"")))</f>
        <v/>
      </c>
      <c r="AF35" s="116">
        <f>IF(OR($K35="",$L35=""),"",IF(NETWORKDAYS(AF$5,AF$5,休日)=0,"",IF(AND(AF$5&gt;=$K35,AF$5&lt;=$L35),IF(NETWORKDAYS($K35,AF$5,休日)=1,"○",IF(NETWORKDAYS(AF$5,$L35,休日)=1,"▶","→")),"")))</f>
        <v/>
      </c>
      <c r="AG35" s="116">
        <f>IF(OR($K35="",$L35=""),"",IF(NETWORKDAYS(AG$5,AG$5,休日)=0,"",IF(AND(AG$5&gt;=$K35,AG$5&lt;=$L35),IF(NETWORKDAYS($K35,AG$5,休日)=1,"○",IF(NETWORKDAYS(AG$5,$L35,休日)=1,"▶","→")),"")))</f>
        <v/>
      </c>
      <c r="AH35" s="116">
        <f>IF(OR($K35="",$L35=""),"",IF(NETWORKDAYS(AH$5,AH$5,休日)=0,"",IF(AND(AH$5&gt;=$K35,AH$5&lt;=$L35),IF(NETWORKDAYS($K35,AH$5,休日)=1,"○",IF(NETWORKDAYS(AH$5,$L35,休日)=1,"▶","→")),"")))</f>
        <v/>
      </c>
      <c r="AI35" s="116">
        <f>IF(OR($K35="",$L35=""),"",IF(NETWORKDAYS(AI$5,AI$5,休日)=0,"",IF(AND(AI$5&gt;=$K35,AI$5&lt;=$L35),IF(NETWORKDAYS($K35,AI$5,休日)=1,"○",IF(NETWORKDAYS(AI$5,$L35,休日)=1,"▶","→")),"")))</f>
        <v/>
      </c>
      <c r="AJ35" s="116">
        <f>IF(OR($K35="",$L35=""),"",IF(NETWORKDAYS(AJ$5,AJ$5,休日)=0,"",IF(AND(AJ$5&gt;=$K35,AJ$5&lt;=$L35),IF(NETWORKDAYS($K35,AJ$5,休日)=1,"○",IF(NETWORKDAYS(AJ$5,$L35,休日)=1,"▶","→")),"")))</f>
        <v/>
      </c>
      <c r="AK35" s="116">
        <f>IF(OR($K35="",$L35=""),"",IF(NETWORKDAYS(AK$5,AK$5,休日)=0,"",IF(AND(AK$5&gt;=$K35,AK$5&lt;=$L35),IF(NETWORKDAYS($K35,AK$5,休日)=1,"○",IF(NETWORKDAYS(AK$5,$L35,休日)=1,"▶","→")),"")))</f>
        <v/>
      </c>
      <c r="AL35" s="116">
        <f>IF(OR($K35="",$L35=""),"",IF(NETWORKDAYS(AL$5,AL$5,休日)=0,"",IF(AND(AL$5&gt;=$K35,AL$5&lt;=$L35),IF(NETWORKDAYS($K35,AL$5,休日)=1,"○",IF(NETWORKDAYS(AL$5,$L35,休日)=1,"▶","→")),"")))</f>
        <v/>
      </c>
      <c r="AM35" s="116">
        <f>IF(OR($K35="",$L35=""),"",IF(NETWORKDAYS(AM$5,AM$5,休日)=0,"",IF(AND(AM$5&gt;=$K35,AM$5&lt;=$L35),IF(NETWORKDAYS($K35,AM$5,休日)=1,"○",IF(NETWORKDAYS(AM$5,$L35,休日)=1,"▶","→")),"")))</f>
        <v/>
      </c>
      <c r="AN35" s="116">
        <f>IF(OR($K35="",$L35=""),"",IF(NETWORKDAYS(AN$5,AN$5,休日)=0,"",IF(AND(AN$5&gt;=$K35,AN$5&lt;=$L35),IF(NETWORKDAYS($K35,AN$5,休日)=1,"○",IF(NETWORKDAYS(AN$5,$L35,休日)=1,"▶","→")),"")))</f>
        <v/>
      </c>
      <c r="AO35" s="116">
        <f>IF(OR($K35="",$L35=""),"",IF(NETWORKDAYS(AO$5,AO$5,休日)=0,"",IF(AND(AO$5&gt;=$K35,AO$5&lt;=$L35),IF(NETWORKDAYS($K35,AO$5,休日)=1,"○",IF(NETWORKDAYS(AO$5,$L35,休日)=1,"▶","→")),"")))</f>
        <v/>
      </c>
      <c r="AP35" s="116">
        <f>IF(OR($K35="",$L35=""),"",IF(NETWORKDAYS(AP$5,AP$5,休日)=0,"",IF(AND(AP$5&gt;=$K35,AP$5&lt;=$L35),IF(NETWORKDAYS($K35,AP$5,休日)=1,"○",IF(NETWORKDAYS(AP$5,$L35,休日)=1,"▶","→")),"")))</f>
        <v/>
      </c>
      <c r="AQ35" s="116">
        <f>IF(OR($K35="",$L35=""),"",IF(NETWORKDAYS(AQ$5,AQ$5,休日)=0,"",IF(AND(AQ$5&gt;=$K35,AQ$5&lt;=$L35),IF(NETWORKDAYS($K35,AQ$5,休日)=1,"○",IF(NETWORKDAYS(AQ$5,$L35,休日)=1,"▶","→")),"")))</f>
        <v/>
      </c>
      <c r="AR35" s="116">
        <f>IF(OR($K35="",$L35=""),"",IF(NETWORKDAYS(AR$5,AR$5,休日)=0,"",IF(AND(AR$5&gt;=$K35,AR$5&lt;=$L35),IF(NETWORKDAYS($K35,AR$5,休日)=1,"○",IF(NETWORKDAYS(AR$5,$L35,休日)=1,"▶","→")),"")))</f>
        <v/>
      </c>
      <c r="AS35" s="116">
        <f>IF(OR($K35="",$L35=""),"",IF(NETWORKDAYS(AS$5,AS$5,休日)=0,"",IF(AND(AS$5&gt;=$K35,AS$5&lt;=$L35),IF(NETWORKDAYS($K35,AS$5,休日)=1,"○",IF(NETWORKDAYS(AS$5,$L35,休日)=1,"▶","→")),"")))</f>
        <v/>
      </c>
      <c r="AT35" s="116">
        <f>IF(OR($K35="",$L35=""),"",IF(NETWORKDAYS(AT$5,AT$5,休日)=0,"",IF(AND(AT$5&gt;=$K35,AT$5&lt;=$L35),IF(NETWORKDAYS($K35,AT$5,休日)=1,"○",IF(NETWORKDAYS(AT$5,$L35,休日)=1,"▶","→")),"")))</f>
        <v/>
      </c>
      <c r="AU35" s="116">
        <f>IF(OR($K35="",$L35=""),"",IF(NETWORKDAYS(AU$5,AU$5,休日)=0,"",IF(AND(AU$5&gt;=$K35,AU$5&lt;=$L35),IF(NETWORKDAYS($K35,AU$5,休日)=1,"○",IF(NETWORKDAYS(AU$5,$L35,休日)=1,"▶","→")),"")))</f>
        <v/>
      </c>
      <c r="AV35" s="116">
        <f>IF(OR($K35="",$L35=""),"",IF(NETWORKDAYS(AV$5,AV$5,休日)=0,"",IF(AND(AV$5&gt;=$K35,AV$5&lt;=$L35),IF(NETWORKDAYS($K35,AV$5,休日)=1,"○",IF(NETWORKDAYS(AV$5,$L35,休日)=1,"▶","→")),"")))</f>
        <v/>
      </c>
      <c r="AW35" s="116">
        <f>IF(OR($K35="",$L35=""),"",IF(NETWORKDAYS(AW$5,AW$5,休日)=0,"",IF(AND(AW$5&gt;=$K35,AW$5&lt;=$L35),IF(NETWORKDAYS($K35,AW$5,休日)=1,"○",IF(NETWORKDAYS(AW$5,$L35,休日)=1,"▶","→")),"")))</f>
        <v/>
      </c>
      <c r="AX35" s="116">
        <f>IF(OR($K35="",$L35=""),"",IF(NETWORKDAYS(AX$5,AX$5,休日)=0,"",IF(AND(AX$5&gt;=$K35,AX$5&lt;=$L35),IF(NETWORKDAYS($K35,AX$5,休日)=1,"○",IF(NETWORKDAYS(AX$5,$L35,休日)=1,"▶","→")),"")))</f>
        <v/>
      </c>
      <c r="AY35" s="116">
        <f>IF(OR($K35="",$L35=""),"",IF(NETWORKDAYS(AY$5,AY$5,休日)=0,"",IF(AND(AY$5&gt;=$K35,AY$5&lt;=$L35),IF(NETWORKDAYS($K35,AY$5,休日)=1,"○",IF(NETWORKDAYS(AY$5,$L35,休日)=1,"▶","→")),"")))</f>
        <v/>
      </c>
      <c r="AZ35" s="116">
        <f>IF(OR($K35="",$L35=""),"",IF(NETWORKDAYS(AZ$5,AZ$5,休日)=0,"",IF(AND(AZ$5&gt;=$K35,AZ$5&lt;=$L35),IF(NETWORKDAYS($K35,AZ$5,休日)=1,"○",IF(NETWORKDAYS(AZ$5,$L35,休日)=1,"▶","→")),"")))</f>
        <v/>
      </c>
      <c r="BA35" s="116">
        <f>IF(OR($K35="",$L35=""),"",IF(NETWORKDAYS(BA$5,BA$5,休日)=0,"",IF(AND(BA$5&gt;=$K35,BA$5&lt;=$L35),IF(NETWORKDAYS($K35,BA$5,休日)=1,"○",IF(NETWORKDAYS(BA$5,$L35,休日)=1,"▶","→")),"")))</f>
        <v/>
      </c>
      <c r="BB35" s="116">
        <f>IF(OR($K35="",$L35=""),"",IF(NETWORKDAYS(BB$5,BB$5,休日)=0,"",IF(AND(BB$5&gt;=$K35,BB$5&lt;=$L35),IF(NETWORKDAYS($K35,BB$5,休日)=1,"○",IF(NETWORKDAYS(BB$5,$L35,休日)=1,"▶","→")),"")))</f>
        <v/>
      </c>
      <c r="BC35" s="116">
        <f>IF(OR($K35="",$L35=""),"",IF(NETWORKDAYS(BC$5,BC$5,休日)=0,"",IF(AND(BC$5&gt;=$K35,BC$5&lt;=$L35),IF(NETWORKDAYS($K35,BC$5,休日)=1,"○",IF(NETWORKDAYS(BC$5,$L35,休日)=1,"▶","→")),"")))</f>
        <v/>
      </c>
      <c r="BD35" s="116">
        <f>IF(OR($K35="",$L35=""),"",IF(NETWORKDAYS(BD$5,BD$5,休日)=0,"",IF(AND(BD$5&gt;=$K35,BD$5&lt;=$L35),IF(NETWORKDAYS($K35,BD$5,休日)=1,"○",IF(NETWORKDAYS(BD$5,$L35,休日)=1,"▶","→")),"")))</f>
        <v/>
      </c>
      <c r="BE35" s="116">
        <f>IF(OR($K35="",$L35=""),"",IF(NETWORKDAYS(BE$5,BE$5,休日)=0,"",IF(AND(BE$5&gt;=$K35,BE$5&lt;=$L35),IF(NETWORKDAYS($K35,BE$5,休日)=1,"○",IF(NETWORKDAYS(BE$5,$L35,休日)=1,"▶","→")),"")))</f>
        <v/>
      </c>
      <c r="BF35" s="116">
        <f>IF(OR($K35="",$L35=""),"",IF(NETWORKDAYS(BF$5,BF$5,休日)=0,"",IF(AND(BF$5&gt;=$K35,BF$5&lt;=$L35),IF(NETWORKDAYS($K35,BF$5,休日)=1,"○",IF(NETWORKDAYS(BF$5,$L35,休日)=1,"▶","→")),"")))</f>
        <v/>
      </c>
      <c r="BG35" s="116">
        <f>IF(OR($K35="",$L35=""),"",IF(NETWORKDAYS(BG$5,BG$5,休日)=0,"",IF(AND(BG$5&gt;=$K35,BG$5&lt;=$L35),IF(NETWORKDAYS($K35,BG$5,休日)=1,"○",IF(NETWORKDAYS(BG$5,$L35,休日)=1,"▶","→")),"")))</f>
        <v/>
      </c>
      <c r="BH35" s="116">
        <f>IF(OR($K35="",$L35=""),"",IF(NETWORKDAYS(BH$5,BH$5,休日)=0,"",IF(AND(BH$5&gt;=$K35,BH$5&lt;=$L35),IF(NETWORKDAYS($K35,BH$5,休日)=1,"○",IF(NETWORKDAYS(BH$5,$L35,休日)=1,"▶","→")),"")))</f>
        <v/>
      </c>
      <c r="BI35" s="116">
        <f>IF(OR($K35="",$L35=""),"",IF(NETWORKDAYS(BI$5,BI$5,休日)=0,"",IF(AND(BI$5&gt;=$K35,BI$5&lt;=$L35),IF(NETWORKDAYS($K35,BI$5,休日)=1,"○",IF(NETWORKDAYS(BI$5,$L35,休日)=1,"▶","→")),"")))</f>
        <v/>
      </c>
      <c r="BJ35" s="116">
        <f>IF(OR($K35="",$L35=""),"",IF(NETWORKDAYS(BJ$5,BJ$5,休日)=0,"",IF(AND(BJ$5&gt;=$K35,BJ$5&lt;=$L35),IF(NETWORKDAYS($K35,BJ$5,休日)=1,"○",IF(NETWORKDAYS(BJ$5,$L35,休日)=1,"▶","→")),"")))</f>
        <v/>
      </c>
      <c r="BK35" s="116">
        <f>IF(OR($K35="",$L35=""),"",IF(NETWORKDAYS(BK$5,BK$5,休日)=0,"",IF(AND(BK$5&gt;=$K35,BK$5&lt;=$L35),IF(NETWORKDAYS($K35,BK$5,休日)=1,"○",IF(NETWORKDAYS(BK$5,$L35,休日)=1,"▶","→")),"")))</f>
        <v/>
      </c>
      <c r="BL35" s="116">
        <f>IF(OR($K35="",$L35=""),"",IF(NETWORKDAYS(BL$5,BL$5,休日)=0,"",IF(AND(BL$5&gt;=$K35,BL$5&lt;=$L35),IF(NETWORKDAYS($K35,BL$5,休日)=1,"○",IF(NETWORKDAYS(BL$5,$L35,休日)=1,"▶","→")),"")))</f>
        <v/>
      </c>
      <c r="BM35" s="116">
        <f>IF(OR($K35="",$L35=""),"",IF(NETWORKDAYS(BM$5,BM$5,休日)=0,"",IF(AND(BM$5&gt;=$K35,BM$5&lt;=$L35),IF(NETWORKDAYS($K35,BM$5,休日)=1,"○",IF(NETWORKDAYS(BM$5,$L35,休日)=1,"▶","→")),"")))</f>
        <v/>
      </c>
      <c r="BN35" s="116">
        <f>IF(OR($K35="",$L35=""),"",IF(NETWORKDAYS(BN$5,BN$5,休日)=0,"",IF(AND(BN$5&gt;=$K35,BN$5&lt;=$L35),IF(NETWORKDAYS($K35,BN$5,休日)=1,"○",IF(NETWORKDAYS(BN$5,$L35,休日)=1,"▶","→")),"")))</f>
        <v/>
      </c>
      <c r="BO35" s="116">
        <f>IF(OR($K35="",$L35=""),"",IF(NETWORKDAYS(BO$5,BO$5,休日)=0,"",IF(AND(BO$5&gt;=$K35,BO$5&lt;=$L35),IF(NETWORKDAYS($K35,BO$5,休日)=1,"○",IF(NETWORKDAYS(BO$5,$L35,休日)=1,"▶","→")),"")))</f>
        <v/>
      </c>
      <c r="BP35" s="116">
        <f>IF(OR($K35="",$L35=""),"",IF(NETWORKDAYS(BP$5,BP$5,休日)=0,"",IF(AND(BP$5&gt;=$K35,BP$5&lt;=$L35),IF(NETWORKDAYS($K35,BP$5,休日)=1,"○",IF(NETWORKDAYS(BP$5,$L35,休日)=1,"▶","→")),"")))</f>
        <v/>
      </c>
      <c r="BQ35" s="116">
        <f>IF(OR($K35="",$L35=""),"",IF(NETWORKDAYS(BQ$5,BQ$5,休日)=0,"",IF(AND(BQ$5&gt;=$K35,BQ$5&lt;=$L35),IF(NETWORKDAYS($K35,BQ$5,休日)=1,"○",IF(NETWORKDAYS(BQ$5,$L35,休日)=1,"▶","→")),"")))</f>
        <v/>
      </c>
      <c r="BR35" s="116">
        <f>IF(OR($K35="",$L35=""),"",IF(NETWORKDAYS(BR$5,BR$5,休日)=0,"",IF(AND(BR$5&gt;=$K35,BR$5&lt;=$L35),IF(NETWORKDAYS($K35,BR$5,休日)=1,"○",IF(NETWORKDAYS(BR$5,$L35,休日)=1,"▶","→")),"")))</f>
        <v/>
      </c>
      <c r="BS35" s="116">
        <f>IF(OR($K35="",$L35=""),"",IF(NETWORKDAYS(BS$5,BS$5,休日)=0,"",IF(AND(BS$5&gt;=$K35,BS$5&lt;=$L35),IF(NETWORKDAYS($K35,BS$5,休日)=1,"○",IF(NETWORKDAYS(BS$5,$L35,休日)=1,"▶","→")),"")))</f>
        <v/>
      </c>
      <c r="BT35" s="116">
        <f>IF(OR($K35="",$L35=""),"",IF(NETWORKDAYS(BT$5,BT$5,休日)=0,"",IF(AND(BT$5&gt;=$K35,BT$5&lt;=$L35),IF(NETWORKDAYS($K35,BT$5,休日)=1,"○",IF(NETWORKDAYS(BT$5,$L35,休日)=1,"▶","→")),"")))</f>
        <v/>
      </c>
      <c r="BU35" s="116">
        <f>IF(OR($K35="",$L35=""),"",IF(NETWORKDAYS(BU$5,BU$5,休日)=0,"",IF(AND(BU$5&gt;=$K35,BU$5&lt;=$L35),IF(NETWORKDAYS($K35,BU$5,休日)=1,"○",IF(NETWORKDAYS(BU$5,$L35,休日)=1,"▶","→")),"")))</f>
        <v/>
      </c>
      <c r="BV35" s="116">
        <f>IF(OR($K35="",$L35=""),"",IF(NETWORKDAYS(BV$5,BV$5,休日)=0,"",IF(AND(BV$5&gt;=$K35,BV$5&lt;=$L35),IF(NETWORKDAYS($K35,BV$5,休日)=1,"○",IF(NETWORKDAYS(BV$5,$L35,休日)=1,"▶","→")),"")))</f>
        <v/>
      </c>
      <c r="BW35" s="116">
        <f>IF(OR($K35="",$L35=""),"",IF(NETWORKDAYS(BW$5,BW$5,休日)=0,"",IF(AND(BW$5&gt;=$K35,BW$5&lt;=$L35),IF(NETWORKDAYS($K35,BW$5,休日)=1,"○",IF(NETWORKDAYS(BW$5,$L35,休日)=1,"▶","→")),"")))</f>
        <v/>
      </c>
      <c r="BX35" s="116">
        <f>IF(OR($K35="",$L35=""),"",IF(NETWORKDAYS(BX$5,BX$5,休日)=0,"",IF(AND(BX$5&gt;=$K35,BX$5&lt;=$L35),IF(NETWORKDAYS($K35,BX$5,休日)=1,"○",IF(NETWORKDAYS(BX$5,$L35,休日)=1,"▶","→")),"")))</f>
        <v/>
      </c>
      <c r="BY35" s="116">
        <f>IF(OR($K35="",$L35=""),"",IF(NETWORKDAYS(BY$5,BY$5,休日)=0,"",IF(AND(BY$5&gt;=$K35,BY$5&lt;=$L35),IF(NETWORKDAYS($K35,BY$5,休日)=1,"○",IF(NETWORKDAYS(BY$5,$L35,休日)=1,"▶","→")),"")))</f>
        <v/>
      </c>
      <c r="BZ35" s="116">
        <f>IF(OR($K35="",$L35=""),"",IF(NETWORKDAYS(BZ$5,BZ$5,休日)=0,"",IF(AND(BZ$5&gt;=$K35,BZ$5&lt;=$L35),IF(NETWORKDAYS($K35,BZ$5,休日)=1,"○",IF(NETWORKDAYS(BZ$5,$L35,休日)=1,"▶","→")),"")))</f>
        <v/>
      </c>
      <c r="CA35" s="116">
        <f>IF(OR($K35="",$L35=""),"",IF(NETWORKDAYS(CA$5,CA$5,休日)=0,"",IF(AND(CA$5&gt;=$K35,CA$5&lt;=$L35),IF(NETWORKDAYS($K35,CA$5,休日)=1,"○",IF(NETWORKDAYS(CA$5,$L35,休日)=1,"▶","→")),"")))</f>
        <v/>
      </c>
      <c r="CB35" s="116">
        <f>IF(OR($K35="",$L35=""),"",IF(NETWORKDAYS(CB$5,CB$5,休日)=0,"",IF(AND(CB$5&gt;=$K35,CB$5&lt;=$L35),IF(NETWORKDAYS($K35,CB$5,休日)=1,"○",IF(NETWORKDAYS(CB$5,$L35,休日)=1,"▶","→")),"")))</f>
        <v/>
      </c>
      <c r="CC35" s="116">
        <f>IF(OR($K35="",$L35=""),"",IF(NETWORKDAYS(CC$5,CC$5,休日)=0,"",IF(AND(CC$5&gt;=$K35,CC$5&lt;=$L35),IF(NETWORKDAYS($K35,CC$5,休日)=1,"○",IF(NETWORKDAYS(CC$5,$L35,休日)=1,"▶","→")),"")))</f>
        <v/>
      </c>
      <c r="CD35" s="116">
        <f>IF(OR($K35="",$L35=""),"",IF(NETWORKDAYS(CD$5,CD$5,休日)=0,"",IF(AND(CD$5&gt;=$K35,CD$5&lt;=$L35),IF(NETWORKDAYS($K35,CD$5,休日)=1,"○",IF(NETWORKDAYS(CD$5,$L35,休日)=1,"▶","→")),"")))</f>
        <v/>
      </c>
      <c r="CE35" s="116">
        <f>IF(OR($K35="",$L35=""),"",IF(NETWORKDAYS(CE$5,CE$5,休日)=0,"",IF(AND(CE$5&gt;=$K35,CE$5&lt;=$L35),IF(NETWORKDAYS($K35,CE$5,休日)=1,"○",IF(NETWORKDAYS(CE$5,$L35,休日)=1,"▶","→")),"")))</f>
        <v/>
      </c>
      <c r="CF35" s="116">
        <f>IF(OR($K35="",$L35=""),"",IF(NETWORKDAYS(CF$5,CF$5,休日)=0,"",IF(AND(CF$5&gt;=$K35,CF$5&lt;=$L35),IF(NETWORKDAYS($K35,CF$5,休日)=1,"○",IF(NETWORKDAYS(CF$5,$L35,休日)=1,"▶","→")),"")))</f>
        <v/>
      </c>
      <c r="CG35" s="116">
        <f>IF(OR($K35="",$L35=""),"",IF(NETWORKDAYS(CG$5,CG$5,休日)=0,"",IF(AND(CG$5&gt;=$K35,CG$5&lt;=$L35),IF(NETWORKDAYS($K35,CG$5,休日)=1,"○",IF(NETWORKDAYS(CG$5,$L35,休日)=1,"▶","→")),"")))</f>
        <v/>
      </c>
      <c r="CH35" s="116">
        <f>IF(OR($K35="",$L35=""),"",IF(NETWORKDAYS(CH$5,CH$5,休日)=0,"",IF(AND(CH$5&gt;=$K35,CH$5&lt;=$L35),IF(NETWORKDAYS($K35,CH$5,休日)=1,"○",IF(NETWORKDAYS(CH$5,$L35,休日)=1,"▶","→")),"")))</f>
        <v/>
      </c>
      <c r="CI35" s="116">
        <f>IF(OR($K35="",$L35=""),"",IF(NETWORKDAYS(CI$5,CI$5,休日)=0,"",IF(AND(CI$5&gt;=$K35,CI$5&lt;=$L35),IF(NETWORKDAYS($K35,CI$5,休日)=1,"○",IF(NETWORKDAYS(CI$5,$L35,休日)=1,"▶","→")),"")))</f>
        <v/>
      </c>
      <c r="CJ35" s="116">
        <f>IF(OR($K35="",$L35=""),"",IF(NETWORKDAYS(CJ$5,CJ$5,休日)=0,"",IF(AND(CJ$5&gt;=$K35,CJ$5&lt;=$L35),IF(NETWORKDAYS($K35,CJ$5,休日)=1,"○",IF(NETWORKDAYS(CJ$5,$L35,休日)=1,"▶","→")),"")))</f>
        <v/>
      </c>
      <c r="CK35" s="116">
        <f>IF(OR($K35="",$L35=""),"",IF(NETWORKDAYS(CK$5,CK$5,休日)=0,"",IF(AND(CK$5&gt;=$K35,CK$5&lt;=$L35),IF(NETWORKDAYS($K35,CK$5,休日)=1,"○",IF(NETWORKDAYS(CK$5,$L35,休日)=1,"▶","→")),"")))</f>
        <v/>
      </c>
      <c r="CL35" s="116">
        <f>IF(OR($K35="",$L35=""),"",IF(NETWORKDAYS(CL$5,CL$5,休日)=0,"",IF(AND(CL$5&gt;=$K35,CL$5&lt;=$L35),IF(NETWORKDAYS($K35,CL$5,休日)=1,"○",IF(NETWORKDAYS(CL$5,$L35,休日)=1,"▶","→")),"")))</f>
        <v/>
      </c>
      <c r="CM35" s="116">
        <f>IF(OR($K35="",$L35=""),"",IF(NETWORKDAYS(CM$5,CM$5,休日)=0,"",IF(AND(CM$5&gt;=$K35,CM$5&lt;=$L35),IF(NETWORKDAYS($K35,CM$5,休日)=1,"○",IF(NETWORKDAYS(CM$5,$L35,休日)=1,"▶","→")),"")))</f>
        <v/>
      </c>
      <c r="CN35" s="116">
        <f>IF(OR($K35="",$L35=""),"",IF(NETWORKDAYS(CN$5,CN$5,休日)=0,"",IF(AND(CN$5&gt;=$K35,CN$5&lt;=$L35),IF(NETWORKDAYS($K35,CN$5,休日)=1,"○",IF(NETWORKDAYS(CN$5,$L35,休日)=1,"▶","→")),"")))</f>
        <v/>
      </c>
      <c r="CO35" s="116">
        <f>IF(OR($K35="",$L35=""),"",IF(NETWORKDAYS(CO$5,CO$5,休日)=0,"",IF(AND(CO$5&gt;=$K35,CO$5&lt;=$L35),IF(NETWORKDAYS($K35,CO$5,休日)=1,"○",IF(NETWORKDAYS(CO$5,$L35,休日)=1,"▶","→")),"")))</f>
        <v/>
      </c>
    </row>
    <row r="36" ht="32" customHeight="1" s="98">
      <c r="A36" s="5" t="n"/>
      <c r="B36" s="100" t="inlineStr">
        <is>
          <t>3.1.3</t>
        </is>
      </c>
      <c r="C36" s="101" t="inlineStr">
        <is>
          <t>開発</t>
        </is>
      </c>
      <c r="D36" s="101" t="inlineStr">
        <is>
          <t>Layer①</t>
        </is>
      </c>
      <c r="E36" s="101" t="inlineStr">
        <is>
          <t>生鮮発注勧告（翌日以降分）</t>
        </is>
      </c>
      <c r="F36" s="101" t="inlineStr">
        <is>
          <t>生鮮発注勧告（翌日以降分）</t>
        </is>
      </c>
      <c r="G36" s="100" t="inlineStr">
        <is>
          <t>新規</t>
        </is>
      </c>
      <c r="H36" s="100" t="inlineStr">
        <is>
          <t>未定</t>
        </is>
      </c>
      <c r="I36" s="113" t="n">
        <v>3</v>
      </c>
      <c r="J36" s="100" t="inlineStr">
        <is>
          <t>－</t>
        </is>
      </c>
      <c r="K36" s="114" t="n">
        <v>46336</v>
      </c>
      <c r="L36" s="114" t="n">
        <v>46374</v>
      </c>
      <c r="M36" s="114" t="n"/>
      <c r="N36" s="114" t="n"/>
      <c r="O36" s="100" t="inlineStr">
        <is>
          <t>未着手</t>
        </is>
      </c>
      <c r="P36" s="115" t="n">
        <v>0</v>
      </c>
      <c r="Q36" s="100" t="inlineStr">
        <is>
          <t>G③</t>
        </is>
      </c>
      <c r="R36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36" s="116">
        <f>IF(OR($K36="",$L36=""),"",IF(NETWORKDAYS(S$5,S$5,休日)=0,"",IF(AND(S$5&gt;=$K36,S$5&lt;=$L36),IF(NETWORKDAYS($K36,S$5,休日)=1,"○",IF(NETWORKDAYS(S$5,$L36,休日)=1,"▶","→")),"")))</f>
        <v/>
      </c>
      <c r="T36" s="116">
        <f>IF(OR($K36="",$L36=""),"",IF(NETWORKDAYS(T$5,T$5,休日)=0,"",IF(AND(T$5&gt;=$K36,T$5&lt;=$L36),IF(NETWORKDAYS($K36,T$5,休日)=1,"○",IF(NETWORKDAYS(T$5,$L36,休日)=1,"▶","→")),"")))</f>
        <v/>
      </c>
      <c r="U36" s="116">
        <f>IF(OR($K36="",$L36=""),"",IF(NETWORKDAYS(U$5,U$5,休日)=0,"",IF(AND(U$5&gt;=$K36,U$5&lt;=$L36),IF(NETWORKDAYS($K36,U$5,休日)=1,"○",IF(NETWORKDAYS(U$5,$L36,休日)=1,"▶","→")),"")))</f>
        <v/>
      </c>
      <c r="V36" s="116">
        <f>IF(OR($K36="",$L36=""),"",IF(NETWORKDAYS(V$5,V$5,休日)=0,"",IF(AND(V$5&gt;=$K36,V$5&lt;=$L36),IF(NETWORKDAYS($K36,V$5,休日)=1,"○",IF(NETWORKDAYS(V$5,$L36,休日)=1,"▶","→")),"")))</f>
        <v/>
      </c>
      <c r="W36" s="116">
        <f>IF(OR($K36="",$L36=""),"",IF(NETWORKDAYS(W$5,W$5,休日)=0,"",IF(AND(W$5&gt;=$K36,W$5&lt;=$L36),IF(NETWORKDAYS($K36,W$5,休日)=1,"○",IF(NETWORKDAYS(W$5,$L36,休日)=1,"▶","→")),"")))</f>
        <v/>
      </c>
      <c r="X36" s="116">
        <f>IF(OR($K36="",$L36=""),"",IF(NETWORKDAYS(X$5,X$5,休日)=0,"",IF(AND(X$5&gt;=$K36,X$5&lt;=$L36),IF(NETWORKDAYS($K36,X$5,休日)=1,"○",IF(NETWORKDAYS(X$5,$L36,休日)=1,"▶","→")),"")))</f>
        <v/>
      </c>
      <c r="Y36" s="116">
        <f>IF(OR($K36="",$L36=""),"",IF(NETWORKDAYS(Y$5,Y$5,休日)=0,"",IF(AND(Y$5&gt;=$K36,Y$5&lt;=$L36),IF(NETWORKDAYS($K36,Y$5,休日)=1,"○",IF(NETWORKDAYS(Y$5,$L36,休日)=1,"▶","→")),"")))</f>
        <v/>
      </c>
      <c r="Z36" s="116">
        <f>IF(OR($K36="",$L36=""),"",IF(NETWORKDAYS(Z$5,Z$5,休日)=0,"",IF(AND(Z$5&gt;=$K36,Z$5&lt;=$L36),IF(NETWORKDAYS($K36,Z$5,休日)=1,"○",IF(NETWORKDAYS(Z$5,$L36,休日)=1,"▶","→")),"")))</f>
        <v/>
      </c>
      <c r="AA36" s="116">
        <f>IF(OR($K36="",$L36=""),"",IF(NETWORKDAYS(AA$5,AA$5,休日)=0,"",IF(AND(AA$5&gt;=$K36,AA$5&lt;=$L36),IF(NETWORKDAYS($K36,AA$5,休日)=1,"○",IF(NETWORKDAYS(AA$5,$L36,休日)=1,"▶","→")),"")))</f>
        <v/>
      </c>
      <c r="AB36" s="116">
        <f>IF(OR($K36="",$L36=""),"",IF(NETWORKDAYS(AB$5,AB$5,休日)=0,"",IF(AND(AB$5&gt;=$K36,AB$5&lt;=$L36),IF(NETWORKDAYS($K36,AB$5,休日)=1,"○",IF(NETWORKDAYS(AB$5,$L36,休日)=1,"▶","→")),"")))</f>
        <v/>
      </c>
      <c r="AC36" s="116">
        <f>IF(OR($K36="",$L36=""),"",IF(NETWORKDAYS(AC$5,AC$5,休日)=0,"",IF(AND(AC$5&gt;=$K36,AC$5&lt;=$L36),IF(NETWORKDAYS($K36,AC$5,休日)=1,"○",IF(NETWORKDAYS(AC$5,$L36,休日)=1,"▶","→")),"")))</f>
        <v/>
      </c>
      <c r="AD36" s="116">
        <f>IF(OR($K36="",$L36=""),"",IF(NETWORKDAYS(AD$5,AD$5,休日)=0,"",IF(AND(AD$5&gt;=$K36,AD$5&lt;=$L36),IF(NETWORKDAYS($K36,AD$5,休日)=1,"○",IF(NETWORKDAYS(AD$5,$L36,休日)=1,"▶","→")),"")))</f>
        <v/>
      </c>
      <c r="AE36" s="116">
        <f>IF(OR($K36="",$L36=""),"",IF(NETWORKDAYS(AE$5,AE$5,休日)=0,"",IF(AND(AE$5&gt;=$K36,AE$5&lt;=$L36),IF(NETWORKDAYS($K36,AE$5,休日)=1,"○",IF(NETWORKDAYS(AE$5,$L36,休日)=1,"▶","→")),"")))</f>
        <v/>
      </c>
      <c r="AF36" s="116">
        <f>IF(OR($K36="",$L36=""),"",IF(NETWORKDAYS(AF$5,AF$5,休日)=0,"",IF(AND(AF$5&gt;=$K36,AF$5&lt;=$L36),IF(NETWORKDAYS($K36,AF$5,休日)=1,"○",IF(NETWORKDAYS(AF$5,$L36,休日)=1,"▶","→")),"")))</f>
        <v/>
      </c>
      <c r="AG36" s="116">
        <f>IF(OR($K36="",$L36=""),"",IF(NETWORKDAYS(AG$5,AG$5,休日)=0,"",IF(AND(AG$5&gt;=$K36,AG$5&lt;=$L36),IF(NETWORKDAYS($K36,AG$5,休日)=1,"○",IF(NETWORKDAYS(AG$5,$L36,休日)=1,"▶","→")),"")))</f>
        <v/>
      </c>
      <c r="AH36" s="116">
        <f>IF(OR($K36="",$L36=""),"",IF(NETWORKDAYS(AH$5,AH$5,休日)=0,"",IF(AND(AH$5&gt;=$K36,AH$5&lt;=$L36),IF(NETWORKDAYS($K36,AH$5,休日)=1,"○",IF(NETWORKDAYS(AH$5,$L36,休日)=1,"▶","→")),"")))</f>
        <v/>
      </c>
      <c r="AI36" s="116">
        <f>IF(OR($K36="",$L36=""),"",IF(NETWORKDAYS(AI$5,AI$5,休日)=0,"",IF(AND(AI$5&gt;=$K36,AI$5&lt;=$L36),IF(NETWORKDAYS($K36,AI$5,休日)=1,"○",IF(NETWORKDAYS(AI$5,$L36,休日)=1,"▶","→")),"")))</f>
        <v/>
      </c>
      <c r="AJ36" s="116">
        <f>IF(OR($K36="",$L36=""),"",IF(NETWORKDAYS(AJ$5,AJ$5,休日)=0,"",IF(AND(AJ$5&gt;=$K36,AJ$5&lt;=$L36),IF(NETWORKDAYS($K36,AJ$5,休日)=1,"○",IF(NETWORKDAYS(AJ$5,$L36,休日)=1,"▶","→")),"")))</f>
        <v/>
      </c>
      <c r="AK36" s="116">
        <f>IF(OR($K36="",$L36=""),"",IF(NETWORKDAYS(AK$5,AK$5,休日)=0,"",IF(AND(AK$5&gt;=$K36,AK$5&lt;=$L36),IF(NETWORKDAYS($K36,AK$5,休日)=1,"○",IF(NETWORKDAYS(AK$5,$L36,休日)=1,"▶","→")),"")))</f>
        <v/>
      </c>
      <c r="AL36" s="116">
        <f>IF(OR($K36="",$L36=""),"",IF(NETWORKDAYS(AL$5,AL$5,休日)=0,"",IF(AND(AL$5&gt;=$K36,AL$5&lt;=$L36),IF(NETWORKDAYS($K36,AL$5,休日)=1,"○",IF(NETWORKDAYS(AL$5,$L36,休日)=1,"▶","→")),"")))</f>
        <v/>
      </c>
      <c r="AM36" s="116">
        <f>IF(OR($K36="",$L36=""),"",IF(NETWORKDAYS(AM$5,AM$5,休日)=0,"",IF(AND(AM$5&gt;=$K36,AM$5&lt;=$L36),IF(NETWORKDAYS($K36,AM$5,休日)=1,"○",IF(NETWORKDAYS(AM$5,$L36,休日)=1,"▶","→")),"")))</f>
        <v/>
      </c>
      <c r="AN36" s="116">
        <f>IF(OR($K36="",$L36=""),"",IF(NETWORKDAYS(AN$5,AN$5,休日)=0,"",IF(AND(AN$5&gt;=$K36,AN$5&lt;=$L36),IF(NETWORKDAYS($K36,AN$5,休日)=1,"○",IF(NETWORKDAYS(AN$5,$L36,休日)=1,"▶","→")),"")))</f>
        <v/>
      </c>
      <c r="AO36" s="116">
        <f>IF(OR($K36="",$L36=""),"",IF(NETWORKDAYS(AO$5,AO$5,休日)=0,"",IF(AND(AO$5&gt;=$K36,AO$5&lt;=$L36),IF(NETWORKDAYS($K36,AO$5,休日)=1,"○",IF(NETWORKDAYS(AO$5,$L36,休日)=1,"▶","→")),"")))</f>
        <v/>
      </c>
      <c r="AP36" s="116">
        <f>IF(OR($K36="",$L36=""),"",IF(NETWORKDAYS(AP$5,AP$5,休日)=0,"",IF(AND(AP$5&gt;=$K36,AP$5&lt;=$L36),IF(NETWORKDAYS($K36,AP$5,休日)=1,"○",IF(NETWORKDAYS(AP$5,$L36,休日)=1,"▶","→")),"")))</f>
        <v/>
      </c>
      <c r="AQ36" s="116">
        <f>IF(OR($K36="",$L36=""),"",IF(NETWORKDAYS(AQ$5,AQ$5,休日)=0,"",IF(AND(AQ$5&gt;=$K36,AQ$5&lt;=$L36),IF(NETWORKDAYS($K36,AQ$5,休日)=1,"○",IF(NETWORKDAYS(AQ$5,$L36,休日)=1,"▶","→")),"")))</f>
        <v/>
      </c>
      <c r="AR36" s="116">
        <f>IF(OR($K36="",$L36=""),"",IF(NETWORKDAYS(AR$5,AR$5,休日)=0,"",IF(AND(AR$5&gt;=$K36,AR$5&lt;=$L36),IF(NETWORKDAYS($K36,AR$5,休日)=1,"○",IF(NETWORKDAYS(AR$5,$L36,休日)=1,"▶","→")),"")))</f>
        <v/>
      </c>
      <c r="AS36" s="116">
        <f>IF(OR($K36="",$L36=""),"",IF(NETWORKDAYS(AS$5,AS$5,休日)=0,"",IF(AND(AS$5&gt;=$K36,AS$5&lt;=$L36),IF(NETWORKDAYS($K36,AS$5,休日)=1,"○",IF(NETWORKDAYS(AS$5,$L36,休日)=1,"▶","→")),"")))</f>
        <v/>
      </c>
      <c r="AT36" s="116">
        <f>IF(OR($K36="",$L36=""),"",IF(NETWORKDAYS(AT$5,AT$5,休日)=0,"",IF(AND(AT$5&gt;=$K36,AT$5&lt;=$L36),IF(NETWORKDAYS($K36,AT$5,休日)=1,"○",IF(NETWORKDAYS(AT$5,$L36,休日)=1,"▶","→")),"")))</f>
        <v/>
      </c>
      <c r="AU36" s="116">
        <f>IF(OR($K36="",$L36=""),"",IF(NETWORKDAYS(AU$5,AU$5,休日)=0,"",IF(AND(AU$5&gt;=$K36,AU$5&lt;=$L36),IF(NETWORKDAYS($K36,AU$5,休日)=1,"○",IF(NETWORKDAYS(AU$5,$L36,休日)=1,"▶","→")),"")))</f>
        <v/>
      </c>
      <c r="AV36" s="116">
        <f>IF(OR($K36="",$L36=""),"",IF(NETWORKDAYS(AV$5,AV$5,休日)=0,"",IF(AND(AV$5&gt;=$K36,AV$5&lt;=$L36),IF(NETWORKDAYS($K36,AV$5,休日)=1,"○",IF(NETWORKDAYS(AV$5,$L36,休日)=1,"▶","→")),"")))</f>
        <v/>
      </c>
      <c r="AW36" s="116">
        <f>IF(OR($K36="",$L36=""),"",IF(NETWORKDAYS(AW$5,AW$5,休日)=0,"",IF(AND(AW$5&gt;=$K36,AW$5&lt;=$L36),IF(NETWORKDAYS($K36,AW$5,休日)=1,"○",IF(NETWORKDAYS(AW$5,$L36,休日)=1,"▶","→")),"")))</f>
        <v/>
      </c>
      <c r="AX36" s="116">
        <f>IF(OR($K36="",$L36=""),"",IF(NETWORKDAYS(AX$5,AX$5,休日)=0,"",IF(AND(AX$5&gt;=$K36,AX$5&lt;=$L36),IF(NETWORKDAYS($K36,AX$5,休日)=1,"○",IF(NETWORKDAYS(AX$5,$L36,休日)=1,"▶","→")),"")))</f>
        <v/>
      </c>
      <c r="AY36" s="116">
        <f>IF(OR($K36="",$L36=""),"",IF(NETWORKDAYS(AY$5,AY$5,休日)=0,"",IF(AND(AY$5&gt;=$K36,AY$5&lt;=$L36),IF(NETWORKDAYS($K36,AY$5,休日)=1,"○",IF(NETWORKDAYS(AY$5,$L36,休日)=1,"▶","→")),"")))</f>
        <v/>
      </c>
      <c r="AZ36" s="116">
        <f>IF(OR($K36="",$L36=""),"",IF(NETWORKDAYS(AZ$5,AZ$5,休日)=0,"",IF(AND(AZ$5&gt;=$K36,AZ$5&lt;=$L36),IF(NETWORKDAYS($K36,AZ$5,休日)=1,"○",IF(NETWORKDAYS(AZ$5,$L36,休日)=1,"▶","→")),"")))</f>
        <v/>
      </c>
      <c r="BA36" s="116">
        <f>IF(OR($K36="",$L36=""),"",IF(NETWORKDAYS(BA$5,BA$5,休日)=0,"",IF(AND(BA$5&gt;=$K36,BA$5&lt;=$L36),IF(NETWORKDAYS($K36,BA$5,休日)=1,"○",IF(NETWORKDAYS(BA$5,$L36,休日)=1,"▶","→")),"")))</f>
        <v/>
      </c>
      <c r="BB36" s="116">
        <f>IF(OR($K36="",$L36=""),"",IF(NETWORKDAYS(BB$5,BB$5,休日)=0,"",IF(AND(BB$5&gt;=$K36,BB$5&lt;=$L36),IF(NETWORKDAYS($K36,BB$5,休日)=1,"○",IF(NETWORKDAYS(BB$5,$L36,休日)=1,"▶","→")),"")))</f>
        <v/>
      </c>
      <c r="BC36" s="116">
        <f>IF(OR($K36="",$L36=""),"",IF(NETWORKDAYS(BC$5,BC$5,休日)=0,"",IF(AND(BC$5&gt;=$K36,BC$5&lt;=$L36),IF(NETWORKDAYS($K36,BC$5,休日)=1,"○",IF(NETWORKDAYS(BC$5,$L36,休日)=1,"▶","→")),"")))</f>
        <v/>
      </c>
      <c r="BD36" s="116">
        <f>IF(OR($K36="",$L36=""),"",IF(NETWORKDAYS(BD$5,BD$5,休日)=0,"",IF(AND(BD$5&gt;=$K36,BD$5&lt;=$L36),IF(NETWORKDAYS($K36,BD$5,休日)=1,"○",IF(NETWORKDAYS(BD$5,$L36,休日)=1,"▶","→")),"")))</f>
        <v/>
      </c>
      <c r="BE36" s="116">
        <f>IF(OR($K36="",$L36=""),"",IF(NETWORKDAYS(BE$5,BE$5,休日)=0,"",IF(AND(BE$5&gt;=$K36,BE$5&lt;=$L36),IF(NETWORKDAYS($K36,BE$5,休日)=1,"○",IF(NETWORKDAYS(BE$5,$L36,休日)=1,"▶","→")),"")))</f>
        <v/>
      </c>
      <c r="BF36" s="116">
        <f>IF(OR($K36="",$L36=""),"",IF(NETWORKDAYS(BF$5,BF$5,休日)=0,"",IF(AND(BF$5&gt;=$K36,BF$5&lt;=$L36),IF(NETWORKDAYS($K36,BF$5,休日)=1,"○",IF(NETWORKDAYS(BF$5,$L36,休日)=1,"▶","→")),"")))</f>
        <v/>
      </c>
      <c r="BG36" s="116">
        <f>IF(OR($K36="",$L36=""),"",IF(NETWORKDAYS(BG$5,BG$5,休日)=0,"",IF(AND(BG$5&gt;=$K36,BG$5&lt;=$L36),IF(NETWORKDAYS($K36,BG$5,休日)=1,"○",IF(NETWORKDAYS(BG$5,$L36,休日)=1,"▶","→")),"")))</f>
        <v/>
      </c>
      <c r="BH36" s="116">
        <f>IF(OR($K36="",$L36=""),"",IF(NETWORKDAYS(BH$5,BH$5,休日)=0,"",IF(AND(BH$5&gt;=$K36,BH$5&lt;=$L36),IF(NETWORKDAYS($K36,BH$5,休日)=1,"○",IF(NETWORKDAYS(BH$5,$L36,休日)=1,"▶","→")),"")))</f>
        <v/>
      </c>
      <c r="BI36" s="116">
        <f>IF(OR($K36="",$L36=""),"",IF(NETWORKDAYS(BI$5,BI$5,休日)=0,"",IF(AND(BI$5&gt;=$K36,BI$5&lt;=$L36),IF(NETWORKDAYS($K36,BI$5,休日)=1,"○",IF(NETWORKDAYS(BI$5,$L36,休日)=1,"▶","→")),"")))</f>
        <v/>
      </c>
      <c r="BJ36" s="116">
        <f>IF(OR($K36="",$L36=""),"",IF(NETWORKDAYS(BJ$5,BJ$5,休日)=0,"",IF(AND(BJ$5&gt;=$K36,BJ$5&lt;=$L36),IF(NETWORKDAYS($K36,BJ$5,休日)=1,"○",IF(NETWORKDAYS(BJ$5,$L36,休日)=1,"▶","→")),"")))</f>
        <v/>
      </c>
      <c r="BK36" s="116">
        <f>IF(OR($K36="",$L36=""),"",IF(NETWORKDAYS(BK$5,BK$5,休日)=0,"",IF(AND(BK$5&gt;=$K36,BK$5&lt;=$L36),IF(NETWORKDAYS($K36,BK$5,休日)=1,"○",IF(NETWORKDAYS(BK$5,$L36,休日)=1,"▶","→")),"")))</f>
        <v/>
      </c>
      <c r="BL36" s="116">
        <f>IF(OR($K36="",$L36=""),"",IF(NETWORKDAYS(BL$5,BL$5,休日)=0,"",IF(AND(BL$5&gt;=$K36,BL$5&lt;=$L36),IF(NETWORKDAYS($K36,BL$5,休日)=1,"○",IF(NETWORKDAYS(BL$5,$L36,休日)=1,"▶","→")),"")))</f>
        <v/>
      </c>
      <c r="BM36" s="116">
        <f>IF(OR($K36="",$L36=""),"",IF(NETWORKDAYS(BM$5,BM$5,休日)=0,"",IF(AND(BM$5&gt;=$K36,BM$5&lt;=$L36),IF(NETWORKDAYS($K36,BM$5,休日)=1,"○",IF(NETWORKDAYS(BM$5,$L36,休日)=1,"▶","→")),"")))</f>
        <v/>
      </c>
      <c r="BN36" s="116">
        <f>IF(OR($K36="",$L36=""),"",IF(NETWORKDAYS(BN$5,BN$5,休日)=0,"",IF(AND(BN$5&gt;=$K36,BN$5&lt;=$L36),IF(NETWORKDAYS($K36,BN$5,休日)=1,"○",IF(NETWORKDAYS(BN$5,$L36,休日)=1,"▶","→")),"")))</f>
        <v/>
      </c>
      <c r="BO36" s="116">
        <f>IF(OR($K36="",$L36=""),"",IF(NETWORKDAYS(BO$5,BO$5,休日)=0,"",IF(AND(BO$5&gt;=$K36,BO$5&lt;=$L36),IF(NETWORKDAYS($K36,BO$5,休日)=1,"○",IF(NETWORKDAYS(BO$5,$L36,休日)=1,"▶","→")),"")))</f>
        <v/>
      </c>
      <c r="BP36" s="116">
        <f>IF(OR($K36="",$L36=""),"",IF(NETWORKDAYS(BP$5,BP$5,休日)=0,"",IF(AND(BP$5&gt;=$K36,BP$5&lt;=$L36),IF(NETWORKDAYS($K36,BP$5,休日)=1,"○",IF(NETWORKDAYS(BP$5,$L36,休日)=1,"▶","→")),"")))</f>
        <v/>
      </c>
      <c r="BQ36" s="116">
        <f>IF(OR($K36="",$L36=""),"",IF(NETWORKDAYS(BQ$5,BQ$5,休日)=0,"",IF(AND(BQ$5&gt;=$K36,BQ$5&lt;=$L36),IF(NETWORKDAYS($K36,BQ$5,休日)=1,"○",IF(NETWORKDAYS(BQ$5,$L36,休日)=1,"▶","→")),"")))</f>
        <v/>
      </c>
      <c r="BR36" s="116">
        <f>IF(OR($K36="",$L36=""),"",IF(NETWORKDAYS(BR$5,BR$5,休日)=0,"",IF(AND(BR$5&gt;=$K36,BR$5&lt;=$L36),IF(NETWORKDAYS($K36,BR$5,休日)=1,"○",IF(NETWORKDAYS(BR$5,$L36,休日)=1,"▶","→")),"")))</f>
        <v/>
      </c>
      <c r="BS36" s="116">
        <f>IF(OR($K36="",$L36=""),"",IF(NETWORKDAYS(BS$5,BS$5,休日)=0,"",IF(AND(BS$5&gt;=$K36,BS$5&lt;=$L36),IF(NETWORKDAYS($K36,BS$5,休日)=1,"○",IF(NETWORKDAYS(BS$5,$L36,休日)=1,"▶","→")),"")))</f>
        <v/>
      </c>
      <c r="BT36" s="116">
        <f>IF(OR($K36="",$L36=""),"",IF(NETWORKDAYS(BT$5,BT$5,休日)=0,"",IF(AND(BT$5&gt;=$K36,BT$5&lt;=$L36),IF(NETWORKDAYS($K36,BT$5,休日)=1,"○",IF(NETWORKDAYS(BT$5,$L36,休日)=1,"▶","→")),"")))</f>
        <v/>
      </c>
      <c r="BU36" s="116">
        <f>IF(OR($K36="",$L36=""),"",IF(NETWORKDAYS(BU$5,BU$5,休日)=0,"",IF(AND(BU$5&gt;=$K36,BU$5&lt;=$L36),IF(NETWORKDAYS($K36,BU$5,休日)=1,"○",IF(NETWORKDAYS(BU$5,$L36,休日)=1,"▶","→")),"")))</f>
        <v/>
      </c>
      <c r="BV36" s="116">
        <f>IF(OR($K36="",$L36=""),"",IF(NETWORKDAYS(BV$5,BV$5,休日)=0,"",IF(AND(BV$5&gt;=$K36,BV$5&lt;=$L36),IF(NETWORKDAYS($K36,BV$5,休日)=1,"○",IF(NETWORKDAYS(BV$5,$L36,休日)=1,"▶","→")),"")))</f>
        <v/>
      </c>
      <c r="BW36" s="116">
        <f>IF(OR($K36="",$L36=""),"",IF(NETWORKDAYS(BW$5,BW$5,休日)=0,"",IF(AND(BW$5&gt;=$K36,BW$5&lt;=$L36),IF(NETWORKDAYS($K36,BW$5,休日)=1,"○",IF(NETWORKDAYS(BW$5,$L36,休日)=1,"▶","→")),"")))</f>
        <v/>
      </c>
      <c r="BX36" s="116">
        <f>IF(OR($K36="",$L36=""),"",IF(NETWORKDAYS(BX$5,BX$5,休日)=0,"",IF(AND(BX$5&gt;=$K36,BX$5&lt;=$L36),IF(NETWORKDAYS($K36,BX$5,休日)=1,"○",IF(NETWORKDAYS(BX$5,$L36,休日)=1,"▶","→")),"")))</f>
        <v/>
      </c>
      <c r="BY36" s="116">
        <f>IF(OR($K36="",$L36=""),"",IF(NETWORKDAYS(BY$5,BY$5,休日)=0,"",IF(AND(BY$5&gt;=$K36,BY$5&lt;=$L36),IF(NETWORKDAYS($K36,BY$5,休日)=1,"○",IF(NETWORKDAYS(BY$5,$L36,休日)=1,"▶","→")),"")))</f>
        <v/>
      </c>
      <c r="BZ36" s="116">
        <f>IF(OR($K36="",$L36=""),"",IF(NETWORKDAYS(BZ$5,BZ$5,休日)=0,"",IF(AND(BZ$5&gt;=$K36,BZ$5&lt;=$L36),IF(NETWORKDAYS($K36,BZ$5,休日)=1,"○",IF(NETWORKDAYS(BZ$5,$L36,休日)=1,"▶","→")),"")))</f>
        <v/>
      </c>
      <c r="CA36" s="116">
        <f>IF(OR($K36="",$L36=""),"",IF(NETWORKDAYS(CA$5,CA$5,休日)=0,"",IF(AND(CA$5&gt;=$K36,CA$5&lt;=$L36),IF(NETWORKDAYS($K36,CA$5,休日)=1,"○",IF(NETWORKDAYS(CA$5,$L36,休日)=1,"▶","→")),"")))</f>
        <v/>
      </c>
      <c r="CB36" s="116">
        <f>IF(OR($K36="",$L36=""),"",IF(NETWORKDAYS(CB$5,CB$5,休日)=0,"",IF(AND(CB$5&gt;=$K36,CB$5&lt;=$L36),IF(NETWORKDAYS($K36,CB$5,休日)=1,"○",IF(NETWORKDAYS(CB$5,$L36,休日)=1,"▶","→")),"")))</f>
        <v/>
      </c>
      <c r="CC36" s="116">
        <f>IF(OR($K36="",$L36=""),"",IF(NETWORKDAYS(CC$5,CC$5,休日)=0,"",IF(AND(CC$5&gt;=$K36,CC$5&lt;=$L36),IF(NETWORKDAYS($K36,CC$5,休日)=1,"○",IF(NETWORKDAYS(CC$5,$L36,休日)=1,"▶","→")),"")))</f>
        <v/>
      </c>
      <c r="CD36" s="116">
        <f>IF(OR($K36="",$L36=""),"",IF(NETWORKDAYS(CD$5,CD$5,休日)=0,"",IF(AND(CD$5&gt;=$K36,CD$5&lt;=$L36),IF(NETWORKDAYS($K36,CD$5,休日)=1,"○",IF(NETWORKDAYS(CD$5,$L36,休日)=1,"▶","→")),"")))</f>
        <v/>
      </c>
      <c r="CE36" s="116">
        <f>IF(OR($K36="",$L36=""),"",IF(NETWORKDAYS(CE$5,CE$5,休日)=0,"",IF(AND(CE$5&gt;=$K36,CE$5&lt;=$L36),IF(NETWORKDAYS($K36,CE$5,休日)=1,"○",IF(NETWORKDAYS(CE$5,$L36,休日)=1,"▶","→")),"")))</f>
        <v/>
      </c>
      <c r="CF36" s="116">
        <f>IF(OR($K36="",$L36=""),"",IF(NETWORKDAYS(CF$5,CF$5,休日)=0,"",IF(AND(CF$5&gt;=$K36,CF$5&lt;=$L36),IF(NETWORKDAYS($K36,CF$5,休日)=1,"○",IF(NETWORKDAYS(CF$5,$L36,休日)=1,"▶","→")),"")))</f>
        <v/>
      </c>
      <c r="CG36" s="116">
        <f>IF(OR($K36="",$L36=""),"",IF(NETWORKDAYS(CG$5,CG$5,休日)=0,"",IF(AND(CG$5&gt;=$K36,CG$5&lt;=$L36),IF(NETWORKDAYS($K36,CG$5,休日)=1,"○",IF(NETWORKDAYS(CG$5,$L36,休日)=1,"▶","→")),"")))</f>
        <v/>
      </c>
      <c r="CH36" s="116">
        <f>IF(OR($K36="",$L36=""),"",IF(NETWORKDAYS(CH$5,CH$5,休日)=0,"",IF(AND(CH$5&gt;=$K36,CH$5&lt;=$L36),IF(NETWORKDAYS($K36,CH$5,休日)=1,"○",IF(NETWORKDAYS(CH$5,$L36,休日)=1,"▶","→")),"")))</f>
        <v/>
      </c>
      <c r="CI36" s="116">
        <f>IF(OR($K36="",$L36=""),"",IF(NETWORKDAYS(CI$5,CI$5,休日)=0,"",IF(AND(CI$5&gt;=$K36,CI$5&lt;=$L36),IF(NETWORKDAYS($K36,CI$5,休日)=1,"○",IF(NETWORKDAYS(CI$5,$L36,休日)=1,"▶","→")),"")))</f>
        <v/>
      </c>
      <c r="CJ36" s="116">
        <f>IF(OR($K36="",$L36=""),"",IF(NETWORKDAYS(CJ$5,CJ$5,休日)=0,"",IF(AND(CJ$5&gt;=$K36,CJ$5&lt;=$L36),IF(NETWORKDAYS($K36,CJ$5,休日)=1,"○",IF(NETWORKDAYS(CJ$5,$L36,休日)=1,"▶","→")),"")))</f>
        <v/>
      </c>
      <c r="CK36" s="116">
        <f>IF(OR($K36="",$L36=""),"",IF(NETWORKDAYS(CK$5,CK$5,休日)=0,"",IF(AND(CK$5&gt;=$K36,CK$5&lt;=$L36),IF(NETWORKDAYS($K36,CK$5,休日)=1,"○",IF(NETWORKDAYS(CK$5,$L36,休日)=1,"▶","→")),"")))</f>
        <v/>
      </c>
      <c r="CL36" s="116">
        <f>IF(OR($K36="",$L36=""),"",IF(NETWORKDAYS(CL$5,CL$5,休日)=0,"",IF(AND(CL$5&gt;=$K36,CL$5&lt;=$L36),IF(NETWORKDAYS($K36,CL$5,休日)=1,"○",IF(NETWORKDAYS(CL$5,$L36,休日)=1,"▶","→")),"")))</f>
        <v/>
      </c>
      <c r="CM36" s="116">
        <f>IF(OR($K36="",$L36=""),"",IF(NETWORKDAYS(CM$5,CM$5,休日)=0,"",IF(AND(CM$5&gt;=$K36,CM$5&lt;=$L36),IF(NETWORKDAYS($K36,CM$5,休日)=1,"○",IF(NETWORKDAYS(CM$5,$L36,休日)=1,"▶","→")),"")))</f>
        <v/>
      </c>
      <c r="CN36" s="116">
        <f>IF(OR($K36="",$L36=""),"",IF(NETWORKDAYS(CN$5,CN$5,休日)=0,"",IF(AND(CN$5&gt;=$K36,CN$5&lt;=$L36),IF(NETWORKDAYS($K36,CN$5,休日)=1,"○",IF(NETWORKDAYS(CN$5,$L36,休日)=1,"▶","→")),"")))</f>
        <v/>
      </c>
      <c r="CO36" s="116">
        <f>IF(OR($K36="",$L36=""),"",IF(NETWORKDAYS(CO$5,CO$5,休日)=0,"",IF(AND(CO$5&gt;=$K36,CO$5&lt;=$L36),IF(NETWORKDAYS($K36,CO$5,休日)=1,"○",IF(NETWORKDAYS(CO$5,$L36,休日)=1,"▶","→")),"")))</f>
        <v/>
      </c>
    </row>
    <row r="37" ht="32" customHeight="1" s="98">
      <c r="A37" s="5" t="n"/>
      <c r="B37" s="100" t="inlineStr">
        <is>
          <t>3.1.4</t>
        </is>
      </c>
      <c r="C37" s="101" t="inlineStr">
        <is>
          <t>開発</t>
        </is>
      </c>
      <c r="D37" s="101" t="inlineStr">
        <is>
          <t>Layer③</t>
        </is>
      </c>
      <c r="E37" s="101" t="inlineStr">
        <is>
          <t>生鮮発注勧告（翌日以降分）</t>
        </is>
      </c>
      <c r="F37" s="101" t="inlineStr">
        <is>
          <t>生鮮発注勧告（翌日以降分）</t>
        </is>
      </c>
      <c r="G37" s="100" t="inlineStr">
        <is>
          <t>新規</t>
        </is>
      </c>
      <c r="H37" s="100" t="inlineStr">
        <is>
          <t>未定</t>
        </is>
      </c>
      <c r="I37" s="113" t="n">
        <v>1</v>
      </c>
      <c r="J37" s="100" t="inlineStr">
        <is>
          <t>－</t>
        </is>
      </c>
      <c r="K37" s="114" t="n">
        <v>46336</v>
      </c>
      <c r="L37" s="114" t="n">
        <v>46374</v>
      </c>
      <c r="M37" s="114" t="n"/>
      <c r="N37" s="114" t="n"/>
      <c r="O37" s="100" t="inlineStr">
        <is>
          <t>未着手</t>
        </is>
      </c>
      <c r="P37" s="115" t="n">
        <v>0</v>
      </c>
      <c r="Q37" s="100" t="inlineStr">
        <is>
          <t>G③</t>
        </is>
      </c>
      <c r="R37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37" s="116">
        <f>IF(OR($K37="",$L37=""),"",IF(NETWORKDAYS(S$5,S$5,休日)=0,"",IF(AND(S$5&gt;=$K37,S$5&lt;=$L37),IF(NETWORKDAYS($K37,S$5,休日)=1,"○",IF(NETWORKDAYS(S$5,$L37,休日)=1,"▶","→")),"")))</f>
        <v/>
      </c>
      <c r="T37" s="116">
        <f>IF(OR($K37="",$L37=""),"",IF(NETWORKDAYS(T$5,T$5,休日)=0,"",IF(AND(T$5&gt;=$K37,T$5&lt;=$L37),IF(NETWORKDAYS($K37,T$5,休日)=1,"○",IF(NETWORKDAYS(T$5,$L37,休日)=1,"▶","→")),"")))</f>
        <v/>
      </c>
      <c r="U37" s="116">
        <f>IF(OR($K37="",$L37=""),"",IF(NETWORKDAYS(U$5,U$5,休日)=0,"",IF(AND(U$5&gt;=$K37,U$5&lt;=$L37),IF(NETWORKDAYS($K37,U$5,休日)=1,"○",IF(NETWORKDAYS(U$5,$L37,休日)=1,"▶","→")),"")))</f>
        <v/>
      </c>
      <c r="V37" s="116">
        <f>IF(OR($K37="",$L37=""),"",IF(NETWORKDAYS(V$5,V$5,休日)=0,"",IF(AND(V$5&gt;=$K37,V$5&lt;=$L37),IF(NETWORKDAYS($K37,V$5,休日)=1,"○",IF(NETWORKDAYS(V$5,$L37,休日)=1,"▶","→")),"")))</f>
        <v/>
      </c>
      <c r="W37" s="116">
        <f>IF(OR($K37="",$L37=""),"",IF(NETWORKDAYS(W$5,W$5,休日)=0,"",IF(AND(W$5&gt;=$K37,W$5&lt;=$L37),IF(NETWORKDAYS($K37,W$5,休日)=1,"○",IF(NETWORKDAYS(W$5,$L37,休日)=1,"▶","→")),"")))</f>
        <v/>
      </c>
      <c r="X37" s="116">
        <f>IF(OR($K37="",$L37=""),"",IF(NETWORKDAYS(X$5,X$5,休日)=0,"",IF(AND(X$5&gt;=$K37,X$5&lt;=$L37),IF(NETWORKDAYS($K37,X$5,休日)=1,"○",IF(NETWORKDAYS(X$5,$L37,休日)=1,"▶","→")),"")))</f>
        <v/>
      </c>
      <c r="Y37" s="116">
        <f>IF(OR($K37="",$L37=""),"",IF(NETWORKDAYS(Y$5,Y$5,休日)=0,"",IF(AND(Y$5&gt;=$K37,Y$5&lt;=$L37),IF(NETWORKDAYS($K37,Y$5,休日)=1,"○",IF(NETWORKDAYS(Y$5,$L37,休日)=1,"▶","→")),"")))</f>
        <v/>
      </c>
      <c r="Z37" s="116">
        <f>IF(OR($K37="",$L37=""),"",IF(NETWORKDAYS(Z$5,Z$5,休日)=0,"",IF(AND(Z$5&gt;=$K37,Z$5&lt;=$L37),IF(NETWORKDAYS($K37,Z$5,休日)=1,"○",IF(NETWORKDAYS(Z$5,$L37,休日)=1,"▶","→")),"")))</f>
        <v/>
      </c>
      <c r="AA37" s="116">
        <f>IF(OR($K37="",$L37=""),"",IF(NETWORKDAYS(AA$5,AA$5,休日)=0,"",IF(AND(AA$5&gt;=$K37,AA$5&lt;=$L37),IF(NETWORKDAYS($K37,AA$5,休日)=1,"○",IF(NETWORKDAYS(AA$5,$L37,休日)=1,"▶","→")),"")))</f>
        <v/>
      </c>
      <c r="AB37" s="116">
        <f>IF(OR($K37="",$L37=""),"",IF(NETWORKDAYS(AB$5,AB$5,休日)=0,"",IF(AND(AB$5&gt;=$K37,AB$5&lt;=$L37),IF(NETWORKDAYS($K37,AB$5,休日)=1,"○",IF(NETWORKDAYS(AB$5,$L37,休日)=1,"▶","→")),"")))</f>
        <v/>
      </c>
      <c r="AC37" s="116">
        <f>IF(OR($K37="",$L37=""),"",IF(NETWORKDAYS(AC$5,AC$5,休日)=0,"",IF(AND(AC$5&gt;=$K37,AC$5&lt;=$L37),IF(NETWORKDAYS($K37,AC$5,休日)=1,"○",IF(NETWORKDAYS(AC$5,$L37,休日)=1,"▶","→")),"")))</f>
        <v/>
      </c>
      <c r="AD37" s="116">
        <f>IF(OR($K37="",$L37=""),"",IF(NETWORKDAYS(AD$5,AD$5,休日)=0,"",IF(AND(AD$5&gt;=$K37,AD$5&lt;=$L37),IF(NETWORKDAYS($K37,AD$5,休日)=1,"○",IF(NETWORKDAYS(AD$5,$L37,休日)=1,"▶","→")),"")))</f>
        <v/>
      </c>
      <c r="AE37" s="116">
        <f>IF(OR($K37="",$L37=""),"",IF(NETWORKDAYS(AE$5,AE$5,休日)=0,"",IF(AND(AE$5&gt;=$K37,AE$5&lt;=$L37),IF(NETWORKDAYS($K37,AE$5,休日)=1,"○",IF(NETWORKDAYS(AE$5,$L37,休日)=1,"▶","→")),"")))</f>
        <v/>
      </c>
      <c r="AF37" s="116">
        <f>IF(OR($K37="",$L37=""),"",IF(NETWORKDAYS(AF$5,AF$5,休日)=0,"",IF(AND(AF$5&gt;=$K37,AF$5&lt;=$L37),IF(NETWORKDAYS($K37,AF$5,休日)=1,"○",IF(NETWORKDAYS(AF$5,$L37,休日)=1,"▶","→")),"")))</f>
        <v/>
      </c>
      <c r="AG37" s="116">
        <f>IF(OR($K37="",$L37=""),"",IF(NETWORKDAYS(AG$5,AG$5,休日)=0,"",IF(AND(AG$5&gt;=$K37,AG$5&lt;=$L37),IF(NETWORKDAYS($K37,AG$5,休日)=1,"○",IF(NETWORKDAYS(AG$5,$L37,休日)=1,"▶","→")),"")))</f>
        <v/>
      </c>
      <c r="AH37" s="116">
        <f>IF(OR($K37="",$L37=""),"",IF(NETWORKDAYS(AH$5,AH$5,休日)=0,"",IF(AND(AH$5&gt;=$K37,AH$5&lt;=$L37),IF(NETWORKDAYS($K37,AH$5,休日)=1,"○",IF(NETWORKDAYS(AH$5,$L37,休日)=1,"▶","→")),"")))</f>
        <v/>
      </c>
      <c r="AI37" s="116">
        <f>IF(OR($K37="",$L37=""),"",IF(NETWORKDAYS(AI$5,AI$5,休日)=0,"",IF(AND(AI$5&gt;=$K37,AI$5&lt;=$L37),IF(NETWORKDAYS($K37,AI$5,休日)=1,"○",IF(NETWORKDAYS(AI$5,$L37,休日)=1,"▶","→")),"")))</f>
        <v/>
      </c>
      <c r="AJ37" s="116">
        <f>IF(OR($K37="",$L37=""),"",IF(NETWORKDAYS(AJ$5,AJ$5,休日)=0,"",IF(AND(AJ$5&gt;=$K37,AJ$5&lt;=$L37),IF(NETWORKDAYS($K37,AJ$5,休日)=1,"○",IF(NETWORKDAYS(AJ$5,$L37,休日)=1,"▶","→")),"")))</f>
        <v/>
      </c>
      <c r="AK37" s="116">
        <f>IF(OR($K37="",$L37=""),"",IF(NETWORKDAYS(AK$5,AK$5,休日)=0,"",IF(AND(AK$5&gt;=$K37,AK$5&lt;=$L37),IF(NETWORKDAYS($K37,AK$5,休日)=1,"○",IF(NETWORKDAYS(AK$5,$L37,休日)=1,"▶","→")),"")))</f>
        <v/>
      </c>
      <c r="AL37" s="116">
        <f>IF(OR($K37="",$L37=""),"",IF(NETWORKDAYS(AL$5,AL$5,休日)=0,"",IF(AND(AL$5&gt;=$K37,AL$5&lt;=$L37),IF(NETWORKDAYS($K37,AL$5,休日)=1,"○",IF(NETWORKDAYS(AL$5,$L37,休日)=1,"▶","→")),"")))</f>
        <v/>
      </c>
      <c r="AM37" s="116">
        <f>IF(OR($K37="",$L37=""),"",IF(NETWORKDAYS(AM$5,AM$5,休日)=0,"",IF(AND(AM$5&gt;=$K37,AM$5&lt;=$L37),IF(NETWORKDAYS($K37,AM$5,休日)=1,"○",IF(NETWORKDAYS(AM$5,$L37,休日)=1,"▶","→")),"")))</f>
        <v/>
      </c>
      <c r="AN37" s="116">
        <f>IF(OR($K37="",$L37=""),"",IF(NETWORKDAYS(AN$5,AN$5,休日)=0,"",IF(AND(AN$5&gt;=$K37,AN$5&lt;=$L37),IF(NETWORKDAYS($K37,AN$5,休日)=1,"○",IF(NETWORKDAYS(AN$5,$L37,休日)=1,"▶","→")),"")))</f>
        <v/>
      </c>
      <c r="AO37" s="116">
        <f>IF(OR($K37="",$L37=""),"",IF(NETWORKDAYS(AO$5,AO$5,休日)=0,"",IF(AND(AO$5&gt;=$K37,AO$5&lt;=$L37),IF(NETWORKDAYS($K37,AO$5,休日)=1,"○",IF(NETWORKDAYS(AO$5,$L37,休日)=1,"▶","→")),"")))</f>
        <v/>
      </c>
      <c r="AP37" s="116">
        <f>IF(OR($K37="",$L37=""),"",IF(NETWORKDAYS(AP$5,AP$5,休日)=0,"",IF(AND(AP$5&gt;=$K37,AP$5&lt;=$L37),IF(NETWORKDAYS($K37,AP$5,休日)=1,"○",IF(NETWORKDAYS(AP$5,$L37,休日)=1,"▶","→")),"")))</f>
        <v/>
      </c>
      <c r="AQ37" s="116">
        <f>IF(OR($K37="",$L37=""),"",IF(NETWORKDAYS(AQ$5,AQ$5,休日)=0,"",IF(AND(AQ$5&gt;=$K37,AQ$5&lt;=$L37),IF(NETWORKDAYS($K37,AQ$5,休日)=1,"○",IF(NETWORKDAYS(AQ$5,$L37,休日)=1,"▶","→")),"")))</f>
        <v/>
      </c>
      <c r="AR37" s="116">
        <f>IF(OR($K37="",$L37=""),"",IF(NETWORKDAYS(AR$5,AR$5,休日)=0,"",IF(AND(AR$5&gt;=$K37,AR$5&lt;=$L37),IF(NETWORKDAYS($K37,AR$5,休日)=1,"○",IF(NETWORKDAYS(AR$5,$L37,休日)=1,"▶","→")),"")))</f>
        <v/>
      </c>
      <c r="AS37" s="116">
        <f>IF(OR($K37="",$L37=""),"",IF(NETWORKDAYS(AS$5,AS$5,休日)=0,"",IF(AND(AS$5&gt;=$K37,AS$5&lt;=$L37),IF(NETWORKDAYS($K37,AS$5,休日)=1,"○",IF(NETWORKDAYS(AS$5,$L37,休日)=1,"▶","→")),"")))</f>
        <v/>
      </c>
      <c r="AT37" s="116">
        <f>IF(OR($K37="",$L37=""),"",IF(NETWORKDAYS(AT$5,AT$5,休日)=0,"",IF(AND(AT$5&gt;=$K37,AT$5&lt;=$L37),IF(NETWORKDAYS($K37,AT$5,休日)=1,"○",IF(NETWORKDAYS(AT$5,$L37,休日)=1,"▶","→")),"")))</f>
        <v/>
      </c>
      <c r="AU37" s="116">
        <f>IF(OR($K37="",$L37=""),"",IF(NETWORKDAYS(AU$5,AU$5,休日)=0,"",IF(AND(AU$5&gt;=$K37,AU$5&lt;=$L37),IF(NETWORKDAYS($K37,AU$5,休日)=1,"○",IF(NETWORKDAYS(AU$5,$L37,休日)=1,"▶","→")),"")))</f>
        <v/>
      </c>
      <c r="AV37" s="116">
        <f>IF(OR($K37="",$L37=""),"",IF(NETWORKDAYS(AV$5,AV$5,休日)=0,"",IF(AND(AV$5&gt;=$K37,AV$5&lt;=$L37),IF(NETWORKDAYS($K37,AV$5,休日)=1,"○",IF(NETWORKDAYS(AV$5,$L37,休日)=1,"▶","→")),"")))</f>
        <v/>
      </c>
      <c r="AW37" s="116">
        <f>IF(OR($K37="",$L37=""),"",IF(NETWORKDAYS(AW$5,AW$5,休日)=0,"",IF(AND(AW$5&gt;=$K37,AW$5&lt;=$L37),IF(NETWORKDAYS($K37,AW$5,休日)=1,"○",IF(NETWORKDAYS(AW$5,$L37,休日)=1,"▶","→")),"")))</f>
        <v/>
      </c>
      <c r="AX37" s="116">
        <f>IF(OR($K37="",$L37=""),"",IF(NETWORKDAYS(AX$5,AX$5,休日)=0,"",IF(AND(AX$5&gt;=$K37,AX$5&lt;=$L37),IF(NETWORKDAYS($K37,AX$5,休日)=1,"○",IF(NETWORKDAYS(AX$5,$L37,休日)=1,"▶","→")),"")))</f>
        <v/>
      </c>
      <c r="AY37" s="116">
        <f>IF(OR($K37="",$L37=""),"",IF(NETWORKDAYS(AY$5,AY$5,休日)=0,"",IF(AND(AY$5&gt;=$K37,AY$5&lt;=$L37),IF(NETWORKDAYS($K37,AY$5,休日)=1,"○",IF(NETWORKDAYS(AY$5,$L37,休日)=1,"▶","→")),"")))</f>
        <v/>
      </c>
      <c r="AZ37" s="116">
        <f>IF(OR($K37="",$L37=""),"",IF(NETWORKDAYS(AZ$5,AZ$5,休日)=0,"",IF(AND(AZ$5&gt;=$K37,AZ$5&lt;=$L37),IF(NETWORKDAYS($K37,AZ$5,休日)=1,"○",IF(NETWORKDAYS(AZ$5,$L37,休日)=1,"▶","→")),"")))</f>
        <v/>
      </c>
      <c r="BA37" s="116">
        <f>IF(OR($K37="",$L37=""),"",IF(NETWORKDAYS(BA$5,BA$5,休日)=0,"",IF(AND(BA$5&gt;=$K37,BA$5&lt;=$L37),IF(NETWORKDAYS($K37,BA$5,休日)=1,"○",IF(NETWORKDAYS(BA$5,$L37,休日)=1,"▶","→")),"")))</f>
        <v/>
      </c>
      <c r="BB37" s="116">
        <f>IF(OR($K37="",$L37=""),"",IF(NETWORKDAYS(BB$5,BB$5,休日)=0,"",IF(AND(BB$5&gt;=$K37,BB$5&lt;=$L37),IF(NETWORKDAYS($K37,BB$5,休日)=1,"○",IF(NETWORKDAYS(BB$5,$L37,休日)=1,"▶","→")),"")))</f>
        <v/>
      </c>
      <c r="BC37" s="116">
        <f>IF(OR($K37="",$L37=""),"",IF(NETWORKDAYS(BC$5,BC$5,休日)=0,"",IF(AND(BC$5&gt;=$K37,BC$5&lt;=$L37),IF(NETWORKDAYS($K37,BC$5,休日)=1,"○",IF(NETWORKDAYS(BC$5,$L37,休日)=1,"▶","→")),"")))</f>
        <v/>
      </c>
      <c r="BD37" s="116">
        <f>IF(OR($K37="",$L37=""),"",IF(NETWORKDAYS(BD$5,BD$5,休日)=0,"",IF(AND(BD$5&gt;=$K37,BD$5&lt;=$L37),IF(NETWORKDAYS($K37,BD$5,休日)=1,"○",IF(NETWORKDAYS(BD$5,$L37,休日)=1,"▶","→")),"")))</f>
        <v/>
      </c>
      <c r="BE37" s="116">
        <f>IF(OR($K37="",$L37=""),"",IF(NETWORKDAYS(BE$5,BE$5,休日)=0,"",IF(AND(BE$5&gt;=$K37,BE$5&lt;=$L37),IF(NETWORKDAYS($K37,BE$5,休日)=1,"○",IF(NETWORKDAYS(BE$5,$L37,休日)=1,"▶","→")),"")))</f>
        <v/>
      </c>
      <c r="BF37" s="116">
        <f>IF(OR($K37="",$L37=""),"",IF(NETWORKDAYS(BF$5,BF$5,休日)=0,"",IF(AND(BF$5&gt;=$K37,BF$5&lt;=$L37),IF(NETWORKDAYS($K37,BF$5,休日)=1,"○",IF(NETWORKDAYS(BF$5,$L37,休日)=1,"▶","→")),"")))</f>
        <v/>
      </c>
      <c r="BG37" s="116">
        <f>IF(OR($K37="",$L37=""),"",IF(NETWORKDAYS(BG$5,BG$5,休日)=0,"",IF(AND(BG$5&gt;=$K37,BG$5&lt;=$L37),IF(NETWORKDAYS($K37,BG$5,休日)=1,"○",IF(NETWORKDAYS(BG$5,$L37,休日)=1,"▶","→")),"")))</f>
        <v/>
      </c>
      <c r="BH37" s="116">
        <f>IF(OR($K37="",$L37=""),"",IF(NETWORKDAYS(BH$5,BH$5,休日)=0,"",IF(AND(BH$5&gt;=$K37,BH$5&lt;=$L37),IF(NETWORKDAYS($K37,BH$5,休日)=1,"○",IF(NETWORKDAYS(BH$5,$L37,休日)=1,"▶","→")),"")))</f>
        <v/>
      </c>
      <c r="BI37" s="116">
        <f>IF(OR($K37="",$L37=""),"",IF(NETWORKDAYS(BI$5,BI$5,休日)=0,"",IF(AND(BI$5&gt;=$K37,BI$5&lt;=$L37),IF(NETWORKDAYS($K37,BI$5,休日)=1,"○",IF(NETWORKDAYS(BI$5,$L37,休日)=1,"▶","→")),"")))</f>
        <v/>
      </c>
      <c r="BJ37" s="116">
        <f>IF(OR($K37="",$L37=""),"",IF(NETWORKDAYS(BJ$5,BJ$5,休日)=0,"",IF(AND(BJ$5&gt;=$K37,BJ$5&lt;=$L37),IF(NETWORKDAYS($K37,BJ$5,休日)=1,"○",IF(NETWORKDAYS(BJ$5,$L37,休日)=1,"▶","→")),"")))</f>
        <v/>
      </c>
      <c r="BK37" s="116">
        <f>IF(OR($K37="",$L37=""),"",IF(NETWORKDAYS(BK$5,BK$5,休日)=0,"",IF(AND(BK$5&gt;=$K37,BK$5&lt;=$L37),IF(NETWORKDAYS($K37,BK$5,休日)=1,"○",IF(NETWORKDAYS(BK$5,$L37,休日)=1,"▶","→")),"")))</f>
        <v/>
      </c>
      <c r="BL37" s="116">
        <f>IF(OR($K37="",$L37=""),"",IF(NETWORKDAYS(BL$5,BL$5,休日)=0,"",IF(AND(BL$5&gt;=$K37,BL$5&lt;=$L37),IF(NETWORKDAYS($K37,BL$5,休日)=1,"○",IF(NETWORKDAYS(BL$5,$L37,休日)=1,"▶","→")),"")))</f>
        <v/>
      </c>
      <c r="BM37" s="116">
        <f>IF(OR($K37="",$L37=""),"",IF(NETWORKDAYS(BM$5,BM$5,休日)=0,"",IF(AND(BM$5&gt;=$K37,BM$5&lt;=$L37),IF(NETWORKDAYS($K37,BM$5,休日)=1,"○",IF(NETWORKDAYS(BM$5,$L37,休日)=1,"▶","→")),"")))</f>
        <v/>
      </c>
      <c r="BN37" s="116">
        <f>IF(OR($K37="",$L37=""),"",IF(NETWORKDAYS(BN$5,BN$5,休日)=0,"",IF(AND(BN$5&gt;=$K37,BN$5&lt;=$L37),IF(NETWORKDAYS($K37,BN$5,休日)=1,"○",IF(NETWORKDAYS(BN$5,$L37,休日)=1,"▶","→")),"")))</f>
        <v/>
      </c>
      <c r="BO37" s="116">
        <f>IF(OR($K37="",$L37=""),"",IF(NETWORKDAYS(BO$5,BO$5,休日)=0,"",IF(AND(BO$5&gt;=$K37,BO$5&lt;=$L37),IF(NETWORKDAYS($K37,BO$5,休日)=1,"○",IF(NETWORKDAYS(BO$5,$L37,休日)=1,"▶","→")),"")))</f>
        <v/>
      </c>
      <c r="BP37" s="116">
        <f>IF(OR($K37="",$L37=""),"",IF(NETWORKDAYS(BP$5,BP$5,休日)=0,"",IF(AND(BP$5&gt;=$K37,BP$5&lt;=$L37),IF(NETWORKDAYS($K37,BP$5,休日)=1,"○",IF(NETWORKDAYS(BP$5,$L37,休日)=1,"▶","→")),"")))</f>
        <v/>
      </c>
      <c r="BQ37" s="116">
        <f>IF(OR($K37="",$L37=""),"",IF(NETWORKDAYS(BQ$5,BQ$5,休日)=0,"",IF(AND(BQ$5&gt;=$K37,BQ$5&lt;=$L37),IF(NETWORKDAYS($K37,BQ$5,休日)=1,"○",IF(NETWORKDAYS(BQ$5,$L37,休日)=1,"▶","→")),"")))</f>
        <v/>
      </c>
      <c r="BR37" s="116">
        <f>IF(OR($K37="",$L37=""),"",IF(NETWORKDAYS(BR$5,BR$5,休日)=0,"",IF(AND(BR$5&gt;=$K37,BR$5&lt;=$L37),IF(NETWORKDAYS($K37,BR$5,休日)=1,"○",IF(NETWORKDAYS(BR$5,$L37,休日)=1,"▶","→")),"")))</f>
        <v/>
      </c>
      <c r="BS37" s="116">
        <f>IF(OR($K37="",$L37=""),"",IF(NETWORKDAYS(BS$5,BS$5,休日)=0,"",IF(AND(BS$5&gt;=$K37,BS$5&lt;=$L37),IF(NETWORKDAYS($K37,BS$5,休日)=1,"○",IF(NETWORKDAYS(BS$5,$L37,休日)=1,"▶","→")),"")))</f>
        <v/>
      </c>
      <c r="BT37" s="116">
        <f>IF(OR($K37="",$L37=""),"",IF(NETWORKDAYS(BT$5,BT$5,休日)=0,"",IF(AND(BT$5&gt;=$K37,BT$5&lt;=$L37),IF(NETWORKDAYS($K37,BT$5,休日)=1,"○",IF(NETWORKDAYS(BT$5,$L37,休日)=1,"▶","→")),"")))</f>
        <v/>
      </c>
      <c r="BU37" s="116">
        <f>IF(OR($K37="",$L37=""),"",IF(NETWORKDAYS(BU$5,BU$5,休日)=0,"",IF(AND(BU$5&gt;=$K37,BU$5&lt;=$L37),IF(NETWORKDAYS($K37,BU$5,休日)=1,"○",IF(NETWORKDAYS(BU$5,$L37,休日)=1,"▶","→")),"")))</f>
        <v/>
      </c>
      <c r="BV37" s="116">
        <f>IF(OR($K37="",$L37=""),"",IF(NETWORKDAYS(BV$5,BV$5,休日)=0,"",IF(AND(BV$5&gt;=$K37,BV$5&lt;=$L37),IF(NETWORKDAYS($K37,BV$5,休日)=1,"○",IF(NETWORKDAYS(BV$5,$L37,休日)=1,"▶","→")),"")))</f>
        <v/>
      </c>
      <c r="BW37" s="116">
        <f>IF(OR($K37="",$L37=""),"",IF(NETWORKDAYS(BW$5,BW$5,休日)=0,"",IF(AND(BW$5&gt;=$K37,BW$5&lt;=$L37),IF(NETWORKDAYS($K37,BW$5,休日)=1,"○",IF(NETWORKDAYS(BW$5,$L37,休日)=1,"▶","→")),"")))</f>
        <v/>
      </c>
      <c r="BX37" s="116">
        <f>IF(OR($K37="",$L37=""),"",IF(NETWORKDAYS(BX$5,BX$5,休日)=0,"",IF(AND(BX$5&gt;=$K37,BX$5&lt;=$L37),IF(NETWORKDAYS($K37,BX$5,休日)=1,"○",IF(NETWORKDAYS(BX$5,$L37,休日)=1,"▶","→")),"")))</f>
        <v/>
      </c>
      <c r="BY37" s="116">
        <f>IF(OR($K37="",$L37=""),"",IF(NETWORKDAYS(BY$5,BY$5,休日)=0,"",IF(AND(BY$5&gt;=$K37,BY$5&lt;=$L37),IF(NETWORKDAYS($K37,BY$5,休日)=1,"○",IF(NETWORKDAYS(BY$5,$L37,休日)=1,"▶","→")),"")))</f>
        <v/>
      </c>
      <c r="BZ37" s="116">
        <f>IF(OR($K37="",$L37=""),"",IF(NETWORKDAYS(BZ$5,BZ$5,休日)=0,"",IF(AND(BZ$5&gt;=$K37,BZ$5&lt;=$L37),IF(NETWORKDAYS($K37,BZ$5,休日)=1,"○",IF(NETWORKDAYS(BZ$5,$L37,休日)=1,"▶","→")),"")))</f>
        <v/>
      </c>
      <c r="CA37" s="116">
        <f>IF(OR($K37="",$L37=""),"",IF(NETWORKDAYS(CA$5,CA$5,休日)=0,"",IF(AND(CA$5&gt;=$K37,CA$5&lt;=$L37),IF(NETWORKDAYS($K37,CA$5,休日)=1,"○",IF(NETWORKDAYS(CA$5,$L37,休日)=1,"▶","→")),"")))</f>
        <v/>
      </c>
      <c r="CB37" s="116">
        <f>IF(OR($K37="",$L37=""),"",IF(NETWORKDAYS(CB$5,CB$5,休日)=0,"",IF(AND(CB$5&gt;=$K37,CB$5&lt;=$L37),IF(NETWORKDAYS($K37,CB$5,休日)=1,"○",IF(NETWORKDAYS(CB$5,$L37,休日)=1,"▶","→")),"")))</f>
        <v/>
      </c>
      <c r="CC37" s="116">
        <f>IF(OR($K37="",$L37=""),"",IF(NETWORKDAYS(CC$5,CC$5,休日)=0,"",IF(AND(CC$5&gt;=$K37,CC$5&lt;=$L37),IF(NETWORKDAYS($K37,CC$5,休日)=1,"○",IF(NETWORKDAYS(CC$5,$L37,休日)=1,"▶","→")),"")))</f>
        <v/>
      </c>
      <c r="CD37" s="116">
        <f>IF(OR($K37="",$L37=""),"",IF(NETWORKDAYS(CD$5,CD$5,休日)=0,"",IF(AND(CD$5&gt;=$K37,CD$5&lt;=$L37),IF(NETWORKDAYS($K37,CD$5,休日)=1,"○",IF(NETWORKDAYS(CD$5,$L37,休日)=1,"▶","→")),"")))</f>
        <v/>
      </c>
      <c r="CE37" s="116">
        <f>IF(OR($K37="",$L37=""),"",IF(NETWORKDAYS(CE$5,CE$5,休日)=0,"",IF(AND(CE$5&gt;=$K37,CE$5&lt;=$L37),IF(NETWORKDAYS($K37,CE$5,休日)=1,"○",IF(NETWORKDAYS(CE$5,$L37,休日)=1,"▶","→")),"")))</f>
        <v/>
      </c>
      <c r="CF37" s="116">
        <f>IF(OR($K37="",$L37=""),"",IF(NETWORKDAYS(CF$5,CF$5,休日)=0,"",IF(AND(CF$5&gt;=$K37,CF$5&lt;=$L37),IF(NETWORKDAYS($K37,CF$5,休日)=1,"○",IF(NETWORKDAYS(CF$5,$L37,休日)=1,"▶","→")),"")))</f>
        <v/>
      </c>
      <c r="CG37" s="116">
        <f>IF(OR($K37="",$L37=""),"",IF(NETWORKDAYS(CG$5,CG$5,休日)=0,"",IF(AND(CG$5&gt;=$K37,CG$5&lt;=$L37),IF(NETWORKDAYS($K37,CG$5,休日)=1,"○",IF(NETWORKDAYS(CG$5,$L37,休日)=1,"▶","→")),"")))</f>
        <v/>
      </c>
      <c r="CH37" s="116">
        <f>IF(OR($K37="",$L37=""),"",IF(NETWORKDAYS(CH$5,CH$5,休日)=0,"",IF(AND(CH$5&gt;=$K37,CH$5&lt;=$L37),IF(NETWORKDAYS($K37,CH$5,休日)=1,"○",IF(NETWORKDAYS(CH$5,$L37,休日)=1,"▶","→")),"")))</f>
        <v/>
      </c>
      <c r="CI37" s="116">
        <f>IF(OR($K37="",$L37=""),"",IF(NETWORKDAYS(CI$5,CI$5,休日)=0,"",IF(AND(CI$5&gt;=$K37,CI$5&lt;=$L37),IF(NETWORKDAYS($K37,CI$5,休日)=1,"○",IF(NETWORKDAYS(CI$5,$L37,休日)=1,"▶","→")),"")))</f>
        <v/>
      </c>
      <c r="CJ37" s="116">
        <f>IF(OR($K37="",$L37=""),"",IF(NETWORKDAYS(CJ$5,CJ$5,休日)=0,"",IF(AND(CJ$5&gt;=$K37,CJ$5&lt;=$L37),IF(NETWORKDAYS($K37,CJ$5,休日)=1,"○",IF(NETWORKDAYS(CJ$5,$L37,休日)=1,"▶","→")),"")))</f>
        <v/>
      </c>
      <c r="CK37" s="116">
        <f>IF(OR($K37="",$L37=""),"",IF(NETWORKDAYS(CK$5,CK$5,休日)=0,"",IF(AND(CK$5&gt;=$K37,CK$5&lt;=$L37),IF(NETWORKDAYS($K37,CK$5,休日)=1,"○",IF(NETWORKDAYS(CK$5,$L37,休日)=1,"▶","→")),"")))</f>
        <v/>
      </c>
      <c r="CL37" s="116">
        <f>IF(OR($K37="",$L37=""),"",IF(NETWORKDAYS(CL$5,CL$5,休日)=0,"",IF(AND(CL$5&gt;=$K37,CL$5&lt;=$L37),IF(NETWORKDAYS($K37,CL$5,休日)=1,"○",IF(NETWORKDAYS(CL$5,$L37,休日)=1,"▶","→")),"")))</f>
        <v/>
      </c>
      <c r="CM37" s="116">
        <f>IF(OR($K37="",$L37=""),"",IF(NETWORKDAYS(CM$5,CM$5,休日)=0,"",IF(AND(CM$5&gt;=$K37,CM$5&lt;=$L37),IF(NETWORKDAYS($K37,CM$5,休日)=1,"○",IF(NETWORKDAYS(CM$5,$L37,休日)=1,"▶","→")),"")))</f>
        <v/>
      </c>
      <c r="CN37" s="116">
        <f>IF(OR($K37="",$L37=""),"",IF(NETWORKDAYS(CN$5,CN$5,休日)=0,"",IF(AND(CN$5&gt;=$K37,CN$5&lt;=$L37),IF(NETWORKDAYS($K37,CN$5,休日)=1,"○",IF(NETWORKDAYS(CN$5,$L37,休日)=1,"▶","→")),"")))</f>
        <v/>
      </c>
      <c r="CO37" s="116">
        <f>IF(OR($K37="",$L37=""),"",IF(NETWORKDAYS(CO$5,CO$5,休日)=0,"",IF(AND(CO$5&gt;=$K37,CO$5&lt;=$L37),IF(NETWORKDAYS($K37,CO$5,休日)=1,"○",IF(NETWORKDAYS(CO$5,$L37,休日)=1,"▶","→")),"")))</f>
        <v/>
      </c>
    </row>
    <row r="38" ht="32" customHeight="1" s="98">
      <c r="A38" s="5" t="n"/>
      <c r="B38" s="100" t="inlineStr">
        <is>
          <t>3.1.5</t>
        </is>
      </c>
      <c r="C38" s="101" t="inlineStr">
        <is>
          <t>開発</t>
        </is>
      </c>
      <c r="D38" s="101" t="inlineStr">
        <is>
          <t>Layer①</t>
        </is>
      </c>
      <c r="E38" s="101" t="inlineStr">
        <is>
          <t>発注勧告を生鮮統合発注用に変換</t>
        </is>
      </c>
      <c r="F38" s="101" t="inlineStr">
        <is>
          <t>発注勧告を生鮮統合発注用に変換</t>
        </is>
      </c>
      <c r="G38" s="100" t="inlineStr">
        <is>
          <t>新規</t>
        </is>
      </c>
      <c r="H38" s="100" t="inlineStr">
        <is>
          <t>未定</t>
        </is>
      </c>
      <c r="I38" s="113" t="n">
        <v>5</v>
      </c>
      <c r="J38" s="100" t="inlineStr">
        <is>
          <t>－</t>
        </is>
      </c>
      <c r="K38" s="114" t="n">
        <v>46352</v>
      </c>
      <c r="L38" s="114" t="n">
        <v>46374</v>
      </c>
      <c r="M38" s="114" t="n"/>
      <c r="N38" s="114" t="n"/>
      <c r="O38" s="100" t="inlineStr">
        <is>
          <t>未着手</t>
        </is>
      </c>
      <c r="P38" s="115" t="n">
        <v>0</v>
      </c>
      <c r="Q38" s="100" t="inlineStr">
        <is>
          <t>G③</t>
        </is>
      </c>
      <c r="R38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38" s="116">
        <f>IF(OR($K38="",$L38=""),"",IF(NETWORKDAYS(S$5,S$5,休日)=0,"",IF(AND(S$5&gt;=$K38,S$5&lt;=$L38),IF(NETWORKDAYS($K38,S$5,休日)=1,"○",IF(NETWORKDAYS(S$5,$L38,休日)=1,"▶","→")),"")))</f>
        <v/>
      </c>
      <c r="T38" s="116">
        <f>IF(OR($K38="",$L38=""),"",IF(NETWORKDAYS(T$5,T$5,休日)=0,"",IF(AND(T$5&gt;=$K38,T$5&lt;=$L38),IF(NETWORKDAYS($K38,T$5,休日)=1,"○",IF(NETWORKDAYS(T$5,$L38,休日)=1,"▶","→")),"")))</f>
        <v/>
      </c>
      <c r="U38" s="116">
        <f>IF(OR($K38="",$L38=""),"",IF(NETWORKDAYS(U$5,U$5,休日)=0,"",IF(AND(U$5&gt;=$K38,U$5&lt;=$L38),IF(NETWORKDAYS($K38,U$5,休日)=1,"○",IF(NETWORKDAYS(U$5,$L38,休日)=1,"▶","→")),"")))</f>
        <v/>
      </c>
      <c r="V38" s="116">
        <f>IF(OR($K38="",$L38=""),"",IF(NETWORKDAYS(V$5,V$5,休日)=0,"",IF(AND(V$5&gt;=$K38,V$5&lt;=$L38),IF(NETWORKDAYS($K38,V$5,休日)=1,"○",IF(NETWORKDAYS(V$5,$L38,休日)=1,"▶","→")),"")))</f>
        <v/>
      </c>
      <c r="W38" s="116">
        <f>IF(OR($K38="",$L38=""),"",IF(NETWORKDAYS(W$5,W$5,休日)=0,"",IF(AND(W$5&gt;=$K38,W$5&lt;=$L38),IF(NETWORKDAYS($K38,W$5,休日)=1,"○",IF(NETWORKDAYS(W$5,$L38,休日)=1,"▶","→")),"")))</f>
        <v/>
      </c>
      <c r="X38" s="116">
        <f>IF(OR($K38="",$L38=""),"",IF(NETWORKDAYS(X$5,X$5,休日)=0,"",IF(AND(X$5&gt;=$K38,X$5&lt;=$L38),IF(NETWORKDAYS($K38,X$5,休日)=1,"○",IF(NETWORKDAYS(X$5,$L38,休日)=1,"▶","→")),"")))</f>
        <v/>
      </c>
      <c r="Y38" s="116">
        <f>IF(OR($K38="",$L38=""),"",IF(NETWORKDAYS(Y$5,Y$5,休日)=0,"",IF(AND(Y$5&gt;=$K38,Y$5&lt;=$L38),IF(NETWORKDAYS($K38,Y$5,休日)=1,"○",IF(NETWORKDAYS(Y$5,$L38,休日)=1,"▶","→")),"")))</f>
        <v/>
      </c>
      <c r="Z38" s="116">
        <f>IF(OR($K38="",$L38=""),"",IF(NETWORKDAYS(Z$5,Z$5,休日)=0,"",IF(AND(Z$5&gt;=$K38,Z$5&lt;=$L38),IF(NETWORKDAYS($K38,Z$5,休日)=1,"○",IF(NETWORKDAYS(Z$5,$L38,休日)=1,"▶","→")),"")))</f>
        <v/>
      </c>
      <c r="AA38" s="116">
        <f>IF(OR($K38="",$L38=""),"",IF(NETWORKDAYS(AA$5,AA$5,休日)=0,"",IF(AND(AA$5&gt;=$K38,AA$5&lt;=$L38),IF(NETWORKDAYS($K38,AA$5,休日)=1,"○",IF(NETWORKDAYS(AA$5,$L38,休日)=1,"▶","→")),"")))</f>
        <v/>
      </c>
      <c r="AB38" s="116">
        <f>IF(OR($K38="",$L38=""),"",IF(NETWORKDAYS(AB$5,AB$5,休日)=0,"",IF(AND(AB$5&gt;=$K38,AB$5&lt;=$L38),IF(NETWORKDAYS($K38,AB$5,休日)=1,"○",IF(NETWORKDAYS(AB$5,$L38,休日)=1,"▶","→")),"")))</f>
        <v/>
      </c>
      <c r="AC38" s="116">
        <f>IF(OR($K38="",$L38=""),"",IF(NETWORKDAYS(AC$5,AC$5,休日)=0,"",IF(AND(AC$5&gt;=$K38,AC$5&lt;=$L38),IF(NETWORKDAYS($K38,AC$5,休日)=1,"○",IF(NETWORKDAYS(AC$5,$L38,休日)=1,"▶","→")),"")))</f>
        <v/>
      </c>
      <c r="AD38" s="116">
        <f>IF(OR($K38="",$L38=""),"",IF(NETWORKDAYS(AD$5,AD$5,休日)=0,"",IF(AND(AD$5&gt;=$K38,AD$5&lt;=$L38),IF(NETWORKDAYS($K38,AD$5,休日)=1,"○",IF(NETWORKDAYS(AD$5,$L38,休日)=1,"▶","→")),"")))</f>
        <v/>
      </c>
      <c r="AE38" s="116">
        <f>IF(OR($K38="",$L38=""),"",IF(NETWORKDAYS(AE$5,AE$5,休日)=0,"",IF(AND(AE$5&gt;=$K38,AE$5&lt;=$L38),IF(NETWORKDAYS($K38,AE$5,休日)=1,"○",IF(NETWORKDAYS(AE$5,$L38,休日)=1,"▶","→")),"")))</f>
        <v/>
      </c>
      <c r="AF38" s="116">
        <f>IF(OR($K38="",$L38=""),"",IF(NETWORKDAYS(AF$5,AF$5,休日)=0,"",IF(AND(AF$5&gt;=$K38,AF$5&lt;=$L38),IF(NETWORKDAYS($K38,AF$5,休日)=1,"○",IF(NETWORKDAYS(AF$5,$L38,休日)=1,"▶","→")),"")))</f>
        <v/>
      </c>
      <c r="AG38" s="116">
        <f>IF(OR($K38="",$L38=""),"",IF(NETWORKDAYS(AG$5,AG$5,休日)=0,"",IF(AND(AG$5&gt;=$K38,AG$5&lt;=$L38),IF(NETWORKDAYS($K38,AG$5,休日)=1,"○",IF(NETWORKDAYS(AG$5,$L38,休日)=1,"▶","→")),"")))</f>
        <v/>
      </c>
      <c r="AH38" s="116">
        <f>IF(OR($K38="",$L38=""),"",IF(NETWORKDAYS(AH$5,AH$5,休日)=0,"",IF(AND(AH$5&gt;=$K38,AH$5&lt;=$L38),IF(NETWORKDAYS($K38,AH$5,休日)=1,"○",IF(NETWORKDAYS(AH$5,$L38,休日)=1,"▶","→")),"")))</f>
        <v/>
      </c>
      <c r="AI38" s="116">
        <f>IF(OR($K38="",$L38=""),"",IF(NETWORKDAYS(AI$5,AI$5,休日)=0,"",IF(AND(AI$5&gt;=$K38,AI$5&lt;=$L38),IF(NETWORKDAYS($K38,AI$5,休日)=1,"○",IF(NETWORKDAYS(AI$5,$L38,休日)=1,"▶","→")),"")))</f>
        <v/>
      </c>
      <c r="AJ38" s="116">
        <f>IF(OR($K38="",$L38=""),"",IF(NETWORKDAYS(AJ$5,AJ$5,休日)=0,"",IF(AND(AJ$5&gt;=$K38,AJ$5&lt;=$L38),IF(NETWORKDAYS($K38,AJ$5,休日)=1,"○",IF(NETWORKDAYS(AJ$5,$L38,休日)=1,"▶","→")),"")))</f>
        <v/>
      </c>
      <c r="AK38" s="116">
        <f>IF(OR($K38="",$L38=""),"",IF(NETWORKDAYS(AK$5,AK$5,休日)=0,"",IF(AND(AK$5&gt;=$K38,AK$5&lt;=$L38),IF(NETWORKDAYS($K38,AK$5,休日)=1,"○",IF(NETWORKDAYS(AK$5,$L38,休日)=1,"▶","→")),"")))</f>
        <v/>
      </c>
      <c r="AL38" s="116">
        <f>IF(OR($K38="",$L38=""),"",IF(NETWORKDAYS(AL$5,AL$5,休日)=0,"",IF(AND(AL$5&gt;=$K38,AL$5&lt;=$L38),IF(NETWORKDAYS($K38,AL$5,休日)=1,"○",IF(NETWORKDAYS(AL$5,$L38,休日)=1,"▶","→")),"")))</f>
        <v/>
      </c>
      <c r="AM38" s="116">
        <f>IF(OR($K38="",$L38=""),"",IF(NETWORKDAYS(AM$5,AM$5,休日)=0,"",IF(AND(AM$5&gt;=$K38,AM$5&lt;=$L38),IF(NETWORKDAYS($K38,AM$5,休日)=1,"○",IF(NETWORKDAYS(AM$5,$L38,休日)=1,"▶","→")),"")))</f>
        <v/>
      </c>
      <c r="AN38" s="116">
        <f>IF(OR($K38="",$L38=""),"",IF(NETWORKDAYS(AN$5,AN$5,休日)=0,"",IF(AND(AN$5&gt;=$K38,AN$5&lt;=$L38),IF(NETWORKDAYS($K38,AN$5,休日)=1,"○",IF(NETWORKDAYS(AN$5,$L38,休日)=1,"▶","→")),"")))</f>
        <v/>
      </c>
      <c r="AO38" s="116">
        <f>IF(OR($K38="",$L38=""),"",IF(NETWORKDAYS(AO$5,AO$5,休日)=0,"",IF(AND(AO$5&gt;=$K38,AO$5&lt;=$L38),IF(NETWORKDAYS($K38,AO$5,休日)=1,"○",IF(NETWORKDAYS(AO$5,$L38,休日)=1,"▶","→")),"")))</f>
        <v/>
      </c>
      <c r="AP38" s="116">
        <f>IF(OR($K38="",$L38=""),"",IF(NETWORKDAYS(AP$5,AP$5,休日)=0,"",IF(AND(AP$5&gt;=$K38,AP$5&lt;=$L38),IF(NETWORKDAYS($K38,AP$5,休日)=1,"○",IF(NETWORKDAYS(AP$5,$L38,休日)=1,"▶","→")),"")))</f>
        <v/>
      </c>
      <c r="AQ38" s="116">
        <f>IF(OR($K38="",$L38=""),"",IF(NETWORKDAYS(AQ$5,AQ$5,休日)=0,"",IF(AND(AQ$5&gt;=$K38,AQ$5&lt;=$L38),IF(NETWORKDAYS($K38,AQ$5,休日)=1,"○",IF(NETWORKDAYS(AQ$5,$L38,休日)=1,"▶","→")),"")))</f>
        <v/>
      </c>
      <c r="AR38" s="116">
        <f>IF(OR($K38="",$L38=""),"",IF(NETWORKDAYS(AR$5,AR$5,休日)=0,"",IF(AND(AR$5&gt;=$K38,AR$5&lt;=$L38),IF(NETWORKDAYS($K38,AR$5,休日)=1,"○",IF(NETWORKDAYS(AR$5,$L38,休日)=1,"▶","→")),"")))</f>
        <v/>
      </c>
      <c r="AS38" s="116">
        <f>IF(OR($K38="",$L38=""),"",IF(NETWORKDAYS(AS$5,AS$5,休日)=0,"",IF(AND(AS$5&gt;=$K38,AS$5&lt;=$L38),IF(NETWORKDAYS($K38,AS$5,休日)=1,"○",IF(NETWORKDAYS(AS$5,$L38,休日)=1,"▶","→")),"")))</f>
        <v/>
      </c>
      <c r="AT38" s="116">
        <f>IF(OR($K38="",$L38=""),"",IF(NETWORKDAYS(AT$5,AT$5,休日)=0,"",IF(AND(AT$5&gt;=$K38,AT$5&lt;=$L38),IF(NETWORKDAYS($K38,AT$5,休日)=1,"○",IF(NETWORKDAYS(AT$5,$L38,休日)=1,"▶","→")),"")))</f>
        <v/>
      </c>
      <c r="AU38" s="116">
        <f>IF(OR($K38="",$L38=""),"",IF(NETWORKDAYS(AU$5,AU$5,休日)=0,"",IF(AND(AU$5&gt;=$K38,AU$5&lt;=$L38),IF(NETWORKDAYS($K38,AU$5,休日)=1,"○",IF(NETWORKDAYS(AU$5,$L38,休日)=1,"▶","→")),"")))</f>
        <v/>
      </c>
      <c r="AV38" s="116">
        <f>IF(OR($K38="",$L38=""),"",IF(NETWORKDAYS(AV$5,AV$5,休日)=0,"",IF(AND(AV$5&gt;=$K38,AV$5&lt;=$L38),IF(NETWORKDAYS($K38,AV$5,休日)=1,"○",IF(NETWORKDAYS(AV$5,$L38,休日)=1,"▶","→")),"")))</f>
        <v/>
      </c>
      <c r="AW38" s="116">
        <f>IF(OR($K38="",$L38=""),"",IF(NETWORKDAYS(AW$5,AW$5,休日)=0,"",IF(AND(AW$5&gt;=$K38,AW$5&lt;=$L38),IF(NETWORKDAYS($K38,AW$5,休日)=1,"○",IF(NETWORKDAYS(AW$5,$L38,休日)=1,"▶","→")),"")))</f>
        <v/>
      </c>
      <c r="AX38" s="116">
        <f>IF(OR($K38="",$L38=""),"",IF(NETWORKDAYS(AX$5,AX$5,休日)=0,"",IF(AND(AX$5&gt;=$K38,AX$5&lt;=$L38),IF(NETWORKDAYS($K38,AX$5,休日)=1,"○",IF(NETWORKDAYS(AX$5,$L38,休日)=1,"▶","→")),"")))</f>
        <v/>
      </c>
      <c r="AY38" s="116">
        <f>IF(OR($K38="",$L38=""),"",IF(NETWORKDAYS(AY$5,AY$5,休日)=0,"",IF(AND(AY$5&gt;=$K38,AY$5&lt;=$L38),IF(NETWORKDAYS($K38,AY$5,休日)=1,"○",IF(NETWORKDAYS(AY$5,$L38,休日)=1,"▶","→")),"")))</f>
        <v/>
      </c>
      <c r="AZ38" s="116">
        <f>IF(OR($K38="",$L38=""),"",IF(NETWORKDAYS(AZ$5,AZ$5,休日)=0,"",IF(AND(AZ$5&gt;=$K38,AZ$5&lt;=$L38),IF(NETWORKDAYS($K38,AZ$5,休日)=1,"○",IF(NETWORKDAYS(AZ$5,$L38,休日)=1,"▶","→")),"")))</f>
        <v/>
      </c>
      <c r="BA38" s="116">
        <f>IF(OR($K38="",$L38=""),"",IF(NETWORKDAYS(BA$5,BA$5,休日)=0,"",IF(AND(BA$5&gt;=$K38,BA$5&lt;=$L38),IF(NETWORKDAYS($K38,BA$5,休日)=1,"○",IF(NETWORKDAYS(BA$5,$L38,休日)=1,"▶","→")),"")))</f>
        <v/>
      </c>
      <c r="BB38" s="116">
        <f>IF(OR($K38="",$L38=""),"",IF(NETWORKDAYS(BB$5,BB$5,休日)=0,"",IF(AND(BB$5&gt;=$K38,BB$5&lt;=$L38),IF(NETWORKDAYS($K38,BB$5,休日)=1,"○",IF(NETWORKDAYS(BB$5,$L38,休日)=1,"▶","→")),"")))</f>
        <v/>
      </c>
      <c r="BC38" s="116">
        <f>IF(OR($K38="",$L38=""),"",IF(NETWORKDAYS(BC$5,BC$5,休日)=0,"",IF(AND(BC$5&gt;=$K38,BC$5&lt;=$L38),IF(NETWORKDAYS($K38,BC$5,休日)=1,"○",IF(NETWORKDAYS(BC$5,$L38,休日)=1,"▶","→")),"")))</f>
        <v/>
      </c>
      <c r="BD38" s="116">
        <f>IF(OR($K38="",$L38=""),"",IF(NETWORKDAYS(BD$5,BD$5,休日)=0,"",IF(AND(BD$5&gt;=$K38,BD$5&lt;=$L38),IF(NETWORKDAYS($K38,BD$5,休日)=1,"○",IF(NETWORKDAYS(BD$5,$L38,休日)=1,"▶","→")),"")))</f>
        <v/>
      </c>
      <c r="BE38" s="116">
        <f>IF(OR($K38="",$L38=""),"",IF(NETWORKDAYS(BE$5,BE$5,休日)=0,"",IF(AND(BE$5&gt;=$K38,BE$5&lt;=$L38),IF(NETWORKDAYS($K38,BE$5,休日)=1,"○",IF(NETWORKDAYS(BE$5,$L38,休日)=1,"▶","→")),"")))</f>
        <v/>
      </c>
      <c r="BF38" s="116">
        <f>IF(OR($K38="",$L38=""),"",IF(NETWORKDAYS(BF$5,BF$5,休日)=0,"",IF(AND(BF$5&gt;=$K38,BF$5&lt;=$L38),IF(NETWORKDAYS($K38,BF$5,休日)=1,"○",IF(NETWORKDAYS(BF$5,$L38,休日)=1,"▶","→")),"")))</f>
        <v/>
      </c>
      <c r="BG38" s="116">
        <f>IF(OR($K38="",$L38=""),"",IF(NETWORKDAYS(BG$5,BG$5,休日)=0,"",IF(AND(BG$5&gt;=$K38,BG$5&lt;=$L38),IF(NETWORKDAYS($K38,BG$5,休日)=1,"○",IF(NETWORKDAYS(BG$5,$L38,休日)=1,"▶","→")),"")))</f>
        <v/>
      </c>
      <c r="BH38" s="116">
        <f>IF(OR($K38="",$L38=""),"",IF(NETWORKDAYS(BH$5,BH$5,休日)=0,"",IF(AND(BH$5&gt;=$K38,BH$5&lt;=$L38),IF(NETWORKDAYS($K38,BH$5,休日)=1,"○",IF(NETWORKDAYS(BH$5,$L38,休日)=1,"▶","→")),"")))</f>
        <v/>
      </c>
      <c r="BI38" s="116">
        <f>IF(OR($K38="",$L38=""),"",IF(NETWORKDAYS(BI$5,BI$5,休日)=0,"",IF(AND(BI$5&gt;=$K38,BI$5&lt;=$L38),IF(NETWORKDAYS($K38,BI$5,休日)=1,"○",IF(NETWORKDAYS(BI$5,$L38,休日)=1,"▶","→")),"")))</f>
        <v/>
      </c>
      <c r="BJ38" s="116">
        <f>IF(OR($K38="",$L38=""),"",IF(NETWORKDAYS(BJ$5,BJ$5,休日)=0,"",IF(AND(BJ$5&gt;=$K38,BJ$5&lt;=$L38),IF(NETWORKDAYS($K38,BJ$5,休日)=1,"○",IF(NETWORKDAYS(BJ$5,$L38,休日)=1,"▶","→")),"")))</f>
        <v/>
      </c>
      <c r="BK38" s="116">
        <f>IF(OR($K38="",$L38=""),"",IF(NETWORKDAYS(BK$5,BK$5,休日)=0,"",IF(AND(BK$5&gt;=$K38,BK$5&lt;=$L38),IF(NETWORKDAYS($K38,BK$5,休日)=1,"○",IF(NETWORKDAYS(BK$5,$L38,休日)=1,"▶","→")),"")))</f>
        <v/>
      </c>
      <c r="BL38" s="116">
        <f>IF(OR($K38="",$L38=""),"",IF(NETWORKDAYS(BL$5,BL$5,休日)=0,"",IF(AND(BL$5&gt;=$K38,BL$5&lt;=$L38),IF(NETWORKDAYS($K38,BL$5,休日)=1,"○",IF(NETWORKDAYS(BL$5,$L38,休日)=1,"▶","→")),"")))</f>
        <v/>
      </c>
      <c r="BM38" s="116">
        <f>IF(OR($K38="",$L38=""),"",IF(NETWORKDAYS(BM$5,BM$5,休日)=0,"",IF(AND(BM$5&gt;=$K38,BM$5&lt;=$L38),IF(NETWORKDAYS($K38,BM$5,休日)=1,"○",IF(NETWORKDAYS(BM$5,$L38,休日)=1,"▶","→")),"")))</f>
        <v/>
      </c>
      <c r="BN38" s="116">
        <f>IF(OR($K38="",$L38=""),"",IF(NETWORKDAYS(BN$5,BN$5,休日)=0,"",IF(AND(BN$5&gt;=$K38,BN$5&lt;=$L38),IF(NETWORKDAYS($K38,BN$5,休日)=1,"○",IF(NETWORKDAYS(BN$5,$L38,休日)=1,"▶","→")),"")))</f>
        <v/>
      </c>
      <c r="BO38" s="116">
        <f>IF(OR($K38="",$L38=""),"",IF(NETWORKDAYS(BO$5,BO$5,休日)=0,"",IF(AND(BO$5&gt;=$K38,BO$5&lt;=$L38),IF(NETWORKDAYS($K38,BO$5,休日)=1,"○",IF(NETWORKDAYS(BO$5,$L38,休日)=1,"▶","→")),"")))</f>
        <v/>
      </c>
      <c r="BP38" s="116">
        <f>IF(OR($K38="",$L38=""),"",IF(NETWORKDAYS(BP$5,BP$5,休日)=0,"",IF(AND(BP$5&gt;=$K38,BP$5&lt;=$L38),IF(NETWORKDAYS($K38,BP$5,休日)=1,"○",IF(NETWORKDAYS(BP$5,$L38,休日)=1,"▶","→")),"")))</f>
        <v/>
      </c>
      <c r="BQ38" s="116">
        <f>IF(OR($K38="",$L38=""),"",IF(NETWORKDAYS(BQ$5,BQ$5,休日)=0,"",IF(AND(BQ$5&gt;=$K38,BQ$5&lt;=$L38),IF(NETWORKDAYS($K38,BQ$5,休日)=1,"○",IF(NETWORKDAYS(BQ$5,$L38,休日)=1,"▶","→")),"")))</f>
        <v/>
      </c>
      <c r="BR38" s="116">
        <f>IF(OR($K38="",$L38=""),"",IF(NETWORKDAYS(BR$5,BR$5,休日)=0,"",IF(AND(BR$5&gt;=$K38,BR$5&lt;=$L38),IF(NETWORKDAYS($K38,BR$5,休日)=1,"○",IF(NETWORKDAYS(BR$5,$L38,休日)=1,"▶","→")),"")))</f>
        <v/>
      </c>
      <c r="BS38" s="116">
        <f>IF(OR($K38="",$L38=""),"",IF(NETWORKDAYS(BS$5,BS$5,休日)=0,"",IF(AND(BS$5&gt;=$K38,BS$5&lt;=$L38),IF(NETWORKDAYS($K38,BS$5,休日)=1,"○",IF(NETWORKDAYS(BS$5,$L38,休日)=1,"▶","→")),"")))</f>
        <v/>
      </c>
      <c r="BT38" s="116">
        <f>IF(OR($K38="",$L38=""),"",IF(NETWORKDAYS(BT$5,BT$5,休日)=0,"",IF(AND(BT$5&gt;=$K38,BT$5&lt;=$L38),IF(NETWORKDAYS($K38,BT$5,休日)=1,"○",IF(NETWORKDAYS(BT$5,$L38,休日)=1,"▶","→")),"")))</f>
        <v/>
      </c>
      <c r="BU38" s="116">
        <f>IF(OR($K38="",$L38=""),"",IF(NETWORKDAYS(BU$5,BU$5,休日)=0,"",IF(AND(BU$5&gt;=$K38,BU$5&lt;=$L38),IF(NETWORKDAYS($K38,BU$5,休日)=1,"○",IF(NETWORKDAYS(BU$5,$L38,休日)=1,"▶","→")),"")))</f>
        <v/>
      </c>
      <c r="BV38" s="116">
        <f>IF(OR($K38="",$L38=""),"",IF(NETWORKDAYS(BV$5,BV$5,休日)=0,"",IF(AND(BV$5&gt;=$K38,BV$5&lt;=$L38),IF(NETWORKDAYS($K38,BV$5,休日)=1,"○",IF(NETWORKDAYS(BV$5,$L38,休日)=1,"▶","→")),"")))</f>
        <v/>
      </c>
      <c r="BW38" s="116">
        <f>IF(OR($K38="",$L38=""),"",IF(NETWORKDAYS(BW$5,BW$5,休日)=0,"",IF(AND(BW$5&gt;=$K38,BW$5&lt;=$L38),IF(NETWORKDAYS($K38,BW$5,休日)=1,"○",IF(NETWORKDAYS(BW$5,$L38,休日)=1,"▶","→")),"")))</f>
        <v/>
      </c>
      <c r="BX38" s="116">
        <f>IF(OR($K38="",$L38=""),"",IF(NETWORKDAYS(BX$5,BX$5,休日)=0,"",IF(AND(BX$5&gt;=$K38,BX$5&lt;=$L38),IF(NETWORKDAYS($K38,BX$5,休日)=1,"○",IF(NETWORKDAYS(BX$5,$L38,休日)=1,"▶","→")),"")))</f>
        <v/>
      </c>
      <c r="BY38" s="116">
        <f>IF(OR($K38="",$L38=""),"",IF(NETWORKDAYS(BY$5,BY$5,休日)=0,"",IF(AND(BY$5&gt;=$K38,BY$5&lt;=$L38),IF(NETWORKDAYS($K38,BY$5,休日)=1,"○",IF(NETWORKDAYS(BY$5,$L38,休日)=1,"▶","→")),"")))</f>
        <v/>
      </c>
      <c r="BZ38" s="116">
        <f>IF(OR($K38="",$L38=""),"",IF(NETWORKDAYS(BZ$5,BZ$5,休日)=0,"",IF(AND(BZ$5&gt;=$K38,BZ$5&lt;=$L38),IF(NETWORKDAYS($K38,BZ$5,休日)=1,"○",IF(NETWORKDAYS(BZ$5,$L38,休日)=1,"▶","→")),"")))</f>
        <v/>
      </c>
      <c r="CA38" s="116">
        <f>IF(OR($K38="",$L38=""),"",IF(NETWORKDAYS(CA$5,CA$5,休日)=0,"",IF(AND(CA$5&gt;=$K38,CA$5&lt;=$L38),IF(NETWORKDAYS($K38,CA$5,休日)=1,"○",IF(NETWORKDAYS(CA$5,$L38,休日)=1,"▶","→")),"")))</f>
        <v/>
      </c>
      <c r="CB38" s="116">
        <f>IF(OR($K38="",$L38=""),"",IF(NETWORKDAYS(CB$5,CB$5,休日)=0,"",IF(AND(CB$5&gt;=$K38,CB$5&lt;=$L38),IF(NETWORKDAYS($K38,CB$5,休日)=1,"○",IF(NETWORKDAYS(CB$5,$L38,休日)=1,"▶","→")),"")))</f>
        <v/>
      </c>
      <c r="CC38" s="116">
        <f>IF(OR($K38="",$L38=""),"",IF(NETWORKDAYS(CC$5,CC$5,休日)=0,"",IF(AND(CC$5&gt;=$K38,CC$5&lt;=$L38),IF(NETWORKDAYS($K38,CC$5,休日)=1,"○",IF(NETWORKDAYS(CC$5,$L38,休日)=1,"▶","→")),"")))</f>
        <v/>
      </c>
      <c r="CD38" s="116">
        <f>IF(OR($K38="",$L38=""),"",IF(NETWORKDAYS(CD$5,CD$5,休日)=0,"",IF(AND(CD$5&gt;=$K38,CD$5&lt;=$L38),IF(NETWORKDAYS($K38,CD$5,休日)=1,"○",IF(NETWORKDAYS(CD$5,$L38,休日)=1,"▶","→")),"")))</f>
        <v/>
      </c>
      <c r="CE38" s="116">
        <f>IF(OR($K38="",$L38=""),"",IF(NETWORKDAYS(CE$5,CE$5,休日)=0,"",IF(AND(CE$5&gt;=$K38,CE$5&lt;=$L38),IF(NETWORKDAYS($K38,CE$5,休日)=1,"○",IF(NETWORKDAYS(CE$5,$L38,休日)=1,"▶","→")),"")))</f>
        <v/>
      </c>
      <c r="CF38" s="116">
        <f>IF(OR($K38="",$L38=""),"",IF(NETWORKDAYS(CF$5,CF$5,休日)=0,"",IF(AND(CF$5&gt;=$K38,CF$5&lt;=$L38),IF(NETWORKDAYS($K38,CF$5,休日)=1,"○",IF(NETWORKDAYS(CF$5,$L38,休日)=1,"▶","→")),"")))</f>
        <v/>
      </c>
      <c r="CG38" s="116">
        <f>IF(OR($K38="",$L38=""),"",IF(NETWORKDAYS(CG$5,CG$5,休日)=0,"",IF(AND(CG$5&gt;=$K38,CG$5&lt;=$L38),IF(NETWORKDAYS($K38,CG$5,休日)=1,"○",IF(NETWORKDAYS(CG$5,$L38,休日)=1,"▶","→")),"")))</f>
        <v/>
      </c>
      <c r="CH38" s="116">
        <f>IF(OR($K38="",$L38=""),"",IF(NETWORKDAYS(CH$5,CH$5,休日)=0,"",IF(AND(CH$5&gt;=$K38,CH$5&lt;=$L38),IF(NETWORKDAYS($K38,CH$5,休日)=1,"○",IF(NETWORKDAYS(CH$5,$L38,休日)=1,"▶","→")),"")))</f>
        <v/>
      </c>
      <c r="CI38" s="116">
        <f>IF(OR($K38="",$L38=""),"",IF(NETWORKDAYS(CI$5,CI$5,休日)=0,"",IF(AND(CI$5&gt;=$K38,CI$5&lt;=$L38),IF(NETWORKDAYS($K38,CI$5,休日)=1,"○",IF(NETWORKDAYS(CI$5,$L38,休日)=1,"▶","→")),"")))</f>
        <v/>
      </c>
      <c r="CJ38" s="116">
        <f>IF(OR($K38="",$L38=""),"",IF(NETWORKDAYS(CJ$5,CJ$5,休日)=0,"",IF(AND(CJ$5&gt;=$K38,CJ$5&lt;=$L38),IF(NETWORKDAYS($K38,CJ$5,休日)=1,"○",IF(NETWORKDAYS(CJ$5,$L38,休日)=1,"▶","→")),"")))</f>
        <v/>
      </c>
      <c r="CK38" s="116">
        <f>IF(OR($K38="",$L38=""),"",IF(NETWORKDAYS(CK$5,CK$5,休日)=0,"",IF(AND(CK$5&gt;=$K38,CK$5&lt;=$L38),IF(NETWORKDAYS($K38,CK$5,休日)=1,"○",IF(NETWORKDAYS(CK$5,$L38,休日)=1,"▶","→")),"")))</f>
        <v/>
      </c>
      <c r="CL38" s="116">
        <f>IF(OR($K38="",$L38=""),"",IF(NETWORKDAYS(CL$5,CL$5,休日)=0,"",IF(AND(CL$5&gt;=$K38,CL$5&lt;=$L38),IF(NETWORKDAYS($K38,CL$5,休日)=1,"○",IF(NETWORKDAYS(CL$5,$L38,休日)=1,"▶","→")),"")))</f>
        <v/>
      </c>
      <c r="CM38" s="116">
        <f>IF(OR($K38="",$L38=""),"",IF(NETWORKDAYS(CM$5,CM$5,休日)=0,"",IF(AND(CM$5&gt;=$K38,CM$5&lt;=$L38),IF(NETWORKDAYS($K38,CM$5,休日)=1,"○",IF(NETWORKDAYS(CM$5,$L38,休日)=1,"▶","→")),"")))</f>
        <v/>
      </c>
      <c r="CN38" s="116">
        <f>IF(OR($K38="",$L38=""),"",IF(NETWORKDAYS(CN$5,CN$5,休日)=0,"",IF(AND(CN$5&gt;=$K38,CN$5&lt;=$L38),IF(NETWORKDAYS($K38,CN$5,休日)=1,"○",IF(NETWORKDAYS(CN$5,$L38,休日)=1,"▶","→")),"")))</f>
        <v/>
      </c>
      <c r="CO38" s="116">
        <f>IF(OR($K38="",$L38=""),"",IF(NETWORKDAYS(CO$5,CO$5,休日)=0,"",IF(AND(CO$5&gt;=$K38,CO$5&lt;=$L38),IF(NETWORKDAYS($K38,CO$5,休日)=1,"○",IF(NETWORKDAYS(CO$5,$L38,休日)=1,"▶","→")),"")))</f>
        <v/>
      </c>
    </row>
    <row r="39" ht="32" customHeight="1" s="98">
      <c r="A39" s="5" t="n"/>
      <c r="B39" s="100" t="inlineStr">
        <is>
          <t>3.1.6</t>
        </is>
      </c>
      <c r="C39" s="101" t="inlineStr">
        <is>
          <t>開発</t>
        </is>
      </c>
      <c r="D39" s="101" t="inlineStr">
        <is>
          <t>Layer③</t>
        </is>
      </c>
      <c r="E39" s="101" t="inlineStr">
        <is>
          <t>発注勧告を生鮮統合発注用に変換</t>
        </is>
      </c>
      <c r="F39" s="101" t="inlineStr">
        <is>
          <t>発注勧告を生鮮統合発注用に変換</t>
        </is>
      </c>
      <c r="G39" s="100" t="inlineStr">
        <is>
          <t>新規</t>
        </is>
      </c>
      <c r="H39" s="100" t="inlineStr">
        <is>
          <t>未定</t>
        </is>
      </c>
      <c r="I39" s="113" t="n">
        <v>1</v>
      </c>
      <c r="J39" s="100" t="inlineStr">
        <is>
          <t>－</t>
        </is>
      </c>
      <c r="K39" s="114" t="n">
        <v>46352</v>
      </c>
      <c r="L39" s="114" t="n">
        <v>46374</v>
      </c>
      <c r="M39" s="114" t="n"/>
      <c r="N39" s="114" t="n"/>
      <c r="O39" s="100" t="inlineStr">
        <is>
          <t>未着手</t>
        </is>
      </c>
      <c r="P39" s="115" t="n">
        <v>0</v>
      </c>
      <c r="Q39" s="100" t="inlineStr">
        <is>
          <t>G③</t>
        </is>
      </c>
      <c r="R39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39" s="116">
        <f>IF(OR($K39="",$L39=""),"",IF(NETWORKDAYS(S$5,S$5,休日)=0,"",IF(AND(S$5&gt;=$K39,S$5&lt;=$L39),IF(NETWORKDAYS($K39,S$5,休日)=1,"○",IF(NETWORKDAYS(S$5,$L39,休日)=1,"▶","→")),"")))</f>
        <v/>
      </c>
      <c r="T39" s="116">
        <f>IF(OR($K39="",$L39=""),"",IF(NETWORKDAYS(T$5,T$5,休日)=0,"",IF(AND(T$5&gt;=$K39,T$5&lt;=$L39),IF(NETWORKDAYS($K39,T$5,休日)=1,"○",IF(NETWORKDAYS(T$5,$L39,休日)=1,"▶","→")),"")))</f>
        <v/>
      </c>
      <c r="U39" s="116">
        <f>IF(OR($K39="",$L39=""),"",IF(NETWORKDAYS(U$5,U$5,休日)=0,"",IF(AND(U$5&gt;=$K39,U$5&lt;=$L39),IF(NETWORKDAYS($K39,U$5,休日)=1,"○",IF(NETWORKDAYS(U$5,$L39,休日)=1,"▶","→")),"")))</f>
        <v/>
      </c>
      <c r="V39" s="116">
        <f>IF(OR($K39="",$L39=""),"",IF(NETWORKDAYS(V$5,V$5,休日)=0,"",IF(AND(V$5&gt;=$K39,V$5&lt;=$L39),IF(NETWORKDAYS($K39,V$5,休日)=1,"○",IF(NETWORKDAYS(V$5,$L39,休日)=1,"▶","→")),"")))</f>
        <v/>
      </c>
      <c r="W39" s="116">
        <f>IF(OR($K39="",$L39=""),"",IF(NETWORKDAYS(W$5,W$5,休日)=0,"",IF(AND(W$5&gt;=$K39,W$5&lt;=$L39),IF(NETWORKDAYS($K39,W$5,休日)=1,"○",IF(NETWORKDAYS(W$5,$L39,休日)=1,"▶","→")),"")))</f>
        <v/>
      </c>
      <c r="X39" s="116">
        <f>IF(OR($K39="",$L39=""),"",IF(NETWORKDAYS(X$5,X$5,休日)=0,"",IF(AND(X$5&gt;=$K39,X$5&lt;=$L39),IF(NETWORKDAYS($K39,X$5,休日)=1,"○",IF(NETWORKDAYS(X$5,$L39,休日)=1,"▶","→")),"")))</f>
        <v/>
      </c>
      <c r="Y39" s="116">
        <f>IF(OR($K39="",$L39=""),"",IF(NETWORKDAYS(Y$5,Y$5,休日)=0,"",IF(AND(Y$5&gt;=$K39,Y$5&lt;=$L39),IF(NETWORKDAYS($K39,Y$5,休日)=1,"○",IF(NETWORKDAYS(Y$5,$L39,休日)=1,"▶","→")),"")))</f>
        <v/>
      </c>
      <c r="Z39" s="116">
        <f>IF(OR($K39="",$L39=""),"",IF(NETWORKDAYS(Z$5,Z$5,休日)=0,"",IF(AND(Z$5&gt;=$K39,Z$5&lt;=$L39),IF(NETWORKDAYS($K39,Z$5,休日)=1,"○",IF(NETWORKDAYS(Z$5,$L39,休日)=1,"▶","→")),"")))</f>
        <v/>
      </c>
      <c r="AA39" s="116">
        <f>IF(OR($K39="",$L39=""),"",IF(NETWORKDAYS(AA$5,AA$5,休日)=0,"",IF(AND(AA$5&gt;=$K39,AA$5&lt;=$L39),IF(NETWORKDAYS($K39,AA$5,休日)=1,"○",IF(NETWORKDAYS(AA$5,$L39,休日)=1,"▶","→")),"")))</f>
        <v/>
      </c>
      <c r="AB39" s="116">
        <f>IF(OR($K39="",$L39=""),"",IF(NETWORKDAYS(AB$5,AB$5,休日)=0,"",IF(AND(AB$5&gt;=$K39,AB$5&lt;=$L39),IF(NETWORKDAYS($K39,AB$5,休日)=1,"○",IF(NETWORKDAYS(AB$5,$L39,休日)=1,"▶","→")),"")))</f>
        <v/>
      </c>
      <c r="AC39" s="116">
        <f>IF(OR($K39="",$L39=""),"",IF(NETWORKDAYS(AC$5,AC$5,休日)=0,"",IF(AND(AC$5&gt;=$K39,AC$5&lt;=$L39),IF(NETWORKDAYS($K39,AC$5,休日)=1,"○",IF(NETWORKDAYS(AC$5,$L39,休日)=1,"▶","→")),"")))</f>
        <v/>
      </c>
      <c r="AD39" s="116">
        <f>IF(OR($K39="",$L39=""),"",IF(NETWORKDAYS(AD$5,AD$5,休日)=0,"",IF(AND(AD$5&gt;=$K39,AD$5&lt;=$L39),IF(NETWORKDAYS($K39,AD$5,休日)=1,"○",IF(NETWORKDAYS(AD$5,$L39,休日)=1,"▶","→")),"")))</f>
        <v/>
      </c>
      <c r="AE39" s="116">
        <f>IF(OR($K39="",$L39=""),"",IF(NETWORKDAYS(AE$5,AE$5,休日)=0,"",IF(AND(AE$5&gt;=$K39,AE$5&lt;=$L39),IF(NETWORKDAYS($K39,AE$5,休日)=1,"○",IF(NETWORKDAYS(AE$5,$L39,休日)=1,"▶","→")),"")))</f>
        <v/>
      </c>
      <c r="AF39" s="116">
        <f>IF(OR($K39="",$L39=""),"",IF(NETWORKDAYS(AF$5,AF$5,休日)=0,"",IF(AND(AF$5&gt;=$K39,AF$5&lt;=$L39),IF(NETWORKDAYS($K39,AF$5,休日)=1,"○",IF(NETWORKDAYS(AF$5,$L39,休日)=1,"▶","→")),"")))</f>
        <v/>
      </c>
      <c r="AG39" s="116">
        <f>IF(OR($K39="",$L39=""),"",IF(NETWORKDAYS(AG$5,AG$5,休日)=0,"",IF(AND(AG$5&gt;=$K39,AG$5&lt;=$L39),IF(NETWORKDAYS($K39,AG$5,休日)=1,"○",IF(NETWORKDAYS(AG$5,$L39,休日)=1,"▶","→")),"")))</f>
        <v/>
      </c>
      <c r="AH39" s="116">
        <f>IF(OR($K39="",$L39=""),"",IF(NETWORKDAYS(AH$5,AH$5,休日)=0,"",IF(AND(AH$5&gt;=$K39,AH$5&lt;=$L39),IF(NETWORKDAYS($K39,AH$5,休日)=1,"○",IF(NETWORKDAYS(AH$5,$L39,休日)=1,"▶","→")),"")))</f>
        <v/>
      </c>
      <c r="AI39" s="116">
        <f>IF(OR($K39="",$L39=""),"",IF(NETWORKDAYS(AI$5,AI$5,休日)=0,"",IF(AND(AI$5&gt;=$K39,AI$5&lt;=$L39),IF(NETWORKDAYS($K39,AI$5,休日)=1,"○",IF(NETWORKDAYS(AI$5,$L39,休日)=1,"▶","→")),"")))</f>
        <v/>
      </c>
      <c r="AJ39" s="116">
        <f>IF(OR($K39="",$L39=""),"",IF(NETWORKDAYS(AJ$5,AJ$5,休日)=0,"",IF(AND(AJ$5&gt;=$K39,AJ$5&lt;=$L39),IF(NETWORKDAYS($K39,AJ$5,休日)=1,"○",IF(NETWORKDAYS(AJ$5,$L39,休日)=1,"▶","→")),"")))</f>
        <v/>
      </c>
      <c r="AK39" s="116">
        <f>IF(OR($K39="",$L39=""),"",IF(NETWORKDAYS(AK$5,AK$5,休日)=0,"",IF(AND(AK$5&gt;=$K39,AK$5&lt;=$L39),IF(NETWORKDAYS($K39,AK$5,休日)=1,"○",IF(NETWORKDAYS(AK$5,$L39,休日)=1,"▶","→")),"")))</f>
        <v/>
      </c>
      <c r="AL39" s="116">
        <f>IF(OR($K39="",$L39=""),"",IF(NETWORKDAYS(AL$5,AL$5,休日)=0,"",IF(AND(AL$5&gt;=$K39,AL$5&lt;=$L39),IF(NETWORKDAYS($K39,AL$5,休日)=1,"○",IF(NETWORKDAYS(AL$5,$L39,休日)=1,"▶","→")),"")))</f>
        <v/>
      </c>
      <c r="AM39" s="116">
        <f>IF(OR($K39="",$L39=""),"",IF(NETWORKDAYS(AM$5,AM$5,休日)=0,"",IF(AND(AM$5&gt;=$K39,AM$5&lt;=$L39),IF(NETWORKDAYS($K39,AM$5,休日)=1,"○",IF(NETWORKDAYS(AM$5,$L39,休日)=1,"▶","→")),"")))</f>
        <v/>
      </c>
      <c r="AN39" s="116">
        <f>IF(OR($K39="",$L39=""),"",IF(NETWORKDAYS(AN$5,AN$5,休日)=0,"",IF(AND(AN$5&gt;=$K39,AN$5&lt;=$L39),IF(NETWORKDAYS($K39,AN$5,休日)=1,"○",IF(NETWORKDAYS(AN$5,$L39,休日)=1,"▶","→")),"")))</f>
        <v/>
      </c>
      <c r="AO39" s="116">
        <f>IF(OR($K39="",$L39=""),"",IF(NETWORKDAYS(AO$5,AO$5,休日)=0,"",IF(AND(AO$5&gt;=$K39,AO$5&lt;=$L39),IF(NETWORKDAYS($K39,AO$5,休日)=1,"○",IF(NETWORKDAYS(AO$5,$L39,休日)=1,"▶","→")),"")))</f>
        <v/>
      </c>
      <c r="AP39" s="116">
        <f>IF(OR($K39="",$L39=""),"",IF(NETWORKDAYS(AP$5,AP$5,休日)=0,"",IF(AND(AP$5&gt;=$K39,AP$5&lt;=$L39),IF(NETWORKDAYS($K39,AP$5,休日)=1,"○",IF(NETWORKDAYS(AP$5,$L39,休日)=1,"▶","→")),"")))</f>
        <v/>
      </c>
      <c r="AQ39" s="116">
        <f>IF(OR($K39="",$L39=""),"",IF(NETWORKDAYS(AQ$5,AQ$5,休日)=0,"",IF(AND(AQ$5&gt;=$K39,AQ$5&lt;=$L39),IF(NETWORKDAYS($K39,AQ$5,休日)=1,"○",IF(NETWORKDAYS(AQ$5,$L39,休日)=1,"▶","→")),"")))</f>
        <v/>
      </c>
      <c r="AR39" s="116">
        <f>IF(OR($K39="",$L39=""),"",IF(NETWORKDAYS(AR$5,AR$5,休日)=0,"",IF(AND(AR$5&gt;=$K39,AR$5&lt;=$L39),IF(NETWORKDAYS($K39,AR$5,休日)=1,"○",IF(NETWORKDAYS(AR$5,$L39,休日)=1,"▶","→")),"")))</f>
        <v/>
      </c>
      <c r="AS39" s="116">
        <f>IF(OR($K39="",$L39=""),"",IF(NETWORKDAYS(AS$5,AS$5,休日)=0,"",IF(AND(AS$5&gt;=$K39,AS$5&lt;=$L39),IF(NETWORKDAYS($K39,AS$5,休日)=1,"○",IF(NETWORKDAYS(AS$5,$L39,休日)=1,"▶","→")),"")))</f>
        <v/>
      </c>
      <c r="AT39" s="116">
        <f>IF(OR($K39="",$L39=""),"",IF(NETWORKDAYS(AT$5,AT$5,休日)=0,"",IF(AND(AT$5&gt;=$K39,AT$5&lt;=$L39),IF(NETWORKDAYS($K39,AT$5,休日)=1,"○",IF(NETWORKDAYS(AT$5,$L39,休日)=1,"▶","→")),"")))</f>
        <v/>
      </c>
      <c r="AU39" s="116">
        <f>IF(OR($K39="",$L39=""),"",IF(NETWORKDAYS(AU$5,AU$5,休日)=0,"",IF(AND(AU$5&gt;=$K39,AU$5&lt;=$L39),IF(NETWORKDAYS($K39,AU$5,休日)=1,"○",IF(NETWORKDAYS(AU$5,$L39,休日)=1,"▶","→")),"")))</f>
        <v/>
      </c>
      <c r="AV39" s="116">
        <f>IF(OR($K39="",$L39=""),"",IF(NETWORKDAYS(AV$5,AV$5,休日)=0,"",IF(AND(AV$5&gt;=$K39,AV$5&lt;=$L39),IF(NETWORKDAYS($K39,AV$5,休日)=1,"○",IF(NETWORKDAYS(AV$5,$L39,休日)=1,"▶","→")),"")))</f>
        <v/>
      </c>
      <c r="AW39" s="116">
        <f>IF(OR($K39="",$L39=""),"",IF(NETWORKDAYS(AW$5,AW$5,休日)=0,"",IF(AND(AW$5&gt;=$K39,AW$5&lt;=$L39),IF(NETWORKDAYS($K39,AW$5,休日)=1,"○",IF(NETWORKDAYS(AW$5,$L39,休日)=1,"▶","→")),"")))</f>
        <v/>
      </c>
      <c r="AX39" s="116">
        <f>IF(OR($K39="",$L39=""),"",IF(NETWORKDAYS(AX$5,AX$5,休日)=0,"",IF(AND(AX$5&gt;=$K39,AX$5&lt;=$L39),IF(NETWORKDAYS($K39,AX$5,休日)=1,"○",IF(NETWORKDAYS(AX$5,$L39,休日)=1,"▶","→")),"")))</f>
        <v/>
      </c>
      <c r="AY39" s="116">
        <f>IF(OR($K39="",$L39=""),"",IF(NETWORKDAYS(AY$5,AY$5,休日)=0,"",IF(AND(AY$5&gt;=$K39,AY$5&lt;=$L39),IF(NETWORKDAYS($K39,AY$5,休日)=1,"○",IF(NETWORKDAYS(AY$5,$L39,休日)=1,"▶","→")),"")))</f>
        <v/>
      </c>
      <c r="AZ39" s="116">
        <f>IF(OR($K39="",$L39=""),"",IF(NETWORKDAYS(AZ$5,AZ$5,休日)=0,"",IF(AND(AZ$5&gt;=$K39,AZ$5&lt;=$L39),IF(NETWORKDAYS($K39,AZ$5,休日)=1,"○",IF(NETWORKDAYS(AZ$5,$L39,休日)=1,"▶","→")),"")))</f>
        <v/>
      </c>
      <c r="BA39" s="116">
        <f>IF(OR($K39="",$L39=""),"",IF(NETWORKDAYS(BA$5,BA$5,休日)=0,"",IF(AND(BA$5&gt;=$K39,BA$5&lt;=$L39),IF(NETWORKDAYS($K39,BA$5,休日)=1,"○",IF(NETWORKDAYS(BA$5,$L39,休日)=1,"▶","→")),"")))</f>
        <v/>
      </c>
      <c r="BB39" s="116">
        <f>IF(OR($K39="",$L39=""),"",IF(NETWORKDAYS(BB$5,BB$5,休日)=0,"",IF(AND(BB$5&gt;=$K39,BB$5&lt;=$L39),IF(NETWORKDAYS($K39,BB$5,休日)=1,"○",IF(NETWORKDAYS(BB$5,$L39,休日)=1,"▶","→")),"")))</f>
        <v/>
      </c>
      <c r="BC39" s="116">
        <f>IF(OR($K39="",$L39=""),"",IF(NETWORKDAYS(BC$5,BC$5,休日)=0,"",IF(AND(BC$5&gt;=$K39,BC$5&lt;=$L39),IF(NETWORKDAYS($K39,BC$5,休日)=1,"○",IF(NETWORKDAYS(BC$5,$L39,休日)=1,"▶","→")),"")))</f>
        <v/>
      </c>
      <c r="BD39" s="116">
        <f>IF(OR($K39="",$L39=""),"",IF(NETWORKDAYS(BD$5,BD$5,休日)=0,"",IF(AND(BD$5&gt;=$K39,BD$5&lt;=$L39),IF(NETWORKDAYS($K39,BD$5,休日)=1,"○",IF(NETWORKDAYS(BD$5,$L39,休日)=1,"▶","→")),"")))</f>
        <v/>
      </c>
      <c r="BE39" s="116">
        <f>IF(OR($K39="",$L39=""),"",IF(NETWORKDAYS(BE$5,BE$5,休日)=0,"",IF(AND(BE$5&gt;=$K39,BE$5&lt;=$L39),IF(NETWORKDAYS($K39,BE$5,休日)=1,"○",IF(NETWORKDAYS(BE$5,$L39,休日)=1,"▶","→")),"")))</f>
        <v/>
      </c>
      <c r="BF39" s="116">
        <f>IF(OR($K39="",$L39=""),"",IF(NETWORKDAYS(BF$5,BF$5,休日)=0,"",IF(AND(BF$5&gt;=$K39,BF$5&lt;=$L39),IF(NETWORKDAYS($K39,BF$5,休日)=1,"○",IF(NETWORKDAYS(BF$5,$L39,休日)=1,"▶","→")),"")))</f>
        <v/>
      </c>
      <c r="BG39" s="116">
        <f>IF(OR($K39="",$L39=""),"",IF(NETWORKDAYS(BG$5,BG$5,休日)=0,"",IF(AND(BG$5&gt;=$K39,BG$5&lt;=$L39),IF(NETWORKDAYS($K39,BG$5,休日)=1,"○",IF(NETWORKDAYS(BG$5,$L39,休日)=1,"▶","→")),"")))</f>
        <v/>
      </c>
      <c r="BH39" s="116">
        <f>IF(OR($K39="",$L39=""),"",IF(NETWORKDAYS(BH$5,BH$5,休日)=0,"",IF(AND(BH$5&gt;=$K39,BH$5&lt;=$L39),IF(NETWORKDAYS($K39,BH$5,休日)=1,"○",IF(NETWORKDAYS(BH$5,$L39,休日)=1,"▶","→")),"")))</f>
        <v/>
      </c>
      <c r="BI39" s="116">
        <f>IF(OR($K39="",$L39=""),"",IF(NETWORKDAYS(BI$5,BI$5,休日)=0,"",IF(AND(BI$5&gt;=$K39,BI$5&lt;=$L39),IF(NETWORKDAYS($K39,BI$5,休日)=1,"○",IF(NETWORKDAYS(BI$5,$L39,休日)=1,"▶","→")),"")))</f>
        <v/>
      </c>
      <c r="BJ39" s="116">
        <f>IF(OR($K39="",$L39=""),"",IF(NETWORKDAYS(BJ$5,BJ$5,休日)=0,"",IF(AND(BJ$5&gt;=$K39,BJ$5&lt;=$L39),IF(NETWORKDAYS($K39,BJ$5,休日)=1,"○",IF(NETWORKDAYS(BJ$5,$L39,休日)=1,"▶","→")),"")))</f>
        <v/>
      </c>
      <c r="BK39" s="116">
        <f>IF(OR($K39="",$L39=""),"",IF(NETWORKDAYS(BK$5,BK$5,休日)=0,"",IF(AND(BK$5&gt;=$K39,BK$5&lt;=$L39),IF(NETWORKDAYS($K39,BK$5,休日)=1,"○",IF(NETWORKDAYS(BK$5,$L39,休日)=1,"▶","→")),"")))</f>
        <v/>
      </c>
      <c r="BL39" s="116">
        <f>IF(OR($K39="",$L39=""),"",IF(NETWORKDAYS(BL$5,BL$5,休日)=0,"",IF(AND(BL$5&gt;=$K39,BL$5&lt;=$L39),IF(NETWORKDAYS($K39,BL$5,休日)=1,"○",IF(NETWORKDAYS(BL$5,$L39,休日)=1,"▶","→")),"")))</f>
        <v/>
      </c>
      <c r="BM39" s="116">
        <f>IF(OR($K39="",$L39=""),"",IF(NETWORKDAYS(BM$5,BM$5,休日)=0,"",IF(AND(BM$5&gt;=$K39,BM$5&lt;=$L39),IF(NETWORKDAYS($K39,BM$5,休日)=1,"○",IF(NETWORKDAYS(BM$5,$L39,休日)=1,"▶","→")),"")))</f>
        <v/>
      </c>
      <c r="BN39" s="116">
        <f>IF(OR($K39="",$L39=""),"",IF(NETWORKDAYS(BN$5,BN$5,休日)=0,"",IF(AND(BN$5&gt;=$K39,BN$5&lt;=$L39),IF(NETWORKDAYS($K39,BN$5,休日)=1,"○",IF(NETWORKDAYS(BN$5,$L39,休日)=1,"▶","→")),"")))</f>
        <v/>
      </c>
      <c r="BO39" s="116">
        <f>IF(OR($K39="",$L39=""),"",IF(NETWORKDAYS(BO$5,BO$5,休日)=0,"",IF(AND(BO$5&gt;=$K39,BO$5&lt;=$L39),IF(NETWORKDAYS($K39,BO$5,休日)=1,"○",IF(NETWORKDAYS(BO$5,$L39,休日)=1,"▶","→")),"")))</f>
        <v/>
      </c>
      <c r="BP39" s="116">
        <f>IF(OR($K39="",$L39=""),"",IF(NETWORKDAYS(BP$5,BP$5,休日)=0,"",IF(AND(BP$5&gt;=$K39,BP$5&lt;=$L39),IF(NETWORKDAYS($K39,BP$5,休日)=1,"○",IF(NETWORKDAYS(BP$5,$L39,休日)=1,"▶","→")),"")))</f>
        <v/>
      </c>
      <c r="BQ39" s="116">
        <f>IF(OR($K39="",$L39=""),"",IF(NETWORKDAYS(BQ$5,BQ$5,休日)=0,"",IF(AND(BQ$5&gt;=$K39,BQ$5&lt;=$L39),IF(NETWORKDAYS($K39,BQ$5,休日)=1,"○",IF(NETWORKDAYS(BQ$5,$L39,休日)=1,"▶","→")),"")))</f>
        <v/>
      </c>
      <c r="BR39" s="116">
        <f>IF(OR($K39="",$L39=""),"",IF(NETWORKDAYS(BR$5,BR$5,休日)=0,"",IF(AND(BR$5&gt;=$K39,BR$5&lt;=$L39),IF(NETWORKDAYS($K39,BR$5,休日)=1,"○",IF(NETWORKDAYS(BR$5,$L39,休日)=1,"▶","→")),"")))</f>
        <v/>
      </c>
      <c r="BS39" s="116">
        <f>IF(OR($K39="",$L39=""),"",IF(NETWORKDAYS(BS$5,BS$5,休日)=0,"",IF(AND(BS$5&gt;=$K39,BS$5&lt;=$L39),IF(NETWORKDAYS($K39,BS$5,休日)=1,"○",IF(NETWORKDAYS(BS$5,$L39,休日)=1,"▶","→")),"")))</f>
        <v/>
      </c>
      <c r="BT39" s="116">
        <f>IF(OR($K39="",$L39=""),"",IF(NETWORKDAYS(BT$5,BT$5,休日)=0,"",IF(AND(BT$5&gt;=$K39,BT$5&lt;=$L39),IF(NETWORKDAYS($K39,BT$5,休日)=1,"○",IF(NETWORKDAYS(BT$5,$L39,休日)=1,"▶","→")),"")))</f>
        <v/>
      </c>
      <c r="BU39" s="116">
        <f>IF(OR($K39="",$L39=""),"",IF(NETWORKDAYS(BU$5,BU$5,休日)=0,"",IF(AND(BU$5&gt;=$K39,BU$5&lt;=$L39),IF(NETWORKDAYS($K39,BU$5,休日)=1,"○",IF(NETWORKDAYS(BU$5,$L39,休日)=1,"▶","→")),"")))</f>
        <v/>
      </c>
      <c r="BV39" s="116">
        <f>IF(OR($K39="",$L39=""),"",IF(NETWORKDAYS(BV$5,BV$5,休日)=0,"",IF(AND(BV$5&gt;=$K39,BV$5&lt;=$L39),IF(NETWORKDAYS($K39,BV$5,休日)=1,"○",IF(NETWORKDAYS(BV$5,$L39,休日)=1,"▶","→")),"")))</f>
        <v/>
      </c>
      <c r="BW39" s="116">
        <f>IF(OR($K39="",$L39=""),"",IF(NETWORKDAYS(BW$5,BW$5,休日)=0,"",IF(AND(BW$5&gt;=$K39,BW$5&lt;=$L39),IF(NETWORKDAYS($K39,BW$5,休日)=1,"○",IF(NETWORKDAYS(BW$5,$L39,休日)=1,"▶","→")),"")))</f>
        <v/>
      </c>
      <c r="BX39" s="116">
        <f>IF(OR($K39="",$L39=""),"",IF(NETWORKDAYS(BX$5,BX$5,休日)=0,"",IF(AND(BX$5&gt;=$K39,BX$5&lt;=$L39),IF(NETWORKDAYS($K39,BX$5,休日)=1,"○",IF(NETWORKDAYS(BX$5,$L39,休日)=1,"▶","→")),"")))</f>
        <v/>
      </c>
      <c r="BY39" s="116">
        <f>IF(OR($K39="",$L39=""),"",IF(NETWORKDAYS(BY$5,BY$5,休日)=0,"",IF(AND(BY$5&gt;=$K39,BY$5&lt;=$L39),IF(NETWORKDAYS($K39,BY$5,休日)=1,"○",IF(NETWORKDAYS(BY$5,$L39,休日)=1,"▶","→")),"")))</f>
        <v/>
      </c>
      <c r="BZ39" s="116">
        <f>IF(OR($K39="",$L39=""),"",IF(NETWORKDAYS(BZ$5,BZ$5,休日)=0,"",IF(AND(BZ$5&gt;=$K39,BZ$5&lt;=$L39),IF(NETWORKDAYS($K39,BZ$5,休日)=1,"○",IF(NETWORKDAYS(BZ$5,$L39,休日)=1,"▶","→")),"")))</f>
        <v/>
      </c>
      <c r="CA39" s="116">
        <f>IF(OR($K39="",$L39=""),"",IF(NETWORKDAYS(CA$5,CA$5,休日)=0,"",IF(AND(CA$5&gt;=$K39,CA$5&lt;=$L39),IF(NETWORKDAYS($K39,CA$5,休日)=1,"○",IF(NETWORKDAYS(CA$5,$L39,休日)=1,"▶","→")),"")))</f>
        <v/>
      </c>
      <c r="CB39" s="116">
        <f>IF(OR($K39="",$L39=""),"",IF(NETWORKDAYS(CB$5,CB$5,休日)=0,"",IF(AND(CB$5&gt;=$K39,CB$5&lt;=$L39),IF(NETWORKDAYS($K39,CB$5,休日)=1,"○",IF(NETWORKDAYS(CB$5,$L39,休日)=1,"▶","→")),"")))</f>
        <v/>
      </c>
      <c r="CC39" s="116">
        <f>IF(OR($K39="",$L39=""),"",IF(NETWORKDAYS(CC$5,CC$5,休日)=0,"",IF(AND(CC$5&gt;=$K39,CC$5&lt;=$L39),IF(NETWORKDAYS($K39,CC$5,休日)=1,"○",IF(NETWORKDAYS(CC$5,$L39,休日)=1,"▶","→")),"")))</f>
        <v/>
      </c>
      <c r="CD39" s="116">
        <f>IF(OR($K39="",$L39=""),"",IF(NETWORKDAYS(CD$5,CD$5,休日)=0,"",IF(AND(CD$5&gt;=$K39,CD$5&lt;=$L39),IF(NETWORKDAYS($K39,CD$5,休日)=1,"○",IF(NETWORKDAYS(CD$5,$L39,休日)=1,"▶","→")),"")))</f>
        <v/>
      </c>
      <c r="CE39" s="116">
        <f>IF(OR($K39="",$L39=""),"",IF(NETWORKDAYS(CE$5,CE$5,休日)=0,"",IF(AND(CE$5&gt;=$K39,CE$5&lt;=$L39),IF(NETWORKDAYS($K39,CE$5,休日)=1,"○",IF(NETWORKDAYS(CE$5,$L39,休日)=1,"▶","→")),"")))</f>
        <v/>
      </c>
      <c r="CF39" s="116">
        <f>IF(OR($K39="",$L39=""),"",IF(NETWORKDAYS(CF$5,CF$5,休日)=0,"",IF(AND(CF$5&gt;=$K39,CF$5&lt;=$L39),IF(NETWORKDAYS($K39,CF$5,休日)=1,"○",IF(NETWORKDAYS(CF$5,$L39,休日)=1,"▶","→")),"")))</f>
        <v/>
      </c>
      <c r="CG39" s="116">
        <f>IF(OR($K39="",$L39=""),"",IF(NETWORKDAYS(CG$5,CG$5,休日)=0,"",IF(AND(CG$5&gt;=$K39,CG$5&lt;=$L39),IF(NETWORKDAYS($K39,CG$5,休日)=1,"○",IF(NETWORKDAYS(CG$5,$L39,休日)=1,"▶","→")),"")))</f>
        <v/>
      </c>
      <c r="CH39" s="116">
        <f>IF(OR($K39="",$L39=""),"",IF(NETWORKDAYS(CH$5,CH$5,休日)=0,"",IF(AND(CH$5&gt;=$K39,CH$5&lt;=$L39),IF(NETWORKDAYS($K39,CH$5,休日)=1,"○",IF(NETWORKDAYS(CH$5,$L39,休日)=1,"▶","→")),"")))</f>
        <v/>
      </c>
      <c r="CI39" s="116">
        <f>IF(OR($K39="",$L39=""),"",IF(NETWORKDAYS(CI$5,CI$5,休日)=0,"",IF(AND(CI$5&gt;=$K39,CI$5&lt;=$L39),IF(NETWORKDAYS($K39,CI$5,休日)=1,"○",IF(NETWORKDAYS(CI$5,$L39,休日)=1,"▶","→")),"")))</f>
        <v/>
      </c>
      <c r="CJ39" s="116">
        <f>IF(OR($K39="",$L39=""),"",IF(NETWORKDAYS(CJ$5,CJ$5,休日)=0,"",IF(AND(CJ$5&gt;=$K39,CJ$5&lt;=$L39),IF(NETWORKDAYS($K39,CJ$5,休日)=1,"○",IF(NETWORKDAYS(CJ$5,$L39,休日)=1,"▶","→")),"")))</f>
        <v/>
      </c>
      <c r="CK39" s="116">
        <f>IF(OR($K39="",$L39=""),"",IF(NETWORKDAYS(CK$5,CK$5,休日)=0,"",IF(AND(CK$5&gt;=$K39,CK$5&lt;=$L39),IF(NETWORKDAYS($K39,CK$5,休日)=1,"○",IF(NETWORKDAYS(CK$5,$L39,休日)=1,"▶","→")),"")))</f>
        <v/>
      </c>
      <c r="CL39" s="116">
        <f>IF(OR($K39="",$L39=""),"",IF(NETWORKDAYS(CL$5,CL$5,休日)=0,"",IF(AND(CL$5&gt;=$K39,CL$5&lt;=$L39),IF(NETWORKDAYS($K39,CL$5,休日)=1,"○",IF(NETWORKDAYS(CL$5,$L39,休日)=1,"▶","→")),"")))</f>
        <v/>
      </c>
      <c r="CM39" s="116">
        <f>IF(OR($K39="",$L39=""),"",IF(NETWORKDAYS(CM$5,CM$5,休日)=0,"",IF(AND(CM$5&gt;=$K39,CM$5&lt;=$L39),IF(NETWORKDAYS($K39,CM$5,休日)=1,"○",IF(NETWORKDAYS(CM$5,$L39,休日)=1,"▶","→")),"")))</f>
        <v/>
      </c>
      <c r="CN39" s="116">
        <f>IF(OR($K39="",$L39=""),"",IF(NETWORKDAYS(CN$5,CN$5,休日)=0,"",IF(AND(CN$5&gt;=$K39,CN$5&lt;=$L39),IF(NETWORKDAYS($K39,CN$5,休日)=1,"○",IF(NETWORKDAYS(CN$5,$L39,休日)=1,"▶","→")),"")))</f>
        <v/>
      </c>
      <c r="CO39" s="116">
        <f>IF(OR($K39="",$L39=""),"",IF(NETWORKDAYS(CO$5,CO$5,休日)=0,"",IF(AND(CO$5&gt;=$K39,CO$5&lt;=$L39),IF(NETWORKDAYS($K39,CO$5,休日)=1,"○",IF(NETWORKDAYS(CO$5,$L39,休日)=1,"▶","→")),"")))</f>
        <v/>
      </c>
    </row>
    <row r="40" ht="32" customHeight="1" s="98">
      <c r="A40" s="5" t="n"/>
      <c r="B40" s="100" t="inlineStr">
        <is>
          <t>3.1.7</t>
        </is>
      </c>
      <c r="C40" s="101" t="inlineStr">
        <is>
          <t>開発</t>
        </is>
      </c>
      <c r="D40" s="101" t="inlineStr">
        <is>
          <t>Layer①</t>
        </is>
      </c>
      <c r="E40" s="101" t="inlineStr">
        <is>
          <t>生鮮入荷実績</t>
        </is>
      </c>
      <c r="F40" s="101" t="inlineStr">
        <is>
          <t>生鮮入荷実績</t>
        </is>
      </c>
      <c r="G40" s="100" t="inlineStr">
        <is>
          <t>差分</t>
        </is>
      </c>
      <c r="H40" s="100" t="inlineStr">
        <is>
          <t>未定</t>
        </is>
      </c>
      <c r="I40" s="113" t="n">
        <v>5</v>
      </c>
      <c r="J40" s="100" t="inlineStr">
        <is>
          <t>－</t>
        </is>
      </c>
      <c r="K40" s="114" t="n">
        <v>46328</v>
      </c>
      <c r="L40" s="114" t="n">
        <v>46374</v>
      </c>
      <c r="M40" s="114" t="n"/>
      <c r="N40" s="114" t="n"/>
      <c r="O40" s="100" t="inlineStr">
        <is>
          <t>未着手</t>
        </is>
      </c>
      <c r="P40" s="115" t="n">
        <v>0</v>
      </c>
      <c r="Q40" s="100" t="inlineStr">
        <is>
          <t>G③</t>
        </is>
      </c>
      <c r="R40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40" s="116">
        <f>IF(OR($K40="",$L40=""),"",IF(NETWORKDAYS(S$5,S$5,休日)=0,"",IF(AND(S$5&gt;=$K40,S$5&lt;=$L40),IF(NETWORKDAYS($K40,S$5,休日)=1,"○",IF(NETWORKDAYS(S$5,$L40,休日)=1,"▶","→")),"")))</f>
        <v/>
      </c>
      <c r="T40" s="116">
        <f>IF(OR($K40="",$L40=""),"",IF(NETWORKDAYS(T$5,T$5,休日)=0,"",IF(AND(T$5&gt;=$K40,T$5&lt;=$L40),IF(NETWORKDAYS($K40,T$5,休日)=1,"○",IF(NETWORKDAYS(T$5,$L40,休日)=1,"▶","→")),"")))</f>
        <v/>
      </c>
      <c r="U40" s="116">
        <f>IF(OR($K40="",$L40=""),"",IF(NETWORKDAYS(U$5,U$5,休日)=0,"",IF(AND(U$5&gt;=$K40,U$5&lt;=$L40),IF(NETWORKDAYS($K40,U$5,休日)=1,"○",IF(NETWORKDAYS(U$5,$L40,休日)=1,"▶","→")),"")))</f>
        <v/>
      </c>
      <c r="V40" s="116">
        <f>IF(OR($K40="",$L40=""),"",IF(NETWORKDAYS(V$5,V$5,休日)=0,"",IF(AND(V$5&gt;=$K40,V$5&lt;=$L40),IF(NETWORKDAYS($K40,V$5,休日)=1,"○",IF(NETWORKDAYS(V$5,$L40,休日)=1,"▶","→")),"")))</f>
        <v/>
      </c>
      <c r="W40" s="116">
        <f>IF(OR($K40="",$L40=""),"",IF(NETWORKDAYS(W$5,W$5,休日)=0,"",IF(AND(W$5&gt;=$K40,W$5&lt;=$L40),IF(NETWORKDAYS($K40,W$5,休日)=1,"○",IF(NETWORKDAYS(W$5,$L40,休日)=1,"▶","→")),"")))</f>
        <v/>
      </c>
      <c r="X40" s="116">
        <f>IF(OR($K40="",$L40=""),"",IF(NETWORKDAYS(X$5,X$5,休日)=0,"",IF(AND(X$5&gt;=$K40,X$5&lt;=$L40),IF(NETWORKDAYS($K40,X$5,休日)=1,"○",IF(NETWORKDAYS(X$5,$L40,休日)=1,"▶","→")),"")))</f>
        <v/>
      </c>
      <c r="Y40" s="116">
        <f>IF(OR($K40="",$L40=""),"",IF(NETWORKDAYS(Y$5,Y$5,休日)=0,"",IF(AND(Y$5&gt;=$K40,Y$5&lt;=$L40),IF(NETWORKDAYS($K40,Y$5,休日)=1,"○",IF(NETWORKDAYS(Y$5,$L40,休日)=1,"▶","→")),"")))</f>
        <v/>
      </c>
      <c r="Z40" s="116">
        <f>IF(OR($K40="",$L40=""),"",IF(NETWORKDAYS(Z$5,Z$5,休日)=0,"",IF(AND(Z$5&gt;=$K40,Z$5&lt;=$L40),IF(NETWORKDAYS($K40,Z$5,休日)=1,"○",IF(NETWORKDAYS(Z$5,$L40,休日)=1,"▶","→")),"")))</f>
        <v/>
      </c>
      <c r="AA40" s="116">
        <f>IF(OR($K40="",$L40=""),"",IF(NETWORKDAYS(AA$5,AA$5,休日)=0,"",IF(AND(AA$5&gt;=$K40,AA$5&lt;=$L40),IF(NETWORKDAYS($K40,AA$5,休日)=1,"○",IF(NETWORKDAYS(AA$5,$L40,休日)=1,"▶","→")),"")))</f>
        <v/>
      </c>
      <c r="AB40" s="116">
        <f>IF(OR($K40="",$L40=""),"",IF(NETWORKDAYS(AB$5,AB$5,休日)=0,"",IF(AND(AB$5&gt;=$K40,AB$5&lt;=$L40),IF(NETWORKDAYS($K40,AB$5,休日)=1,"○",IF(NETWORKDAYS(AB$5,$L40,休日)=1,"▶","→")),"")))</f>
        <v/>
      </c>
      <c r="AC40" s="116">
        <f>IF(OR($K40="",$L40=""),"",IF(NETWORKDAYS(AC$5,AC$5,休日)=0,"",IF(AND(AC$5&gt;=$K40,AC$5&lt;=$L40),IF(NETWORKDAYS($K40,AC$5,休日)=1,"○",IF(NETWORKDAYS(AC$5,$L40,休日)=1,"▶","→")),"")))</f>
        <v/>
      </c>
      <c r="AD40" s="116">
        <f>IF(OR($K40="",$L40=""),"",IF(NETWORKDAYS(AD$5,AD$5,休日)=0,"",IF(AND(AD$5&gt;=$K40,AD$5&lt;=$L40),IF(NETWORKDAYS($K40,AD$5,休日)=1,"○",IF(NETWORKDAYS(AD$5,$L40,休日)=1,"▶","→")),"")))</f>
        <v/>
      </c>
      <c r="AE40" s="116">
        <f>IF(OR($K40="",$L40=""),"",IF(NETWORKDAYS(AE$5,AE$5,休日)=0,"",IF(AND(AE$5&gt;=$K40,AE$5&lt;=$L40),IF(NETWORKDAYS($K40,AE$5,休日)=1,"○",IF(NETWORKDAYS(AE$5,$L40,休日)=1,"▶","→")),"")))</f>
        <v/>
      </c>
      <c r="AF40" s="116">
        <f>IF(OR($K40="",$L40=""),"",IF(NETWORKDAYS(AF$5,AF$5,休日)=0,"",IF(AND(AF$5&gt;=$K40,AF$5&lt;=$L40),IF(NETWORKDAYS($K40,AF$5,休日)=1,"○",IF(NETWORKDAYS(AF$5,$L40,休日)=1,"▶","→")),"")))</f>
        <v/>
      </c>
      <c r="AG40" s="116">
        <f>IF(OR($K40="",$L40=""),"",IF(NETWORKDAYS(AG$5,AG$5,休日)=0,"",IF(AND(AG$5&gt;=$K40,AG$5&lt;=$L40),IF(NETWORKDAYS($K40,AG$5,休日)=1,"○",IF(NETWORKDAYS(AG$5,$L40,休日)=1,"▶","→")),"")))</f>
        <v/>
      </c>
      <c r="AH40" s="116">
        <f>IF(OR($K40="",$L40=""),"",IF(NETWORKDAYS(AH$5,AH$5,休日)=0,"",IF(AND(AH$5&gt;=$K40,AH$5&lt;=$L40),IF(NETWORKDAYS($K40,AH$5,休日)=1,"○",IF(NETWORKDAYS(AH$5,$L40,休日)=1,"▶","→")),"")))</f>
        <v/>
      </c>
      <c r="AI40" s="116">
        <f>IF(OR($K40="",$L40=""),"",IF(NETWORKDAYS(AI$5,AI$5,休日)=0,"",IF(AND(AI$5&gt;=$K40,AI$5&lt;=$L40),IF(NETWORKDAYS($K40,AI$5,休日)=1,"○",IF(NETWORKDAYS(AI$5,$L40,休日)=1,"▶","→")),"")))</f>
        <v/>
      </c>
      <c r="AJ40" s="116">
        <f>IF(OR($K40="",$L40=""),"",IF(NETWORKDAYS(AJ$5,AJ$5,休日)=0,"",IF(AND(AJ$5&gt;=$K40,AJ$5&lt;=$L40),IF(NETWORKDAYS($K40,AJ$5,休日)=1,"○",IF(NETWORKDAYS(AJ$5,$L40,休日)=1,"▶","→")),"")))</f>
        <v/>
      </c>
      <c r="AK40" s="116">
        <f>IF(OR($K40="",$L40=""),"",IF(NETWORKDAYS(AK$5,AK$5,休日)=0,"",IF(AND(AK$5&gt;=$K40,AK$5&lt;=$L40),IF(NETWORKDAYS($K40,AK$5,休日)=1,"○",IF(NETWORKDAYS(AK$5,$L40,休日)=1,"▶","→")),"")))</f>
        <v/>
      </c>
      <c r="AL40" s="116">
        <f>IF(OR($K40="",$L40=""),"",IF(NETWORKDAYS(AL$5,AL$5,休日)=0,"",IF(AND(AL$5&gt;=$K40,AL$5&lt;=$L40),IF(NETWORKDAYS($K40,AL$5,休日)=1,"○",IF(NETWORKDAYS(AL$5,$L40,休日)=1,"▶","→")),"")))</f>
        <v/>
      </c>
      <c r="AM40" s="116">
        <f>IF(OR($K40="",$L40=""),"",IF(NETWORKDAYS(AM$5,AM$5,休日)=0,"",IF(AND(AM$5&gt;=$K40,AM$5&lt;=$L40),IF(NETWORKDAYS($K40,AM$5,休日)=1,"○",IF(NETWORKDAYS(AM$5,$L40,休日)=1,"▶","→")),"")))</f>
        <v/>
      </c>
      <c r="AN40" s="116">
        <f>IF(OR($K40="",$L40=""),"",IF(NETWORKDAYS(AN$5,AN$5,休日)=0,"",IF(AND(AN$5&gt;=$K40,AN$5&lt;=$L40),IF(NETWORKDAYS($K40,AN$5,休日)=1,"○",IF(NETWORKDAYS(AN$5,$L40,休日)=1,"▶","→")),"")))</f>
        <v/>
      </c>
      <c r="AO40" s="116">
        <f>IF(OR($K40="",$L40=""),"",IF(NETWORKDAYS(AO$5,AO$5,休日)=0,"",IF(AND(AO$5&gt;=$K40,AO$5&lt;=$L40),IF(NETWORKDAYS($K40,AO$5,休日)=1,"○",IF(NETWORKDAYS(AO$5,$L40,休日)=1,"▶","→")),"")))</f>
        <v/>
      </c>
      <c r="AP40" s="116">
        <f>IF(OR($K40="",$L40=""),"",IF(NETWORKDAYS(AP$5,AP$5,休日)=0,"",IF(AND(AP$5&gt;=$K40,AP$5&lt;=$L40),IF(NETWORKDAYS($K40,AP$5,休日)=1,"○",IF(NETWORKDAYS(AP$5,$L40,休日)=1,"▶","→")),"")))</f>
        <v/>
      </c>
      <c r="AQ40" s="116">
        <f>IF(OR($K40="",$L40=""),"",IF(NETWORKDAYS(AQ$5,AQ$5,休日)=0,"",IF(AND(AQ$5&gt;=$K40,AQ$5&lt;=$L40),IF(NETWORKDAYS($K40,AQ$5,休日)=1,"○",IF(NETWORKDAYS(AQ$5,$L40,休日)=1,"▶","→")),"")))</f>
        <v/>
      </c>
      <c r="AR40" s="116">
        <f>IF(OR($K40="",$L40=""),"",IF(NETWORKDAYS(AR$5,AR$5,休日)=0,"",IF(AND(AR$5&gt;=$K40,AR$5&lt;=$L40),IF(NETWORKDAYS($K40,AR$5,休日)=1,"○",IF(NETWORKDAYS(AR$5,$L40,休日)=1,"▶","→")),"")))</f>
        <v/>
      </c>
      <c r="AS40" s="116">
        <f>IF(OR($K40="",$L40=""),"",IF(NETWORKDAYS(AS$5,AS$5,休日)=0,"",IF(AND(AS$5&gt;=$K40,AS$5&lt;=$L40),IF(NETWORKDAYS($K40,AS$5,休日)=1,"○",IF(NETWORKDAYS(AS$5,$L40,休日)=1,"▶","→")),"")))</f>
        <v/>
      </c>
      <c r="AT40" s="116">
        <f>IF(OR($K40="",$L40=""),"",IF(NETWORKDAYS(AT$5,AT$5,休日)=0,"",IF(AND(AT$5&gt;=$K40,AT$5&lt;=$L40),IF(NETWORKDAYS($K40,AT$5,休日)=1,"○",IF(NETWORKDAYS(AT$5,$L40,休日)=1,"▶","→")),"")))</f>
        <v/>
      </c>
      <c r="AU40" s="116">
        <f>IF(OR($K40="",$L40=""),"",IF(NETWORKDAYS(AU$5,AU$5,休日)=0,"",IF(AND(AU$5&gt;=$K40,AU$5&lt;=$L40),IF(NETWORKDAYS($K40,AU$5,休日)=1,"○",IF(NETWORKDAYS(AU$5,$L40,休日)=1,"▶","→")),"")))</f>
        <v/>
      </c>
      <c r="AV40" s="116">
        <f>IF(OR($K40="",$L40=""),"",IF(NETWORKDAYS(AV$5,AV$5,休日)=0,"",IF(AND(AV$5&gt;=$K40,AV$5&lt;=$L40),IF(NETWORKDAYS($K40,AV$5,休日)=1,"○",IF(NETWORKDAYS(AV$5,$L40,休日)=1,"▶","→")),"")))</f>
        <v/>
      </c>
      <c r="AW40" s="116">
        <f>IF(OR($K40="",$L40=""),"",IF(NETWORKDAYS(AW$5,AW$5,休日)=0,"",IF(AND(AW$5&gt;=$K40,AW$5&lt;=$L40),IF(NETWORKDAYS($K40,AW$5,休日)=1,"○",IF(NETWORKDAYS(AW$5,$L40,休日)=1,"▶","→")),"")))</f>
        <v/>
      </c>
      <c r="AX40" s="116">
        <f>IF(OR($K40="",$L40=""),"",IF(NETWORKDAYS(AX$5,AX$5,休日)=0,"",IF(AND(AX$5&gt;=$K40,AX$5&lt;=$L40),IF(NETWORKDAYS($K40,AX$5,休日)=1,"○",IF(NETWORKDAYS(AX$5,$L40,休日)=1,"▶","→")),"")))</f>
        <v/>
      </c>
      <c r="AY40" s="116">
        <f>IF(OR($K40="",$L40=""),"",IF(NETWORKDAYS(AY$5,AY$5,休日)=0,"",IF(AND(AY$5&gt;=$K40,AY$5&lt;=$L40),IF(NETWORKDAYS($K40,AY$5,休日)=1,"○",IF(NETWORKDAYS(AY$5,$L40,休日)=1,"▶","→")),"")))</f>
        <v/>
      </c>
      <c r="AZ40" s="116">
        <f>IF(OR($K40="",$L40=""),"",IF(NETWORKDAYS(AZ$5,AZ$5,休日)=0,"",IF(AND(AZ$5&gt;=$K40,AZ$5&lt;=$L40),IF(NETWORKDAYS($K40,AZ$5,休日)=1,"○",IF(NETWORKDAYS(AZ$5,$L40,休日)=1,"▶","→")),"")))</f>
        <v/>
      </c>
      <c r="BA40" s="116">
        <f>IF(OR($K40="",$L40=""),"",IF(NETWORKDAYS(BA$5,BA$5,休日)=0,"",IF(AND(BA$5&gt;=$K40,BA$5&lt;=$L40),IF(NETWORKDAYS($K40,BA$5,休日)=1,"○",IF(NETWORKDAYS(BA$5,$L40,休日)=1,"▶","→")),"")))</f>
        <v/>
      </c>
      <c r="BB40" s="116">
        <f>IF(OR($K40="",$L40=""),"",IF(NETWORKDAYS(BB$5,BB$5,休日)=0,"",IF(AND(BB$5&gt;=$K40,BB$5&lt;=$L40),IF(NETWORKDAYS($K40,BB$5,休日)=1,"○",IF(NETWORKDAYS(BB$5,$L40,休日)=1,"▶","→")),"")))</f>
        <v/>
      </c>
      <c r="BC40" s="116">
        <f>IF(OR($K40="",$L40=""),"",IF(NETWORKDAYS(BC$5,BC$5,休日)=0,"",IF(AND(BC$5&gt;=$K40,BC$5&lt;=$L40),IF(NETWORKDAYS($K40,BC$5,休日)=1,"○",IF(NETWORKDAYS(BC$5,$L40,休日)=1,"▶","→")),"")))</f>
        <v/>
      </c>
      <c r="BD40" s="116">
        <f>IF(OR($K40="",$L40=""),"",IF(NETWORKDAYS(BD$5,BD$5,休日)=0,"",IF(AND(BD$5&gt;=$K40,BD$5&lt;=$L40),IF(NETWORKDAYS($K40,BD$5,休日)=1,"○",IF(NETWORKDAYS(BD$5,$L40,休日)=1,"▶","→")),"")))</f>
        <v/>
      </c>
      <c r="BE40" s="116">
        <f>IF(OR($K40="",$L40=""),"",IF(NETWORKDAYS(BE$5,BE$5,休日)=0,"",IF(AND(BE$5&gt;=$K40,BE$5&lt;=$L40),IF(NETWORKDAYS($K40,BE$5,休日)=1,"○",IF(NETWORKDAYS(BE$5,$L40,休日)=1,"▶","→")),"")))</f>
        <v/>
      </c>
      <c r="BF40" s="116">
        <f>IF(OR($K40="",$L40=""),"",IF(NETWORKDAYS(BF$5,BF$5,休日)=0,"",IF(AND(BF$5&gt;=$K40,BF$5&lt;=$L40),IF(NETWORKDAYS($K40,BF$5,休日)=1,"○",IF(NETWORKDAYS(BF$5,$L40,休日)=1,"▶","→")),"")))</f>
        <v/>
      </c>
      <c r="BG40" s="116">
        <f>IF(OR($K40="",$L40=""),"",IF(NETWORKDAYS(BG$5,BG$5,休日)=0,"",IF(AND(BG$5&gt;=$K40,BG$5&lt;=$L40),IF(NETWORKDAYS($K40,BG$5,休日)=1,"○",IF(NETWORKDAYS(BG$5,$L40,休日)=1,"▶","→")),"")))</f>
        <v/>
      </c>
      <c r="BH40" s="116">
        <f>IF(OR($K40="",$L40=""),"",IF(NETWORKDAYS(BH$5,BH$5,休日)=0,"",IF(AND(BH$5&gt;=$K40,BH$5&lt;=$L40),IF(NETWORKDAYS($K40,BH$5,休日)=1,"○",IF(NETWORKDAYS(BH$5,$L40,休日)=1,"▶","→")),"")))</f>
        <v/>
      </c>
      <c r="BI40" s="116">
        <f>IF(OR($K40="",$L40=""),"",IF(NETWORKDAYS(BI$5,BI$5,休日)=0,"",IF(AND(BI$5&gt;=$K40,BI$5&lt;=$L40),IF(NETWORKDAYS($K40,BI$5,休日)=1,"○",IF(NETWORKDAYS(BI$5,$L40,休日)=1,"▶","→")),"")))</f>
        <v/>
      </c>
      <c r="BJ40" s="116">
        <f>IF(OR($K40="",$L40=""),"",IF(NETWORKDAYS(BJ$5,BJ$5,休日)=0,"",IF(AND(BJ$5&gt;=$K40,BJ$5&lt;=$L40),IF(NETWORKDAYS($K40,BJ$5,休日)=1,"○",IF(NETWORKDAYS(BJ$5,$L40,休日)=1,"▶","→")),"")))</f>
        <v/>
      </c>
      <c r="BK40" s="116">
        <f>IF(OR($K40="",$L40=""),"",IF(NETWORKDAYS(BK$5,BK$5,休日)=0,"",IF(AND(BK$5&gt;=$K40,BK$5&lt;=$L40),IF(NETWORKDAYS($K40,BK$5,休日)=1,"○",IF(NETWORKDAYS(BK$5,$L40,休日)=1,"▶","→")),"")))</f>
        <v/>
      </c>
      <c r="BL40" s="116">
        <f>IF(OR($K40="",$L40=""),"",IF(NETWORKDAYS(BL$5,BL$5,休日)=0,"",IF(AND(BL$5&gt;=$K40,BL$5&lt;=$L40),IF(NETWORKDAYS($K40,BL$5,休日)=1,"○",IF(NETWORKDAYS(BL$5,$L40,休日)=1,"▶","→")),"")))</f>
        <v/>
      </c>
      <c r="BM40" s="116">
        <f>IF(OR($K40="",$L40=""),"",IF(NETWORKDAYS(BM$5,BM$5,休日)=0,"",IF(AND(BM$5&gt;=$K40,BM$5&lt;=$L40),IF(NETWORKDAYS($K40,BM$5,休日)=1,"○",IF(NETWORKDAYS(BM$5,$L40,休日)=1,"▶","→")),"")))</f>
        <v/>
      </c>
      <c r="BN40" s="116">
        <f>IF(OR($K40="",$L40=""),"",IF(NETWORKDAYS(BN$5,BN$5,休日)=0,"",IF(AND(BN$5&gt;=$K40,BN$5&lt;=$L40),IF(NETWORKDAYS($K40,BN$5,休日)=1,"○",IF(NETWORKDAYS(BN$5,$L40,休日)=1,"▶","→")),"")))</f>
        <v/>
      </c>
      <c r="BO40" s="116">
        <f>IF(OR($K40="",$L40=""),"",IF(NETWORKDAYS(BO$5,BO$5,休日)=0,"",IF(AND(BO$5&gt;=$K40,BO$5&lt;=$L40),IF(NETWORKDAYS($K40,BO$5,休日)=1,"○",IF(NETWORKDAYS(BO$5,$L40,休日)=1,"▶","→")),"")))</f>
        <v/>
      </c>
      <c r="BP40" s="116">
        <f>IF(OR($K40="",$L40=""),"",IF(NETWORKDAYS(BP$5,BP$5,休日)=0,"",IF(AND(BP$5&gt;=$K40,BP$5&lt;=$L40),IF(NETWORKDAYS($K40,BP$5,休日)=1,"○",IF(NETWORKDAYS(BP$5,$L40,休日)=1,"▶","→")),"")))</f>
        <v/>
      </c>
      <c r="BQ40" s="116">
        <f>IF(OR($K40="",$L40=""),"",IF(NETWORKDAYS(BQ$5,BQ$5,休日)=0,"",IF(AND(BQ$5&gt;=$K40,BQ$5&lt;=$L40),IF(NETWORKDAYS($K40,BQ$5,休日)=1,"○",IF(NETWORKDAYS(BQ$5,$L40,休日)=1,"▶","→")),"")))</f>
        <v/>
      </c>
      <c r="BR40" s="116">
        <f>IF(OR($K40="",$L40=""),"",IF(NETWORKDAYS(BR$5,BR$5,休日)=0,"",IF(AND(BR$5&gt;=$K40,BR$5&lt;=$L40),IF(NETWORKDAYS($K40,BR$5,休日)=1,"○",IF(NETWORKDAYS(BR$5,$L40,休日)=1,"▶","→")),"")))</f>
        <v/>
      </c>
      <c r="BS40" s="116">
        <f>IF(OR($K40="",$L40=""),"",IF(NETWORKDAYS(BS$5,BS$5,休日)=0,"",IF(AND(BS$5&gt;=$K40,BS$5&lt;=$L40),IF(NETWORKDAYS($K40,BS$5,休日)=1,"○",IF(NETWORKDAYS(BS$5,$L40,休日)=1,"▶","→")),"")))</f>
        <v/>
      </c>
      <c r="BT40" s="116">
        <f>IF(OR($K40="",$L40=""),"",IF(NETWORKDAYS(BT$5,BT$5,休日)=0,"",IF(AND(BT$5&gt;=$K40,BT$5&lt;=$L40),IF(NETWORKDAYS($K40,BT$5,休日)=1,"○",IF(NETWORKDAYS(BT$5,$L40,休日)=1,"▶","→")),"")))</f>
        <v/>
      </c>
      <c r="BU40" s="116">
        <f>IF(OR($K40="",$L40=""),"",IF(NETWORKDAYS(BU$5,BU$5,休日)=0,"",IF(AND(BU$5&gt;=$K40,BU$5&lt;=$L40),IF(NETWORKDAYS($K40,BU$5,休日)=1,"○",IF(NETWORKDAYS(BU$5,$L40,休日)=1,"▶","→")),"")))</f>
        <v/>
      </c>
      <c r="BV40" s="116">
        <f>IF(OR($K40="",$L40=""),"",IF(NETWORKDAYS(BV$5,BV$5,休日)=0,"",IF(AND(BV$5&gt;=$K40,BV$5&lt;=$L40),IF(NETWORKDAYS($K40,BV$5,休日)=1,"○",IF(NETWORKDAYS(BV$5,$L40,休日)=1,"▶","→")),"")))</f>
        <v/>
      </c>
      <c r="BW40" s="116">
        <f>IF(OR($K40="",$L40=""),"",IF(NETWORKDAYS(BW$5,BW$5,休日)=0,"",IF(AND(BW$5&gt;=$K40,BW$5&lt;=$L40),IF(NETWORKDAYS($K40,BW$5,休日)=1,"○",IF(NETWORKDAYS(BW$5,$L40,休日)=1,"▶","→")),"")))</f>
        <v/>
      </c>
      <c r="BX40" s="116">
        <f>IF(OR($K40="",$L40=""),"",IF(NETWORKDAYS(BX$5,BX$5,休日)=0,"",IF(AND(BX$5&gt;=$K40,BX$5&lt;=$L40),IF(NETWORKDAYS($K40,BX$5,休日)=1,"○",IF(NETWORKDAYS(BX$5,$L40,休日)=1,"▶","→")),"")))</f>
        <v/>
      </c>
      <c r="BY40" s="116">
        <f>IF(OR($K40="",$L40=""),"",IF(NETWORKDAYS(BY$5,BY$5,休日)=0,"",IF(AND(BY$5&gt;=$K40,BY$5&lt;=$L40),IF(NETWORKDAYS($K40,BY$5,休日)=1,"○",IF(NETWORKDAYS(BY$5,$L40,休日)=1,"▶","→")),"")))</f>
        <v/>
      </c>
      <c r="BZ40" s="116">
        <f>IF(OR($K40="",$L40=""),"",IF(NETWORKDAYS(BZ$5,BZ$5,休日)=0,"",IF(AND(BZ$5&gt;=$K40,BZ$5&lt;=$L40),IF(NETWORKDAYS($K40,BZ$5,休日)=1,"○",IF(NETWORKDAYS(BZ$5,$L40,休日)=1,"▶","→")),"")))</f>
        <v/>
      </c>
      <c r="CA40" s="116">
        <f>IF(OR($K40="",$L40=""),"",IF(NETWORKDAYS(CA$5,CA$5,休日)=0,"",IF(AND(CA$5&gt;=$K40,CA$5&lt;=$L40),IF(NETWORKDAYS($K40,CA$5,休日)=1,"○",IF(NETWORKDAYS(CA$5,$L40,休日)=1,"▶","→")),"")))</f>
        <v/>
      </c>
      <c r="CB40" s="116">
        <f>IF(OR($K40="",$L40=""),"",IF(NETWORKDAYS(CB$5,CB$5,休日)=0,"",IF(AND(CB$5&gt;=$K40,CB$5&lt;=$L40),IF(NETWORKDAYS($K40,CB$5,休日)=1,"○",IF(NETWORKDAYS(CB$5,$L40,休日)=1,"▶","→")),"")))</f>
        <v/>
      </c>
      <c r="CC40" s="116">
        <f>IF(OR($K40="",$L40=""),"",IF(NETWORKDAYS(CC$5,CC$5,休日)=0,"",IF(AND(CC$5&gt;=$K40,CC$5&lt;=$L40),IF(NETWORKDAYS($K40,CC$5,休日)=1,"○",IF(NETWORKDAYS(CC$5,$L40,休日)=1,"▶","→")),"")))</f>
        <v/>
      </c>
      <c r="CD40" s="116">
        <f>IF(OR($K40="",$L40=""),"",IF(NETWORKDAYS(CD$5,CD$5,休日)=0,"",IF(AND(CD$5&gt;=$K40,CD$5&lt;=$L40),IF(NETWORKDAYS($K40,CD$5,休日)=1,"○",IF(NETWORKDAYS(CD$5,$L40,休日)=1,"▶","→")),"")))</f>
        <v/>
      </c>
      <c r="CE40" s="116">
        <f>IF(OR($K40="",$L40=""),"",IF(NETWORKDAYS(CE$5,CE$5,休日)=0,"",IF(AND(CE$5&gt;=$K40,CE$5&lt;=$L40),IF(NETWORKDAYS($K40,CE$5,休日)=1,"○",IF(NETWORKDAYS(CE$5,$L40,休日)=1,"▶","→")),"")))</f>
        <v/>
      </c>
      <c r="CF40" s="116">
        <f>IF(OR($K40="",$L40=""),"",IF(NETWORKDAYS(CF$5,CF$5,休日)=0,"",IF(AND(CF$5&gt;=$K40,CF$5&lt;=$L40),IF(NETWORKDAYS($K40,CF$5,休日)=1,"○",IF(NETWORKDAYS(CF$5,$L40,休日)=1,"▶","→")),"")))</f>
        <v/>
      </c>
      <c r="CG40" s="116">
        <f>IF(OR($K40="",$L40=""),"",IF(NETWORKDAYS(CG$5,CG$5,休日)=0,"",IF(AND(CG$5&gt;=$K40,CG$5&lt;=$L40),IF(NETWORKDAYS($K40,CG$5,休日)=1,"○",IF(NETWORKDAYS(CG$5,$L40,休日)=1,"▶","→")),"")))</f>
        <v/>
      </c>
      <c r="CH40" s="116">
        <f>IF(OR($K40="",$L40=""),"",IF(NETWORKDAYS(CH$5,CH$5,休日)=0,"",IF(AND(CH$5&gt;=$K40,CH$5&lt;=$L40),IF(NETWORKDAYS($K40,CH$5,休日)=1,"○",IF(NETWORKDAYS(CH$5,$L40,休日)=1,"▶","→")),"")))</f>
        <v/>
      </c>
      <c r="CI40" s="116">
        <f>IF(OR($K40="",$L40=""),"",IF(NETWORKDAYS(CI$5,CI$5,休日)=0,"",IF(AND(CI$5&gt;=$K40,CI$5&lt;=$L40),IF(NETWORKDAYS($K40,CI$5,休日)=1,"○",IF(NETWORKDAYS(CI$5,$L40,休日)=1,"▶","→")),"")))</f>
        <v/>
      </c>
      <c r="CJ40" s="116">
        <f>IF(OR($K40="",$L40=""),"",IF(NETWORKDAYS(CJ$5,CJ$5,休日)=0,"",IF(AND(CJ$5&gt;=$K40,CJ$5&lt;=$L40),IF(NETWORKDAYS($K40,CJ$5,休日)=1,"○",IF(NETWORKDAYS(CJ$5,$L40,休日)=1,"▶","→")),"")))</f>
        <v/>
      </c>
      <c r="CK40" s="116">
        <f>IF(OR($K40="",$L40=""),"",IF(NETWORKDAYS(CK$5,CK$5,休日)=0,"",IF(AND(CK$5&gt;=$K40,CK$5&lt;=$L40),IF(NETWORKDAYS($K40,CK$5,休日)=1,"○",IF(NETWORKDAYS(CK$5,$L40,休日)=1,"▶","→")),"")))</f>
        <v/>
      </c>
      <c r="CL40" s="116">
        <f>IF(OR($K40="",$L40=""),"",IF(NETWORKDAYS(CL$5,CL$5,休日)=0,"",IF(AND(CL$5&gt;=$K40,CL$5&lt;=$L40),IF(NETWORKDAYS($K40,CL$5,休日)=1,"○",IF(NETWORKDAYS(CL$5,$L40,休日)=1,"▶","→")),"")))</f>
        <v/>
      </c>
      <c r="CM40" s="116">
        <f>IF(OR($K40="",$L40=""),"",IF(NETWORKDAYS(CM$5,CM$5,休日)=0,"",IF(AND(CM$5&gt;=$K40,CM$5&lt;=$L40),IF(NETWORKDAYS($K40,CM$5,休日)=1,"○",IF(NETWORKDAYS(CM$5,$L40,休日)=1,"▶","→")),"")))</f>
        <v/>
      </c>
      <c r="CN40" s="116">
        <f>IF(OR($K40="",$L40=""),"",IF(NETWORKDAYS(CN$5,CN$5,休日)=0,"",IF(AND(CN$5&gt;=$K40,CN$5&lt;=$L40),IF(NETWORKDAYS($K40,CN$5,休日)=1,"○",IF(NETWORKDAYS(CN$5,$L40,休日)=1,"▶","→")),"")))</f>
        <v/>
      </c>
      <c r="CO40" s="116">
        <f>IF(OR($K40="",$L40=""),"",IF(NETWORKDAYS(CO$5,CO$5,休日)=0,"",IF(AND(CO$5&gt;=$K40,CO$5&lt;=$L40),IF(NETWORKDAYS($K40,CO$5,休日)=1,"○",IF(NETWORKDAYS(CO$5,$L40,休日)=1,"▶","→")),"")))</f>
        <v/>
      </c>
    </row>
    <row r="41" ht="32" customHeight="1" s="98">
      <c r="A41" s="5" t="n"/>
      <c r="B41" s="100" t="inlineStr">
        <is>
          <t>3.1.8</t>
        </is>
      </c>
      <c r="C41" s="101" t="inlineStr">
        <is>
          <t>開発</t>
        </is>
      </c>
      <c r="D41" s="101" t="inlineStr">
        <is>
          <t>Layer③</t>
        </is>
      </c>
      <c r="E41" s="101" t="inlineStr">
        <is>
          <t>生鮮入荷実績</t>
        </is>
      </c>
      <c r="F41" s="101" t="inlineStr">
        <is>
          <t>生鮮入荷実績</t>
        </is>
      </c>
      <c r="G41" s="100" t="inlineStr">
        <is>
          <t>差分</t>
        </is>
      </c>
      <c r="H41" s="100" t="inlineStr">
        <is>
          <t>未定</t>
        </is>
      </c>
      <c r="I41" s="113" t="n">
        <v>1</v>
      </c>
      <c r="J41" s="100" t="inlineStr">
        <is>
          <t>－</t>
        </is>
      </c>
      <c r="K41" s="114" t="n">
        <v>46328</v>
      </c>
      <c r="L41" s="114" t="n">
        <v>46374</v>
      </c>
      <c r="M41" s="114" t="n"/>
      <c r="N41" s="114" t="n"/>
      <c r="O41" s="100" t="inlineStr">
        <is>
          <t>未着手</t>
        </is>
      </c>
      <c r="P41" s="115" t="n">
        <v>0</v>
      </c>
      <c r="Q41" s="100" t="inlineStr">
        <is>
          <t>G③</t>
        </is>
      </c>
      <c r="R41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41" s="116">
        <f>IF(OR($K41="",$L41=""),"",IF(NETWORKDAYS(S$5,S$5,休日)=0,"",IF(AND(S$5&gt;=$K41,S$5&lt;=$L41),IF(NETWORKDAYS($K41,S$5,休日)=1,"○",IF(NETWORKDAYS(S$5,$L41,休日)=1,"▶","→")),"")))</f>
        <v/>
      </c>
      <c r="T41" s="116">
        <f>IF(OR($K41="",$L41=""),"",IF(NETWORKDAYS(T$5,T$5,休日)=0,"",IF(AND(T$5&gt;=$K41,T$5&lt;=$L41),IF(NETWORKDAYS($K41,T$5,休日)=1,"○",IF(NETWORKDAYS(T$5,$L41,休日)=1,"▶","→")),"")))</f>
        <v/>
      </c>
      <c r="U41" s="116">
        <f>IF(OR($K41="",$L41=""),"",IF(NETWORKDAYS(U$5,U$5,休日)=0,"",IF(AND(U$5&gt;=$K41,U$5&lt;=$L41),IF(NETWORKDAYS($K41,U$5,休日)=1,"○",IF(NETWORKDAYS(U$5,$L41,休日)=1,"▶","→")),"")))</f>
        <v/>
      </c>
      <c r="V41" s="116">
        <f>IF(OR($K41="",$L41=""),"",IF(NETWORKDAYS(V$5,V$5,休日)=0,"",IF(AND(V$5&gt;=$K41,V$5&lt;=$L41),IF(NETWORKDAYS($K41,V$5,休日)=1,"○",IF(NETWORKDAYS(V$5,$L41,休日)=1,"▶","→")),"")))</f>
        <v/>
      </c>
      <c r="W41" s="116">
        <f>IF(OR($K41="",$L41=""),"",IF(NETWORKDAYS(W$5,W$5,休日)=0,"",IF(AND(W$5&gt;=$K41,W$5&lt;=$L41),IF(NETWORKDAYS($K41,W$5,休日)=1,"○",IF(NETWORKDAYS(W$5,$L41,休日)=1,"▶","→")),"")))</f>
        <v/>
      </c>
      <c r="X41" s="116">
        <f>IF(OR($K41="",$L41=""),"",IF(NETWORKDAYS(X$5,X$5,休日)=0,"",IF(AND(X$5&gt;=$K41,X$5&lt;=$L41),IF(NETWORKDAYS($K41,X$5,休日)=1,"○",IF(NETWORKDAYS(X$5,$L41,休日)=1,"▶","→")),"")))</f>
        <v/>
      </c>
      <c r="Y41" s="116">
        <f>IF(OR($K41="",$L41=""),"",IF(NETWORKDAYS(Y$5,Y$5,休日)=0,"",IF(AND(Y$5&gt;=$K41,Y$5&lt;=$L41),IF(NETWORKDAYS($K41,Y$5,休日)=1,"○",IF(NETWORKDAYS(Y$5,$L41,休日)=1,"▶","→")),"")))</f>
        <v/>
      </c>
      <c r="Z41" s="116">
        <f>IF(OR($K41="",$L41=""),"",IF(NETWORKDAYS(Z$5,Z$5,休日)=0,"",IF(AND(Z$5&gt;=$K41,Z$5&lt;=$L41),IF(NETWORKDAYS($K41,Z$5,休日)=1,"○",IF(NETWORKDAYS(Z$5,$L41,休日)=1,"▶","→")),"")))</f>
        <v/>
      </c>
      <c r="AA41" s="116">
        <f>IF(OR($K41="",$L41=""),"",IF(NETWORKDAYS(AA$5,AA$5,休日)=0,"",IF(AND(AA$5&gt;=$K41,AA$5&lt;=$L41),IF(NETWORKDAYS($K41,AA$5,休日)=1,"○",IF(NETWORKDAYS(AA$5,$L41,休日)=1,"▶","→")),"")))</f>
        <v/>
      </c>
      <c r="AB41" s="116">
        <f>IF(OR($K41="",$L41=""),"",IF(NETWORKDAYS(AB$5,AB$5,休日)=0,"",IF(AND(AB$5&gt;=$K41,AB$5&lt;=$L41),IF(NETWORKDAYS($K41,AB$5,休日)=1,"○",IF(NETWORKDAYS(AB$5,$L41,休日)=1,"▶","→")),"")))</f>
        <v/>
      </c>
      <c r="AC41" s="116">
        <f>IF(OR($K41="",$L41=""),"",IF(NETWORKDAYS(AC$5,AC$5,休日)=0,"",IF(AND(AC$5&gt;=$K41,AC$5&lt;=$L41),IF(NETWORKDAYS($K41,AC$5,休日)=1,"○",IF(NETWORKDAYS(AC$5,$L41,休日)=1,"▶","→")),"")))</f>
        <v/>
      </c>
      <c r="AD41" s="116">
        <f>IF(OR($K41="",$L41=""),"",IF(NETWORKDAYS(AD$5,AD$5,休日)=0,"",IF(AND(AD$5&gt;=$K41,AD$5&lt;=$L41),IF(NETWORKDAYS($K41,AD$5,休日)=1,"○",IF(NETWORKDAYS(AD$5,$L41,休日)=1,"▶","→")),"")))</f>
        <v/>
      </c>
      <c r="AE41" s="116">
        <f>IF(OR($K41="",$L41=""),"",IF(NETWORKDAYS(AE$5,AE$5,休日)=0,"",IF(AND(AE$5&gt;=$K41,AE$5&lt;=$L41),IF(NETWORKDAYS($K41,AE$5,休日)=1,"○",IF(NETWORKDAYS(AE$5,$L41,休日)=1,"▶","→")),"")))</f>
        <v/>
      </c>
      <c r="AF41" s="116">
        <f>IF(OR($K41="",$L41=""),"",IF(NETWORKDAYS(AF$5,AF$5,休日)=0,"",IF(AND(AF$5&gt;=$K41,AF$5&lt;=$L41),IF(NETWORKDAYS($K41,AF$5,休日)=1,"○",IF(NETWORKDAYS(AF$5,$L41,休日)=1,"▶","→")),"")))</f>
        <v/>
      </c>
      <c r="AG41" s="116">
        <f>IF(OR($K41="",$L41=""),"",IF(NETWORKDAYS(AG$5,AG$5,休日)=0,"",IF(AND(AG$5&gt;=$K41,AG$5&lt;=$L41),IF(NETWORKDAYS($K41,AG$5,休日)=1,"○",IF(NETWORKDAYS(AG$5,$L41,休日)=1,"▶","→")),"")))</f>
        <v/>
      </c>
      <c r="AH41" s="116">
        <f>IF(OR($K41="",$L41=""),"",IF(NETWORKDAYS(AH$5,AH$5,休日)=0,"",IF(AND(AH$5&gt;=$K41,AH$5&lt;=$L41),IF(NETWORKDAYS($K41,AH$5,休日)=1,"○",IF(NETWORKDAYS(AH$5,$L41,休日)=1,"▶","→")),"")))</f>
        <v/>
      </c>
      <c r="AI41" s="116">
        <f>IF(OR($K41="",$L41=""),"",IF(NETWORKDAYS(AI$5,AI$5,休日)=0,"",IF(AND(AI$5&gt;=$K41,AI$5&lt;=$L41),IF(NETWORKDAYS($K41,AI$5,休日)=1,"○",IF(NETWORKDAYS(AI$5,$L41,休日)=1,"▶","→")),"")))</f>
        <v/>
      </c>
      <c r="AJ41" s="116">
        <f>IF(OR($K41="",$L41=""),"",IF(NETWORKDAYS(AJ$5,AJ$5,休日)=0,"",IF(AND(AJ$5&gt;=$K41,AJ$5&lt;=$L41),IF(NETWORKDAYS($K41,AJ$5,休日)=1,"○",IF(NETWORKDAYS(AJ$5,$L41,休日)=1,"▶","→")),"")))</f>
        <v/>
      </c>
      <c r="AK41" s="116">
        <f>IF(OR($K41="",$L41=""),"",IF(NETWORKDAYS(AK$5,AK$5,休日)=0,"",IF(AND(AK$5&gt;=$K41,AK$5&lt;=$L41),IF(NETWORKDAYS($K41,AK$5,休日)=1,"○",IF(NETWORKDAYS(AK$5,$L41,休日)=1,"▶","→")),"")))</f>
        <v/>
      </c>
      <c r="AL41" s="116">
        <f>IF(OR($K41="",$L41=""),"",IF(NETWORKDAYS(AL$5,AL$5,休日)=0,"",IF(AND(AL$5&gt;=$K41,AL$5&lt;=$L41),IF(NETWORKDAYS($K41,AL$5,休日)=1,"○",IF(NETWORKDAYS(AL$5,$L41,休日)=1,"▶","→")),"")))</f>
        <v/>
      </c>
      <c r="AM41" s="116">
        <f>IF(OR($K41="",$L41=""),"",IF(NETWORKDAYS(AM$5,AM$5,休日)=0,"",IF(AND(AM$5&gt;=$K41,AM$5&lt;=$L41),IF(NETWORKDAYS($K41,AM$5,休日)=1,"○",IF(NETWORKDAYS(AM$5,$L41,休日)=1,"▶","→")),"")))</f>
        <v/>
      </c>
      <c r="AN41" s="116">
        <f>IF(OR($K41="",$L41=""),"",IF(NETWORKDAYS(AN$5,AN$5,休日)=0,"",IF(AND(AN$5&gt;=$K41,AN$5&lt;=$L41),IF(NETWORKDAYS($K41,AN$5,休日)=1,"○",IF(NETWORKDAYS(AN$5,$L41,休日)=1,"▶","→")),"")))</f>
        <v/>
      </c>
      <c r="AO41" s="116">
        <f>IF(OR($K41="",$L41=""),"",IF(NETWORKDAYS(AO$5,AO$5,休日)=0,"",IF(AND(AO$5&gt;=$K41,AO$5&lt;=$L41),IF(NETWORKDAYS($K41,AO$5,休日)=1,"○",IF(NETWORKDAYS(AO$5,$L41,休日)=1,"▶","→")),"")))</f>
        <v/>
      </c>
      <c r="AP41" s="116">
        <f>IF(OR($K41="",$L41=""),"",IF(NETWORKDAYS(AP$5,AP$5,休日)=0,"",IF(AND(AP$5&gt;=$K41,AP$5&lt;=$L41),IF(NETWORKDAYS($K41,AP$5,休日)=1,"○",IF(NETWORKDAYS(AP$5,$L41,休日)=1,"▶","→")),"")))</f>
        <v/>
      </c>
      <c r="AQ41" s="116">
        <f>IF(OR($K41="",$L41=""),"",IF(NETWORKDAYS(AQ$5,AQ$5,休日)=0,"",IF(AND(AQ$5&gt;=$K41,AQ$5&lt;=$L41),IF(NETWORKDAYS($K41,AQ$5,休日)=1,"○",IF(NETWORKDAYS(AQ$5,$L41,休日)=1,"▶","→")),"")))</f>
        <v/>
      </c>
      <c r="AR41" s="116">
        <f>IF(OR($K41="",$L41=""),"",IF(NETWORKDAYS(AR$5,AR$5,休日)=0,"",IF(AND(AR$5&gt;=$K41,AR$5&lt;=$L41),IF(NETWORKDAYS($K41,AR$5,休日)=1,"○",IF(NETWORKDAYS(AR$5,$L41,休日)=1,"▶","→")),"")))</f>
        <v/>
      </c>
      <c r="AS41" s="116">
        <f>IF(OR($K41="",$L41=""),"",IF(NETWORKDAYS(AS$5,AS$5,休日)=0,"",IF(AND(AS$5&gt;=$K41,AS$5&lt;=$L41),IF(NETWORKDAYS($K41,AS$5,休日)=1,"○",IF(NETWORKDAYS(AS$5,$L41,休日)=1,"▶","→")),"")))</f>
        <v/>
      </c>
      <c r="AT41" s="116">
        <f>IF(OR($K41="",$L41=""),"",IF(NETWORKDAYS(AT$5,AT$5,休日)=0,"",IF(AND(AT$5&gt;=$K41,AT$5&lt;=$L41),IF(NETWORKDAYS($K41,AT$5,休日)=1,"○",IF(NETWORKDAYS(AT$5,$L41,休日)=1,"▶","→")),"")))</f>
        <v/>
      </c>
      <c r="AU41" s="116">
        <f>IF(OR($K41="",$L41=""),"",IF(NETWORKDAYS(AU$5,AU$5,休日)=0,"",IF(AND(AU$5&gt;=$K41,AU$5&lt;=$L41),IF(NETWORKDAYS($K41,AU$5,休日)=1,"○",IF(NETWORKDAYS(AU$5,$L41,休日)=1,"▶","→")),"")))</f>
        <v/>
      </c>
      <c r="AV41" s="116">
        <f>IF(OR($K41="",$L41=""),"",IF(NETWORKDAYS(AV$5,AV$5,休日)=0,"",IF(AND(AV$5&gt;=$K41,AV$5&lt;=$L41),IF(NETWORKDAYS($K41,AV$5,休日)=1,"○",IF(NETWORKDAYS(AV$5,$L41,休日)=1,"▶","→")),"")))</f>
        <v/>
      </c>
      <c r="AW41" s="116">
        <f>IF(OR($K41="",$L41=""),"",IF(NETWORKDAYS(AW$5,AW$5,休日)=0,"",IF(AND(AW$5&gt;=$K41,AW$5&lt;=$L41),IF(NETWORKDAYS($K41,AW$5,休日)=1,"○",IF(NETWORKDAYS(AW$5,$L41,休日)=1,"▶","→")),"")))</f>
        <v/>
      </c>
      <c r="AX41" s="116">
        <f>IF(OR($K41="",$L41=""),"",IF(NETWORKDAYS(AX$5,AX$5,休日)=0,"",IF(AND(AX$5&gt;=$K41,AX$5&lt;=$L41),IF(NETWORKDAYS($K41,AX$5,休日)=1,"○",IF(NETWORKDAYS(AX$5,$L41,休日)=1,"▶","→")),"")))</f>
        <v/>
      </c>
      <c r="AY41" s="116">
        <f>IF(OR($K41="",$L41=""),"",IF(NETWORKDAYS(AY$5,AY$5,休日)=0,"",IF(AND(AY$5&gt;=$K41,AY$5&lt;=$L41),IF(NETWORKDAYS($K41,AY$5,休日)=1,"○",IF(NETWORKDAYS(AY$5,$L41,休日)=1,"▶","→")),"")))</f>
        <v/>
      </c>
      <c r="AZ41" s="116">
        <f>IF(OR($K41="",$L41=""),"",IF(NETWORKDAYS(AZ$5,AZ$5,休日)=0,"",IF(AND(AZ$5&gt;=$K41,AZ$5&lt;=$L41),IF(NETWORKDAYS($K41,AZ$5,休日)=1,"○",IF(NETWORKDAYS(AZ$5,$L41,休日)=1,"▶","→")),"")))</f>
        <v/>
      </c>
      <c r="BA41" s="116">
        <f>IF(OR($K41="",$L41=""),"",IF(NETWORKDAYS(BA$5,BA$5,休日)=0,"",IF(AND(BA$5&gt;=$K41,BA$5&lt;=$L41),IF(NETWORKDAYS($K41,BA$5,休日)=1,"○",IF(NETWORKDAYS(BA$5,$L41,休日)=1,"▶","→")),"")))</f>
        <v/>
      </c>
      <c r="BB41" s="116">
        <f>IF(OR($K41="",$L41=""),"",IF(NETWORKDAYS(BB$5,BB$5,休日)=0,"",IF(AND(BB$5&gt;=$K41,BB$5&lt;=$L41),IF(NETWORKDAYS($K41,BB$5,休日)=1,"○",IF(NETWORKDAYS(BB$5,$L41,休日)=1,"▶","→")),"")))</f>
        <v/>
      </c>
      <c r="BC41" s="116">
        <f>IF(OR($K41="",$L41=""),"",IF(NETWORKDAYS(BC$5,BC$5,休日)=0,"",IF(AND(BC$5&gt;=$K41,BC$5&lt;=$L41),IF(NETWORKDAYS($K41,BC$5,休日)=1,"○",IF(NETWORKDAYS(BC$5,$L41,休日)=1,"▶","→")),"")))</f>
        <v/>
      </c>
      <c r="BD41" s="116">
        <f>IF(OR($K41="",$L41=""),"",IF(NETWORKDAYS(BD$5,BD$5,休日)=0,"",IF(AND(BD$5&gt;=$K41,BD$5&lt;=$L41),IF(NETWORKDAYS($K41,BD$5,休日)=1,"○",IF(NETWORKDAYS(BD$5,$L41,休日)=1,"▶","→")),"")))</f>
        <v/>
      </c>
      <c r="BE41" s="116">
        <f>IF(OR($K41="",$L41=""),"",IF(NETWORKDAYS(BE$5,BE$5,休日)=0,"",IF(AND(BE$5&gt;=$K41,BE$5&lt;=$L41),IF(NETWORKDAYS($K41,BE$5,休日)=1,"○",IF(NETWORKDAYS(BE$5,$L41,休日)=1,"▶","→")),"")))</f>
        <v/>
      </c>
      <c r="BF41" s="116">
        <f>IF(OR($K41="",$L41=""),"",IF(NETWORKDAYS(BF$5,BF$5,休日)=0,"",IF(AND(BF$5&gt;=$K41,BF$5&lt;=$L41),IF(NETWORKDAYS($K41,BF$5,休日)=1,"○",IF(NETWORKDAYS(BF$5,$L41,休日)=1,"▶","→")),"")))</f>
        <v/>
      </c>
      <c r="BG41" s="116">
        <f>IF(OR($K41="",$L41=""),"",IF(NETWORKDAYS(BG$5,BG$5,休日)=0,"",IF(AND(BG$5&gt;=$K41,BG$5&lt;=$L41),IF(NETWORKDAYS($K41,BG$5,休日)=1,"○",IF(NETWORKDAYS(BG$5,$L41,休日)=1,"▶","→")),"")))</f>
        <v/>
      </c>
      <c r="BH41" s="116">
        <f>IF(OR($K41="",$L41=""),"",IF(NETWORKDAYS(BH$5,BH$5,休日)=0,"",IF(AND(BH$5&gt;=$K41,BH$5&lt;=$L41),IF(NETWORKDAYS($K41,BH$5,休日)=1,"○",IF(NETWORKDAYS(BH$5,$L41,休日)=1,"▶","→")),"")))</f>
        <v/>
      </c>
      <c r="BI41" s="116">
        <f>IF(OR($K41="",$L41=""),"",IF(NETWORKDAYS(BI$5,BI$5,休日)=0,"",IF(AND(BI$5&gt;=$K41,BI$5&lt;=$L41),IF(NETWORKDAYS($K41,BI$5,休日)=1,"○",IF(NETWORKDAYS(BI$5,$L41,休日)=1,"▶","→")),"")))</f>
        <v/>
      </c>
      <c r="BJ41" s="116">
        <f>IF(OR($K41="",$L41=""),"",IF(NETWORKDAYS(BJ$5,BJ$5,休日)=0,"",IF(AND(BJ$5&gt;=$K41,BJ$5&lt;=$L41),IF(NETWORKDAYS($K41,BJ$5,休日)=1,"○",IF(NETWORKDAYS(BJ$5,$L41,休日)=1,"▶","→")),"")))</f>
        <v/>
      </c>
      <c r="BK41" s="116">
        <f>IF(OR($K41="",$L41=""),"",IF(NETWORKDAYS(BK$5,BK$5,休日)=0,"",IF(AND(BK$5&gt;=$K41,BK$5&lt;=$L41),IF(NETWORKDAYS($K41,BK$5,休日)=1,"○",IF(NETWORKDAYS(BK$5,$L41,休日)=1,"▶","→")),"")))</f>
        <v/>
      </c>
      <c r="BL41" s="116">
        <f>IF(OR($K41="",$L41=""),"",IF(NETWORKDAYS(BL$5,BL$5,休日)=0,"",IF(AND(BL$5&gt;=$K41,BL$5&lt;=$L41),IF(NETWORKDAYS($K41,BL$5,休日)=1,"○",IF(NETWORKDAYS(BL$5,$L41,休日)=1,"▶","→")),"")))</f>
        <v/>
      </c>
      <c r="BM41" s="116">
        <f>IF(OR($K41="",$L41=""),"",IF(NETWORKDAYS(BM$5,BM$5,休日)=0,"",IF(AND(BM$5&gt;=$K41,BM$5&lt;=$L41),IF(NETWORKDAYS($K41,BM$5,休日)=1,"○",IF(NETWORKDAYS(BM$5,$L41,休日)=1,"▶","→")),"")))</f>
        <v/>
      </c>
      <c r="BN41" s="116">
        <f>IF(OR($K41="",$L41=""),"",IF(NETWORKDAYS(BN$5,BN$5,休日)=0,"",IF(AND(BN$5&gt;=$K41,BN$5&lt;=$L41),IF(NETWORKDAYS($K41,BN$5,休日)=1,"○",IF(NETWORKDAYS(BN$5,$L41,休日)=1,"▶","→")),"")))</f>
        <v/>
      </c>
      <c r="BO41" s="116">
        <f>IF(OR($K41="",$L41=""),"",IF(NETWORKDAYS(BO$5,BO$5,休日)=0,"",IF(AND(BO$5&gt;=$K41,BO$5&lt;=$L41),IF(NETWORKDAYS($K41,BO$5,休日)=1,"○",IF(NETWORKDAYS(BO$5,$L41,休日)=1,"▶","→")),"")))</f>
        <v/>
      </c>
      <c r="BP41" s="116">
        <f>IF(OR($K41="",$L41=""),"",IF(NETWORKDAYS(BP$5,BP$5,休日)=0,"",IF(AND(BP$5&gt;=$K41,BP$5&lt;=$L41),IF(NETWORKDAYS($K41,BP$5,休日)=1,"○",IF(NETWORKDAYS(BP$5,$L41,休日)=1,"▶","→")),"")))</f>
        <v/>
      </c>
      <c r="BQ41" s="116">
        <f>IF(OR($K41="",$L41=""),"",IF(NETWORKDAYS(BQ$5,BQ$5,休日)=0,"",IF(AND(BQ$5&gt;=$K41,BQ$5&lt;=$L41),IF(NETWORKDAYS($K41,BQ$5,休日)=1,"○",IF(NETWORKDAYS(BQ$5,$L41,休日)=1,"▶","→")),"")))</f>
        <v/>
      </c>
      <c r="BR41" s="116">
        <f>IF(OR($K41="",$L41=""),"",IF(NETWORKDAYS(BR$5,BR$5,休日)=0,"",IF(AND(BR$5&gt;=$K41,BR$5&lt;=$L41),IF(NETWORKDAYS($K41,BR$5,休日)=1,"○",IF(NETWORKDAYS(BR$5,$L41,休日)=1,"▶","→")),"")))</f>
        <v/>
      </c>
      <c r="BS41" s="116">
        <f>IF(OR($K41="",$L41=""),"",IF(NETWORKDAYS(BS$5,BS$5,休日)=0,"",IF(AND(BS$5&gt;=$K41,BS$5&lt;=$L41),IF(NETWORKDAYS($K41,BS$5,休日)=1,"○",IF(NETWORKDAYS(BS$5,$L41,休日)=1,"▶","→")),"")))</f>
        <v/>
      </c>
      <c r="BT41" s="116">
        <f>IF(OR($K41="",$L41=""),"",IF(NETWORKDAYS(BT$5,BT$5,休日)=0,"",IF(AND(BT$5&gt;=$K41,BT$5&lt;=$L41),IF(NETWORKDAYS($K41,BT$5,休日)=1,"○",IF(NETWORKDAYS(BT$5,$L41,休日)=1,"▶","→")),"")))</f>
        <v/>
      </c>
      <c r="BU41" s="116">
        <f>IF(OR($K41="",$L41=""),"",IF(NETWORKDAYS(BU$5,BU$5,休日)=0,"",IF(AND(BU$5&gt;=$K41,BU$5&lt;=$L41),IF(NETWORKDAYS($K41,BU$5,休日)=1,"○",IF(NETWORKDAYS(BU$5,$L41,休日)=1,"▶","→")),"")))</f>
        <v/>
      </c>
      <c r="BV41" s="116">
        <f>IF(OR($K41="",$L41=""),"",IF(NETWORKDAYS(BV$5,BV$5,休日)=0,"",IF(AND(BV$5&gt;=$K41,BV$5&lt;=$L41),IF(NETWORKDAYS($K41,BV$5,休日)=1,"○",IF(NETWORKDAYS(BV$5,$L41,休日)=1,"▶","→")),"")))</f>
        <v/>
      </c>
      <c r="BW41" s="116">
        <f>IF(OR($K41="",$L41=""),"",IF(NETWORKDAYS(BW$5,BW$5,休日)=0,"",IF(AND(BW$5&gt;=$K41,BW$5&lt;=$L41),IF(NETWORKDAYS($K41,BW$5,休日)=1,"○",IF(NETWORKDAYS(BW$5,$L41,休日)=1,"▶","→")),"")))</f>
        <v/>
      </c>
      <c r="BX41" s="116">
        <f>IF(OR($K41="",$L41=""),"",IF(NETWORKDAYS(BX$5,BX$5,休日)=0,"",IF(AND(BX$5&gt;=$K41,BX$5&lt;=$L41),IF(NETWORKDAYS($K41,BX$5,休日)=1,"○",IF(NETWORKDAYS(BX$5,$L41,休日)=1,"▶","→")),"")))</f>
        <v/>
      </c>
      <c r="BY41" s="116">
        <f>IF(OR($K41="",$L41=""),"",IF(NETWORKDAYS(BY$5,BY$5,休日)=0,"",IF(AND(BY$5&gt;=$K41,BY$5&lt;=$L41),IF(NETWORKDAYS($K41,BY$5,休日)=1,"○",IF(NETWORKDAYS(BY$5,$L41,休日)=1,"▶","→")),"")))</f>
        <v/>
      </c>
      <c r="BZ41" s="116">
        <f>IF(OR($K41="",$L41=""),"",IF(NETWORKDAYS(BZ$5,BZ$5,休日)=0,"",IF(AND(BZ$5&gt;=$K41,BZ$5&lt;=$L41),IF(NETWORKDAYS($K41,BZ$5,休日)=1,"○",IF(NETWORKDAYS(BZ$5,$L41,休日)=1,"▶","→")),"")))</f>
        <v/>
      </c>
      <c r="CA41" s="116">
        <f>IF(OR($K41="",$L41=""),"",IF(NETWORKDAYS(CA$5,CA$5,休日)=0,"",IF(AND(CA$5&gt;=$K41,CA$5&lt;=$L41),IF(NETWORKDAYS($K41,CA$5,休日)=1,"○",IF(NETWORKDAYS(CA$5,$L41,休日)=1,"▶","→")),"")))</f>
        <v/>
      </c>
      <c r="CB41" s="116">
        <f>IF(OR($K41="",$L41=""),"",IF(NETWORKDAYS(CB$5,CB$5,休日)=0,"",IF(AND(CB$5&gt;=$K41,CB$5&lt;=$L41),IF(NETWORKDAYS($K41,CB$5,休日)=1,"○",IF(NETWORKDAYS(CB$5,$L41,休日)=1,"▶","→")),"")))</f>
        <v/>
      </c>
      <c r="CC41" s="116">
        <f>IF(OR($K41="",$L41=""),"",IF(NETWORKDAYS(CC$5,CC$5,休日)=0,"",IF(AND(CC$5&gt;=$K41,CC$5&lt;=$L41),IF(NETWORKDAYS($K41,CC$5,休日)=1,"○",IF(NETWORKDAYS(CC$5,$L41,休日)=1,"▶","→")),"")))</f>
        <v/>
      </c>
      <c r="CD41" s="116">
        <f>IF(OR($K41="",$L41=""),"",IF(NETWORKDAYS(CD$5,CD$5,休日)=0,"",IF(AND(CD$5&gt;=$K41,CD$5&lt;=$L41),IF(NETWORKDAYS($K41,CD$5,休日)=1,"○",IF(NETWORKDAYS(CD$5,$L41,休日)=1,"▶","→")),"")))</f>
        <v/>
      </c>
      <c r="CE41" s="116">
        <f>IF(OR($K41="",$L41=""),"",IF(NETWORKDAYS(CE$5,CE$5,休日)=0,"",IF(AND(CE$5&gt;=$K41,CE$5&lt;=$L41),IF(NETWORKDAYS($K41,CE$5,休日)=1,"○",IF(NETWORKDAYS(CE$5,$L41,休日)=1,"▶","→")),"")))</f>
        <v/>
      </c>
      <c r="CF41" s="116">
        <f>IF(OR($K41="",$L41=""),"",IF(NETWORKDAYS(CF$5,CF$5,休日)=0,"",IF(AND(CF$5&gt;=$K41,CF$5&lt;=$L41),IF(NETWORKDAYS($K41,CF$5,休日)=1,"○",IF(NETWORKDAYS(CF$5,$L41,休日)=1,"▶","→")),"")))</f>
        <v/>
      </c>
      <c r="CG41" s="116">
        <f>IF(OR($K41="",$L41=""),"",IF(NETWORKDAYS(CG$5,CG$5,休日)=0,"",IF(AND(CG$5&gt;=$K41,CG$5&lt;=$L41),IF(NETWORKDAYS($K41,CG$5,休日)=1,"○",IF(NETWORKDAYS(CG$5,$L41,休日)=1,"▶","→")),"")))</f>
        <v/>
      </c>
      <c r="CH41" s="116">
        <f>IF(OR($K41="",$L41=""),"",IF(NETWORKDAYS(CH$5,CH$5,休日)=0,"",IF(AND(CH$5&gt;=$K41,CH$5&lt;=$L41),IF(NETWORKDAYS($K41,CH$5,休日)=1,"○",IF(NETWORKDAYS(CH$5,$L41,休日)=1,"▶","→")),"")))</f>
        <v/>
      </c>
      <c r="CI41" s="116">
        <f>IF(OR($K41="",$L41=""),"",IF(NETWORKDAYS(CI$5,CI$5,休日)=0,"",IF(AND(CI$5&gt;=$K41,CI$5&lt;=$L41),IF(NETWORKDAYS($K41,CI$5,休日)=1,"○",IF(NETWORKDAYS(CI$5,$L41,休日)=1,"▶","→")),"")))</f>
        <v/>
      </c>
      <c r="CJ41" s="116">
        <f>IF(OR($K41="",$L41=""),"",IF(NETWORKDAYS(CJ$5,CJ$5,休日)=0,"",IF(AND(CJ$5&gt;=$K41,CJ$5&lt;=$L41),IF(NETWORKDAYS($K41,CJ$5,休日)=1,"○",IF(NETWORKDAYS(CJ$5,$L41,休日)=1,"▶","→")),"")))</f>
        <v/>
      </c>
      <c r="CK41" s="116">
        <f>IF(OR($K41="",$L41=""),"",IF(NETWORKDAYS(CK$5,CK$5,休日)=0,"",IF(AND(CK$5&gt;=$K41,CK$5&lt;=$L41),IF(NETWORKDAYS($K41,CK$5,休日)=1,"○",IF(NETWORKDAYS(CK$5,$L41,休日)=1,"▶","→")),"")))</f>
        <v/>
      </c>
      <c r="CL41" s="116">
        <f>IF(OR($K41="",$L41=""),"",IF(NETWORKDAYS(CL$5,CL$5,休日)=0,"",IF(AND(CL$5&gt;=$K41,CL$5&lt;=$L41),IF(NETWORKDAYS($K41,CL$5,休日)=1,"○",IF(NETWORKDAYS(CL$5,$L41,休日)=1,"▶","→")),"")))</f>
        <v/>
      </c>
      <c r="CM41" s="116">
        <f>IF(OR($K41="",$L41=""),"",IF(NETWORKDAYS(CM$5,CM$5,休日)=0,"",IF(AND(CM$5&gt;=$K41,CM$5&lt;=$L41),IF(NETWORKDAYS($K41,CM$5,休日)=1,"○",IF(NETWORKDAYS(CM$5,$L41,休日)=1,"▶","→")),"")))</f>
        <v/>
      </c>
      <c r="CN41" s="116">
        <f>IF(OR($K41="",$L41=""),"",IF(NETWORKDAYS(CN$5,CN$5,休日)=0,"",IF(AND(CN$5&gt;=$K41,CN$5&lt;=$L41),IF(NETWORKDAYS($K41,CN$5,休日)=1,"○",IF(NETWORKDAYS(CN$5,$L41,休日)=1,"▶","→")),"")))</f>
        <v/>
      </c>
      <c r="CO41" s="116">
        <f>IF(OR($K41="",$L41=""),"",IF(NETWORKDAYS(CO$5,CO$5,休日)=0,"",IF(AND(CO$5&gt;=$K41,CO$5&lt;=$L41),IF(NETWORKDAYS($K41,CO$5,休日)=1,"○",IF(NETWORKDAYS(CO$5,$L41,休日)=1,"▶","→")),"")))</f>
        <v/>
      </c>
    </row>
    <row r="42" ht="32" customHeight="1" s="98">
      <c r="A42" s="5" t="n"/>
      <c r="B42" s="100" t="inlineStr">
        <is>
          <t>3.1.9</t>
        </is>
      </c>
      <c r="C42" s="101" t="inlineStr">
        <is>
          <t>開発</t>
        </is>
      </c>
      <c r="D42" s="101" t="inlineStr">
        <is>
          <t>Layer①</t>
        </is>
      </c>
      <c r="E42" s="101" t="inlineStr">
        <is>
          <t>生鮮入荷予定</t>
        </is>
      </c>
      <c r="F42" s="101" t="inlineStr">
        <is>
          <t>生鮮入荷予定</t>
        </is>
      </c>
      <c r="G42" s="100" t="inlineStr">
        <is>
          <t>差分</t>
        </is>
      </c>
      <c r="H42" s="100" t="inlineStr">
        <is>
          <t>未定</t>
        </is>
      </c>
      <c r="I42" s="113" t="n">
        <v>6.5</v>
      </c>
      <c r="J42" s="100" t="inlineStr">
        <is>
          <t>－</t>
        </is>
      </c>
      <c r="K42" s="114" t="n">
        <v>46330</v>
      </c>
      <c r="L42" s="114" t="n">
        <v>46374</v>
      </c>
      <c r="M42" s="114" t="n"/>
      <c r="N42" s="114" t="n"/>
      <c r="O42" s="100" t="inlineStr">
        <is>
          <t>未着手</t>
        </is>
      </c>
      <c r="P42" s="115" t="n">
        <v>0</v>
      </c>
      <c r="Q42" s="100" t="inlineStr">
        <is>
          <t>G③</t>
        </is>
      </c>
      <c r="R42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42" s="116">
        <f>IF(OR($K42="",$L42=""),"",IF(NETWORKDAYS(S$5,S$5,休日)=0,"",IF(AND(S$5&gt;=$K42,S$5&lt;=$L42),IF(NETWORKDAYS($K42,S$5,休日)=1,"○",IF(NETWORKDAYS(S$5,$L42,休日)=1,"▶","→")),"")))</f>
        <v/>
      </c>
      <c r="T42" s="116">
        <f>IF(OR($K42="",$L42=""),"",IF(NETWORKDAYS(T$5,T$5,休日)=0,"",IF(AND(T$5&gt;=$K42,T$5&lt;=$L42),IF(NETWORKDAYS($K42,T$5,休日)=1,"○",IF(NETWORKDAYS(T$5,$L42,休日)=1,"▶","→")),"")))</f>
        <v/>
      </c>
      <c r="U42" s="116">
        <f>IF(OR($K42="",$L42=""),"",IF(NETWORKDAYS(U$5,U$5,休日)=0,"",IF(AND(U$5&gt;=$K42,U$5&lt;=$L42),IF(NETWORKDAYS($K42,U$5,休日)=1,"○",IF(NETWORKDAYS(U$5,$L42,休日)=1,"▶","→")),"")))</f>
        <v/>
      </c>
      <c r="V42" s="116">
        <f>IF(OR($K42="",$L42=""),"",IF(NETWORKDAYS(V$5,V$5,休日)=0,"",IF(AND(V$5&gt;=$K42,V$5&lt;=$L42),IF(NETWORKDAYS($K42,V$5,休日)=1,"○",IF(NETWORKDAYS(V$5,$L42,休日)=1,"▶","→")),"")))</f>
        <v/>
      </c>
      <c r="W42" s="116">
        <f>IF(OR($K42="",$L42=""),"",IF(NETWORKDAYS(W$5,W$5,休日)=0,"",IF(AND(W$5&gt;=$K42,W$5&lt;=$L42),IF(NETWORKDAYS($K42,W$5,休日)=1,"○",IF(NETWORKDAYS(W$5,$L42,休日)=1,"▶","→")),"")))</f>
        <v/>
      </c>
      <c r="X42" s="116">
        <f>IF(OR($K42="",$L42=""),"",IF(NETWORKDAYS(X$5,X$5,休日)=0,"",IF(AND(X$5&gt;=$K42,X$5&lt;=$L42),IF(NETWORKDAYS($K42,X$5,休日)=1,"○",IF(NETWORKDAYS(X$5,$L42,休日)=1,"▶","→")),"")))</f>
        <v/>
      </c>
      <c r="Y42" s="116">
        <f>IF(OR($K42="",$L42=""),"",IF(NETWORKDAYS(Y$5,Y$5,休日)=0,"",IF(AND(Y$5&gt;=$K42,Y$5&lt;=$L42),IF(NETWORKDAYS($K42,Y$5,休日)=1,"○",IF(NETWORKDAYS(Y$5,$L42,休日)=1,"▶","→")),"")))</f>
        <v/>
      </c>
      <c r="Z42" s="116">
        <f>IF(OR($K42="",$L42=""),"",IF(NETWORKDAYS(Z$5,Z$5,休日)=0,"",IF(AND(Z$5&gt;=$K42,Z$5&lt;=$L42),IF(NETWORKDAYS($K42,Z$5,休日)=1,"○",IF(NETWORKDAYS(Z$5,$L42,休日)=1,"▶","→")),"")))</f>
        <v/>
      </c>
      <c r="AA42" s="116">
        <f>IF(OR($K42="",$L42=""),"",IF(NETWORKDAYS(AA$5,AA$5,休日)=0,"",IF(AND(AA$5&gt;=$K42,AA$5&lt;=$L42),IF(NETWORKDAYS($K42,AA$5,休日)=1,"○",IF(NETWORKDAYS(AA$5,$L42,休日)=1,"▶","→")),"")))</f>
        <v/>
      </c>
      <c r="AB42" s="116">
        <f>IF(OR($K42="",$L42=""),"",IF(NETWORKDAYS(AB$5,AB$5,休日)=0,"",IF(AND(AB$5&gt;=$K42,AB$5&lt;=$L42),IF(NETWORKDAYS($K42,AB$5,休日)=1,"○",IF(NETWORKDAYS(AB$5,$L42,休日)=1,"▶","→")),"")))</f>
        <v/>
      </c>
      <c r="AC42" s="116">
        <f>IF(OR($K42="",$L42=""),"",IF(NETWORKDAYS(AC$5,AC$5,休日)=0,"",IF(AND(AC$5&gt;=$K42,AC$5&lt;=$L42),IF(NETWORKDAYS($K42,AC$5,休日)=1,"○",IF(NETWORKDAYS(AC$5,$L42,休日)=1,"▶","→")),"")))</f>
        <v/>
      </c>
      <c r="AD42" s="116">
        <f>IF(OR($K42="",$L42=""),"",IF(NETWORKDAYS(AD$5,AD$5,休日)=0,"",IF(AND(AD$5&gt;=$K42,AD$5&lt;=$L42),IF(NETWORKDAYS($K42,AD$5,休日)=1,"○",IF(NETWORKDAYS(AD$5,$L42,休日)=1,"▶","→")),"")))</f>
        <v/>
      </c>
      <c r="AE42" s="116">
        <f>IF(OR($K42="",$L42=""),"",IF(NETWORKDAYS(AE$5,AE$5,休日)=0,"",IF(AND(AE$5&gt;=$K42,AE$5&lt;=$L42),IF(NETWORKDAYS($K42,AE$5,休日)=1,"○",IF(NETWORKDAYS(AE$5,$L42,休日)=1,"▶","→")),"")))</f>
        <v/>
      </c>
      <c r="AF42" s="116">
        <f>IF(OR($K42="",$L42=""),"",IF(NETWORKDAYS(AF$5,AF$5,休日)=0,"",IF(AND(AF$5&gt;=$K42,AF$5&lt;=$L42),IF(NETWORKDAYS($K42,AF$5,休日)=1,"○",IF(NETWORKDAYS(AF$5,$L42,休日)=1,"▶","→")),"")))</f>
        <v/>
      </c>
      <c r="AG42" s="116">
        <f>IF(OR($K42="",$L42=""),"",IF(NETWORKDAYS(AG$5,AG$5,休日)=0,"",IF(AND(AG$5&gt;=$K42,AG$5&lt;=$L42),IF(NETWORKDAYS($K42,AG$5,休日)=1,"○",IF(NETWORKDAYS(AG$5,$L42,休日)=1,"▶","→")),"")))</f>
        <v/>
      </c>
      <c r="AH42" s="116">
        <f>IF(OR($K42="",$L42=""),"",IF(NETWORKDAYS(AH$5,AH$5,休日)=0,"",IF(AND(AH$5&gt;=$K42,AH$5&lt;=$L42),IF(NETWORKDAYS($K42,AH$5,休日)=1,"○",IF(NETWORKDAYS(AH$5,$L42,休日)=1,"▶","→")),"")))</f>
        <v/>
      </c>
      <c r="AI42" s="116">
        <f>IF(OR($K42="",$L42=""),"",IF(NETWORKDAYS(AI$5,AI$5,休日)=0,"",IF(AND(AI$5&gt;=$K42,AI$5&lt;=$L42),IF(NETWORKDAYS($K42,AI$5,休日)=1,"○",IF(NETWORKDAYS(AI$5,$L42,休日)=1,"▶","→")),"")))</f>
        <v/>
      </c>
      <c r="AJ42" s="116">
        <f>IF(OR($K42="",$L42=""),"",IF(NETWORKDAYS(AJ$5,AJ$5,休日)=0,"",IF(AND(AJ$5&gt;=$K42,AJ$5&lt;=$L42),IF(NETWORKDAYS($K42,AJ$5,休日)=1,"○",IF(NETWORKDAYS(AJ$5,$L42,休日)=1,"▶","→")),"")))</f>
        <v/>
      </c>
      <c r="AK42" s="116">
        <f>IF(OR($K42="",$L42=""),"",IF(NETWORKDAYS(AK$5,AK$5,休日)=0,"",IF(AND(AK$5&gt;=$K42,AK$5&lt;=$L42),IF(NETWORKDAYS($K42,AK$5,休日)=1,"○",IF(NETWORKDAYS(AK$5,$L42,休日)=1,"▶","→")),"")))</f>
        <v/>
      </c>
      <c r="AL42" s="116">
        <f>IF(OR($K42="",$L42=""),"",IF(NETWORKDAYS(AL$5,AL$5,休日)=0,"",IF(AND(AL$5&gt;=$K42,AL$5&lt;=$L42),IF(NETWORKDAYS($K42,AL$5,休日)=1,"○",IF(NETWORKDAYS(AL$5,$L42,休日)=1,"▶","→")),"")))</f>
        <v/>
      </c>
      <c r="AM42" s="116">
        <f>IF(OR($K42="",$L42=""),"",IF(NETWORKDAYS(AM$5,AM$5,休日)=0,"",IF(AND(AM$5&gt;=$K42,AM$5&lt;=$L42),IF(NETWORKDAYS($K42,AM$5,休日)=1,"○",IF(NETWORKDAYS(AM$5,$L42,休日)=1,"▶","→")),"")))</f>
        <v/>
      </c>
      <c r="AN42" s="116">
        <f>IF(OR($K42="",$L42=""),"",IF(NETWORKDAYS(AN$5,AN$5,休日)=0,"",IF(AND(AN$5&gt;=$K42,AN$5&lt;=$L42),IF(NETWORKDAYS($K42,AN$5,休日)=1,"○",IF(NETWORKDAYS(AN$5,$L42,休日)=1,"▶","→")),"")))</f>
        <v/>
      </c>
      <c r="AO42" s="116">
        <f>IF(OR($K42="",$L42=""),"",IF(NETWORKDAYS(AO$5,AO$5,休日)=0,"",IF(AND(AO$5&gt;=$K42,AO$5&lt;=$L42),IF(NETWORKDAYS($K42,AO$5,休日)=1,"○",IF(NETWORKDAYS(AO$5,$L42,休日)=1,"▶","→")),"")))</f>
        <v/>
      </c>
      <c r="AP42" s="116">
        <f>IF(OR($K42="",$L42=""),"",IF(NETWORKDAYS(AP$5,AP$5,休日)=0,"",IF(AND(AP$5&gt;=$K42,AP$5&lt;=$L42),IF(NETWORKDAYS($K42,AP$5,休日)=1,"○",IF(NETWORKDAYS(AP$5,$L42,休日)=1,"▶","→")),"")))</f>
        <v/>
      </c>
      <c r="AQ42" s="116">
        <f>IF(OR($K42="",$L42=""),"",IF(NETWORKDAYS(AQ$5,AQ$5,休日)=0,"",IF(AND(AQ$5&gt;=$K42,AQ$5&lt;=$L42),IF(NETWORKDAYS($K42,AQ$5,休日)=1,"○",IF(NETWORKDAYS(AQ$5,$L42,休日)=1,"▶","→")),"")))</f>
        <v/>
      </c>
      <c r="AR42" s="116">
        <f>IF(OR($K42="",$L42=""),"",IF(NETWORKDAYS(AR$5,AR$5,休日)=0,"",IF(AND(AR$5&gt;=$K42,AR$5&lt;=$L42),IF(NETWORKDAYS($K42,AR$5,休日)=1,"○",IF(NETWORKDAYS(AR$5,$L42,休日)=1,"▶","→")),"")))</f>
        <v/>
      </c>
      <c r="AS42" s="116">
        <f>IF(OR($K42="",$L42=""),"",IF(NETWORKDAYS(AS$5,AS$5,休日)=0,"",IF(AND(AS$5&gt;=$K42,AS$5&lt;=$L42),IF(NETWORKDAYS($K42,AS$5,休日)=1,"○",IF(NETWORKDAYS(AS$5,$L42,休日)=1,"▶","→")),"")))</f>
        <v/>
      </c>
      <c r="AT42" s="116">
        <f>IF(OR($K42="",$L42=""),"",IF(NETWORKDAYS(AT$5,AT$5,休日)=0,"",IF(AND(AT$5&gt;=$K42,AT$5&lt;=$L42),IF(NETWORKDAYS($K42,AT$5,休日)=1,"○",IF(NETWORKDAYS(AT$5,$L42,休日)=1,"▶","→")),"")))</f>
        <v/>
      </c>
      <c r="AU42" s="116">
        <f>IF(OR($K42="",$L42=""),"",IF(NETWORKDAYS(AU$5,AU$5,休日)=0,"",IF(AND(AU$5&gt;=$K42,AU$5&lt;=$L42),IF(NETWORKDAYS($K42,AU$5,休日)=1,"○",IF(NETWORKDAYS(AU$5,$L42,休日)=1,"▶","→")),"")))</f>
        <v/>
      </c>
      <c r="AV42" s="116">
        <f>IF(OR($K42="",$L42=""),"",IF(NETWORKDAYS(AV$5,AV$5,休日)=0,"",IF(AND(AV$5&gt;=$K42,AV$5&lt;=$L42),IF(NETWORKDAYS($K42,AV$5,休日)=1,"○",IF(NETWORKDAYS(AV$5,$L42,休日)=1,"▶","→")),"")))</f>
        <v/>
      </c>
      <c r="AW42" s="116">
        <f>IF(OR($K42="",$L42=""),"",IF(NETWORKDAYS(AW$5,AW$5,休日)=0,"",IF(AND(AW$5&gt;=$K42,AW$5&lt;=$L42),IF(NETWORKDAYS($K42,AW$5,休日)=1,"○",IF(NETWORKDAYS(AW$5,$L42,休日)=1,"▶","→")),"")))</f>
        <v/>
      </c>
      <c r="AX42" s="116">
        <f>IF(OR($K42="",$L42=""),"",IF(NETWORKDAYS(AX$5,AX$5,休日)=0,"",IF(AND(AX$5&gt;=$K42,AX$5&lt;=$L42),IF(NETWORKDAYS($K42,AX$5,休日)=1,"○",IF(NETWORKDAYS(AX$5,$L42,休日)=1,"▶","→")),"")))</f>
        <v/>
      </c>
      <c r="AY42" s="116">
        <f>IF(OR($K42="",$L42=""),"",IF(NETWORKDAYS(AY$5,AY$5,休日)=0,"",IF(AND(AY$5&gt;=$K42,AY$5&lt;=$L42),IF(NETWORKDAYS($K42,AY$5,休日)=1,"○",IF(NETWORKDAYS(AY$5,$L42,休日)=1,"▶","→")),"")))</f>
        <v/>
      </c>
      <c r="AZ42" s="116">
        <f>IF(OR($K42="",$L42=""),"",IF(NETWORKDAYS(AZ$5,AZ$5,休日)=0,"",IF(AND(AZ$5&gt;=$K42,AZ$5&lt;=$L42),IF(NETWORKDAYS($K42,AZ$5,休日)=1,"○",IF(NETWORKDAYS(AZ$5,$L42,休日)=1,"▶","→")),"")))</f>
        <v/>
      </c>
      <c r="BA42" s="116">
        <f>IF(OR($K42="",$L42=""),"",IF(NETWORKDAYS(BA$5,BA$5,休日)=0,"",IF(AND(BA$5&gt;=$K42,BA$5&lt;=$L42),IF(NETWORKDAYS($K42,BA$5,休日)=1,"○",IF(NETWORKDAYS(BA$5,$L42,休日)=1,"▶","→")),"")))</f>
        <v/>
      </c>
      <c r="BB42" s="116">
        <f>IF(OR($K42="",$L42=""),"",IF(NETWORKDAYS(BB$5,BB$5,休日)=0,"",IF(AND(BB$5&gt;=$K42,BB$5&lt;=$L42),IF(NETWORKDAYS($K42,BB$5,休日)=1,"○",IF(NETWORKDAYS(BB$5,$L42,休日)=1,"▶","→")),"")))</f>
        <v/>
      </c>
      <c r="BC42" s="116">
        <f>IF(OR($K42="",$L42=""),"",IF(NETWORKDAYS(BC$5,BC$5,休日)=0,"",IF(AND(BC$5&gt;=$K42,BC$5&lt;=$L42),IF(NETWORKDAYS($K42,BC$5,休日)=1,"○",IF(NETWORKDAYS(BC$5,$L42,休日)=1,"▶","→")),"")))</f>
        <v/>
      </c>
      <c r="BD42" s="116">
        <f>IF(OR($K42="",$L42=""),"",IF(NETWORKDAYS(BD$5,BD$5,休日)=0,"",IF(AND(BD$5&gt;=$K42,BD$5&lt;=$L42),IF(NETWORKDAYS($K42,BD$5,休日)=1,"○",IF(NETWORKDAYS(BD$5,$L42,休日)=1,"▶","→")),"")))</f>
        <v/>
      </c>
      <c r="BE42" s="116">
        <f>IF(OR($K42="",$L42=""),"",IF(NETWORKDAYS(BE$5,BE$5,休日)=0,"",IF(AND(BE$5&gt;=$K42,BE$5&lt;=$L42),IF(NETWORKDAYS($K42,BE$5,休日)=1,"○",IF(NETWORKDAYS(BE$5,$L42,休日)=1,"▶","→")),"")))</f>
        <v/>
      </c>
      <c r="BF42" s="116">
        <f>IF(OR($K42="",$L42=""),"",IF(NETWORKDAYS(BF$5,BF$5,休日)=0,"",IF(AND(BF$5&gt;=$K42,BF$5&lt;=$L42),IF(NETWORKDAYS($K42,BF$5,休日)=1,"○",IF(NETWORKDAYS(BF$5,$L42,休日)=1,"▶","→")),"")))</f>
        <v/>
      </c>
      <c r="BG42" s="116">
        <f>IF(OR($K42="",$L42=""),"",IF(NETWORKDAYS(BG$5,BG$5,休日)=0,"",IF(AND(BG$5&gt;=$K42,BG$5&lt;=$L42),IF(NETWORKDAYS($K42,BG$5,休日)=1,"○",IF(NETWORKDAYS(BG$5,$L42,休日)=1,"▶","→")),"")))</f>
        <v/>
      </c>
      <c r="BH42" s="116">
        <f>IF(OR($K42="",$L42=""),"",IF(NETWORKDAYS(BH$5,BH$5,休日)=0,"",IF(AND(BH$5&gt;=$K42,BH$5&lt;=$L42),IF(NETWORKDAYS($K42,BH$5,休日)=1,"○",IF(NETWORKDAYS(BH$5,$L42,休日)=1,"▶","→")),"")))</f>
        <v/>
      </c>
      <c r="BI42" s="116">
        <f>IF(OR($K42="",$L42=""),"",IF(NETWORKDAYS(BI$5,BI$5,休日)=0,"",IF(AND(BI$5&gt;=$K42,BI$5&lt;=$L42),IF(NETWORKDAYS($K42,BI$5,休日)=1,"○",IF(NETWORKDAYS(BI$5,$L42,休日)=1,"▶","→")),"")))</f>
        <v/>
      </c>
      <c r="BJ42" s="116">
        <f>IF(OR($K42="",$L42=""),"",IF(NETWORKDAYS(BJ$5,BJ$5,休日)=0,"",IF(AND(BJ$5&gt;=$K42,BJ$5&lt;=$L42),IF(NETWORKDAYS($K42,BJ$5,休日)=1,"○",IF(NETWORKDAYS(BJ$5,$L42,休日)=1,"▶","→")),"")))</f>
        <v/>
      </c>
      <c r="BK42" s="116">
        <f>IF(OR($K42="",$L42=""),"",IF(NETWORKDAYS(BK$5,BK$5,休日)=0,"",IF(AND(BK$5&gt;=$K42,BK$5&lt;=$L42),IF(NETWORKDAYS($K42,BK$5,休日)=1,"○",IF(NETWORKDAYS(BK$5,$L42,休日)=1,"▶","→")),"")))</f>
        <v/>
      </c>
      <c r="BL42" s="116">
        <f>IF(OR($K42="",$L42=""),"",IF(NETWORKDAYS(BL$5,BL$5,休日)=0,"",IF(AND(BL$5&gt;=$K42,BL$5&lt;=$L42),IF(NETWORKDAYS($K42,BL$5,休日)=1,"○",IF(NETWORKDAYS(BL$5,$L42,休日)=1,"▶","→")),"")))</f>
        <v/>
      </c>
      <c r="BM42" s="116">
        <f>IF(OR($K42="",$L42=""),"",IF(NETWORKDAYS(BM$5,BM$5,休日)=0,"",IF(AND(BM$5&gt;=$K42,BM$5&lt;=$L42),IF(NETWORKDAYS($K42,BM$5,休日)=1,"○",IF(NETWORKDAYS(BM$5,$L42,休日)=1,"▶","→")),"")))</f>
        <v/>
      </c>
      <c r="BN42" s="116">
        <f>IF(OR($K42="",$L42=""),"",IF(NETWORKDAYS(BN$5,BN$5,休日)=0,"",IF(AND(BN$5&gt;=$K42,BN$5&lt;=$L42),IF(NETWORKDAYS($K42,BN$5,休日)=1,"○",IF(NETWORKDAYS(BN$5,$L42,休日)=1,"▶","→")),"")))</f>
        <v/>
      </c>
      <c r="BO42" s="116">
        <f>IF(OR($K42="",$L42=""),"",IF(NETWORKDAYS(BO$5,BO$5,休日)=0,"",IF(AND(BO$5&gt;=$K42,BO$5&lt;=$L42),IF(NETWORKDAYS($K42,BO$5,休日)=1,"○",IF(NETWORKDAYS(BO$5,$L42,休日)=1,"▶","→")),"")))</f>
        <v/>
      </c>
      <c r="BP42" s="116">
        <f>IF(OR($K42="",$L42=""),"",IF(NETWORKDAYS(BP$5,BP$5,休日)=0,"",IF(AND(BP$5&gt;=$K42,BP$5&lt;=$L42),IF(NETWORKDAYS($K42,BP$5,休日)=1,"○",IF(NETWORKDAYS(BP$5,$L42,休日)=1,"▶","→")),"")))</f>
        <v/>
      </c>
      <c r="BQ42" s="116">
        <f>IF(OR($K42="",$L42=""),"",IF(NETWORKDAYS(BQ$5,BQ$5,休日)=0,"",IF(AND(BQ$5&gt;=$K42,BQ$5&lt;=$L42),IF(NETWORKDAYS($K42,BQ$5,休日)=1,"○",IF(NETWORKDAYS(BQ$5,$L42,休日)=1,"▶","→")),"")))</f>
        <v/>
      </c>
      <c r="BR42" s="116">
        <f>IF(OR($K42="",$L42=""),"",IF(NETWORKDAYS(BR$5,BR$5,休日)=0,"",IF(AND(BR$5&gt;=$K42,BR$5&lt;=$L42),IF(NETWORKDAYS($K42,BR$5,休日)=1,"○",IF(NETWORKDAYS(BR$5,$L42,休日)=1,"▶","→")),"")))</f>
        <v/>
      </c>
      <c r="BS42" s="116">
        <f>IF(OR($K42="",$L42=""),"",IF(NETWORKDAYS(BS$5,BS$5,休日)=0,"",IF(AND(BS$5&gt;=$K42,BS$5&lt;=$L42),IF(NETWORKDAYS($K42,BS$5,休日)=1,"○",IF(NETWORKDAYS(BS$5,$L42,休日)=1,"▶","→")),"")))</f>
        <v/>
      </c>
      <c r="BT42" s="116">
        <f>IF(OR($K42="",$L42=""),"",IF(NETWORKDAYS(BT$5,BT$5,休日)=0,"",IF(AND(BT$5&gt;=$K42,BT$5&lt;=$L42),IF(NETWORKDAYS($K42,BT$5,休日)=1,"○",IF(NETWORKDAYS(BT$5,$L42,休日)=1,"▶","→")),"")))</f>
        <v/>
      </c>
      <c r="BU42" s="116">
        <f>IF(OR($K42="",$L42=""),"",IF(NETWORKDAYS(BU$5,BU$5,休日)=0,"",IF(AND(BU$5&gt;=$K42,BU$5&lt;=$L42),IF(NETWORKDAYS($K42,BU$5,休日)=1,"○",IF(NETWORKDAYS(BU$5,$L42,休日)=1,"▶","→")),"")))</f>
        <v/>
      </c>
      <c r="BV42" s="116">
        <f>IF(OR($K42="",$L42=""),"",IF(NETWORKDAYS(BV$5,BV$5,休日)=0,"",IF(AND(BV$5&gt;=$K42,BV$5&lt;=$L42),IF(NETWORKDAYS($K42,BV$5,休日)=1,"○",IF(NETWORKDAYS(BV$5,$L42,休日)=1,"▶","→")),"")))</f>
        <v/>
      </c>
      <c r="BW42" s="116">
        <f>IF(OR($K42="",$L42=""),"",IF(NETWORKDAYS(BW$5,BW$5,休日)=0,"",IF(AND(BW$5&gt;=$K42,BW$5&lt;=$L42),IF(NETWORKDAYS($K42,BW$5,休日)=1,"○",IF(NETWORKDAYS(BW$5,$L42,休日)=1,"▶","→")),"")))</f>
        <v/>
      </c>
      <c r="BX42" s="116">
        <f>IF(OR($K42="",$L42=""),"",IF(NETWORKDAYS(BX$5,BX$5,休日)=0,"",IF(AND(BX$5&gt;=$K42,BX$5&lt;=$L42),IF(NETWORKDAYS($K42,BX$5,休日)=1,"○",IF(NETWORKDAYS(BX$5,$L42,休日)=1,"▶","→")),"")))</f>
        <v/>
      </c>
      <c r="BY42" s="116">
        <f>IF(OR($K42="",$L42=""),"",IF(NETWORKDAYS(BY$5,BY$5,休日)=0,"",IF(AND(BY$5&gt;=$K42,BY$5&lt;=$L42),IF(NETWORKDAYS($K42,BY$5,休日)=1,"○",IF(NETWORKDAYS(BY$5,$L42,休日)=1,"▶","→")),"")))</f>
        <v/>
      </c>
      <c r="BZ42" s="116">
        <f>IF(OR($K42="",$L42=""),"",IF(NETWORKDAYS(BZ$5,BZ$5,休日)=0,"",IF(AND(BZ$5&gt;=$K42,BZ$5&lt;=$L42),IF(NETWORKDAYS($K42,BZ$5,休日)=1,"○",IF(NETWORKDAYS(BZ$5,$L42,休日)=1,"▶","→")),"")))</f>
        <v/>
      </c>
      <c r="CA42" s="116">
        <f>IF(OR($K42="",$L42=""),"",IF(NETWORKDAYS(CA$5,CA$5,休日)=0,"",IF(AND(CA$5&gt;=$K42,CA$5&lt;=$L42),IF(NETWORKDAYS($K42,CA$5,休日)=1,"○",IF(NETWORKDAYS(CA$5,$L42,休日)=1,"▶","→")),"")))</f>
        <v/>
      </c>
      <c r="CB42" s="116">
        <f>IF(OR($K42="",$L42=""),"",IF(NETWORKDAYS(CB$5,CB$5,休日)=0,"",IF(AND(CB$5&gt;=$K42,CB$5&lt;=$L42),IF(NETWORKDAYS($K42,CB$5,休日)=1,"○",IF(NETWORKDAYS(CB$5,$L42,休日)=1,"▶","→")),"")))</f>
        <v/>
      </c>
      <c r="CC42" s="116">
        <f>IF(OR($K42="",$L42=""),"",IF(NETWORKDAYS(CC$5,CC$5,休日)=0,"",IF(AND(CC$5&gt;=$K42,CC$5&lt;=$L42),IF(NETWORKDAYS($K42,CC$5,休日)=1,"○",IF(NETWORKDAYS(CC$5,$L42,休日)=1,"▶","→")),"")))</f>
        <v/>
      </c>
      <c r="CD42" s="116">
        <f>IF(OR($K42="",$L42=""),"",IF(NETWORKDAYS(CD$5,CD$5,休日)=0,"",IF(AND(CD$5&gt;=$K42,CD$5&lt;=$L42),IF(NETWORKDAYS($K42,CD$5,休日)=1,"○",IF(NETWORKDAYS(CD$5,$L42,休日)=1,"▶","→")),"")))</f>
        <v/>
      </c>
      <c r="CE42" s="116">
        <f>IF(OR($K42="",$L42=""),"",IF(NETWORKDAYS(CE$5,CE$5,休日)=0,"",IF(AND(CE$5&gt;=$K42,CE$5&lt;=$L42),IF(NETWORKDAYS($K42,CE$5,休日)=1,"○",IF(NETWORKDAYS(CE$5,$L42,休日)=1,"▶","→")),"")))</f>
        <v/>
      </c>
      <c r="CF42" s="116">
        <f>IF(OR($K42="",$L42=""),"",IF(NETWORKDAYS(CF$5,CF$5,休日)=0,"",IF(AND(CF$5&gt;=$K42,CF$5&lt;=$L42),IF(NETWORKDAYS($K42,CF$5,休日)=1,"○",IF(NETWORKDAYS(CF$5,$L42,休日)=1,"▶","→")),"")))</f>
        <v/>
      </c>
      <c r="CG42" s="116">
        <f>IF(OR($K42="",$L42=""),"",IF(NETWORKDAYS(CG$5,CG$5,休日)=0,"",IF(AND(CG$5&gt;=$K42,CG$5&lt;=$L42),IF(NETWORKDAYS($K42,CG$5,休日)=1,"○",IF(NETWORKDAYS(CG$5,$L42,休日)=1,"▶","→")),"")))</f>
        <v/>
      </c>
      <c r="CH42" s="116">
        <f>IF(OR($K42="",$L42=""),"",IF(NETWORKDAYS(CH$5,CH$5,休日)=0,"",IF(AND(CH$5&gt;=$K42,CH$5&lt;=$L42),IF(NETWORKDAYS($K42,CH$5,休日)=1,"○",IF(NETWORKDAYS(CH$5,$L42,休日)=1,"▶","→")),"")))</f>
        <v/>
      </c>
      <c r="CI42" s="116">
        <f>IF(OR($K42="",$L42=""),"",IF(NETWORKDAYS(CI$5,CI$5,休日)=0,"",IF(AND(CI$5&gt;=$K42,CI$5&lt;=$L42),IF(NETWORKDAYS($K42,CI$5,休日)=1,"○",IF(NETWORKDAYS(CI$5,$L42,休日)=1,"▶","→")),"")))</f>
        <v/>
      </c>
      <c r="CJ42" s="116">
        <f>IF(OR($K42="",$L42=""),"",IF(NETWORKDAYS(CJ$5,CJ$5,休日)=0,"",IF(AND(CJ$5&gt;=$K42,CJ$5&lt;=$L42),IF(NETWORKDAYS($K42,CJ$5,休日)=1,"○",IF(NETWORKDAYS(CJ$5,$L42,休日)=1,"▶","→")),"")))</f>
        <v/>
      </c>
      <c r="CK42" s="116">
        <f>IF(OR($K42="",$L42=""),"",IF(NETWORKDAYS(CK$5,CK$5,休日)=0,"",IF(AND(CK$5&gt;=$K42,CK$5&lt;=$L42),IF(NETWORKDAYS($K42,CK$5,休日)=1,"○",IF(NETWORKDAYS(CK$5,$L42,休日)=1,"▶","→")),"")))</f>
        <v/>
      </c>
      <c r="CL42" s="116">
        <f>IF(OR($K42="",$L42=""),"",IF(NETWORKDAYS(CL$5,CL$5,休日)=0,"",IF(AND(CL$5&gt;=$K42,CL$5&lt;=$L42),IF(NETWORKDAYS($K42,CL$5,休日)=1,"○",IF(NETWORKDAYS(CL$5,$L42,休日)=1,"▶","→")),"")))</f>
        <v/>
      </c>
      <c r="CM42" s="116">
        <f>IF(OR($K42="",$L42=""),"",IF(NETWORKDAYS(CM$5,CM$5,休日)=0,"",IF(AND(CM$5&gt;=$K42,CM$5&lt;=$L42),IF(NETWORKDAYS($K42,CM$5,休日)=1,"○",IF(NETWORKDAYS(CM$5,$L42,休日)=1,"▶","→")),"")))</f>
        <v/>
      </c>
      <c r="CN42" s="116">
        <f>IF(OR($K42="",$L42=""),"",IF(NETWORKDAYS(CN$5,CN$5,休日)=0,"",IF(AND(CN$5&gt;=$K42,CN$5&lt;=$L42),IF(NETWORKDAYS($K42,CN$5,休日)=1,"○",IF(NETWORKDAYS(CN$5,$L42,休日)=1,"▶","→")),"")))</f>
        <v/>
      </c>
      <c r="CO42" s="116">
        <f>IF(OR($K42="",$L42=""),"",IF(NETWORKDAYS(CO$5,CO$5,休日)=0,"",IF(AND(CO$5&gt;=$K42,CO$5&lt;=$L42),IF(NETWORKDAYS($K42,CO$5,休日)=1,"○",IF(NETWORKDAYS(CO$5,$L42,休日)=1,"▶","→")),"")))</f>
        <v/>
      </c>
    </row>
    <row r="43" ht="32" customHeight="1" s="98">
      <c r="A43" s="5" t="n"/>
      <c r="B43" s="100" t="inlineStr">
        <is>
          <t>3.1.10</t>
        </is>
      </c>
      <c r="C43" s="101" t="inlineStr">
        <is>
          <t>開発</t>
        </is>
      </c>
      <c r="D43" s="101" t="inlineStr">
        <is>
          <t>Layer③</t>
        </is>
      </c>
      <c r="E43" s="101" t="inlineStr">
        <is>
          <t>生鮮入荷予定</t>
        </is>
      </c>
      <c r="F43" s="101" t="inlineStr">
        <is>
          <t>生鮮入荷予定</t>
        </is>
      </c>
      <c r="G43" s="100" t="inlineStr">
        <is>
          <t>差分</t>
        </is>
      </c>
      <c r="H43" s="100" t="inlineStr">
        <is>
          <t>未定</t>
        </is>
      </c>
      <c r="I43" s="113" t="n">
        <v>1</v>
      </c>
      <c r="J43" s="100" t="inlineStr">
        <is>
          <t>－</t>
        </is>
      </c>
      <c r="K43" s="114" t="n">
        <v>46330</v>
      </c>
      <c r="L43" s="114" t="n">
        <v>46374</v>
      </c>
      <c r="M43" s="114" t="n"/>
      <c r="N43" s="114" t="n"/>
      <c r="O43" s="100" t="inlineStr">
        <is>
          <t>未着手</t>
        </is>
      </c>
      <c r="P43" s="115" t="n">
        <v>0</v>
      </c>
      <c r="Q43" s="100" t="inlineStr">
        <is>
          <t>G③</t>
        </is>
      </c>
      <c r="R43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43" s="116">
        <f>IF(OR($K43="",$L43=""),"",IF(NETWORKDAYS(S$5,S$5,休日)=0,"",IF(AND(S$5&gt;=$K43,S$5&lt;=$L43),IF(NETWORKDAYS($K43,S$5,休日)=1,"○",IF(NETWORKDAYS(S$5,$L43,休日)=1,"▶","→")),"")))</f>
        <v/>
      </c>
      <c r="T43" s="116">
        <f>IF(OR($K43="",$L43=""),"",IF(NETWORKDAYS(T$5,T$5,休日)=0,"",IF(AND(T$5&gt;=$K43,T$5&lt;=$L43),IF(NETWORKDAYS($K43,T$5,休日)=1,"○",IF(NETWORKDAYS(T$5,$L43,休日)=1,"▶","→")),"")))</f>
        <v/>
      </c>
      <c r="U43" s="116">
        <f>IF(OR($K43="",$L43=""),"",IF(NETWORKDAYS(U$5,U$5,休日)=0,"",IF(AND(U$5&gt;=$K43,U$5&lt;=$L43),IF(NETWORKDAYS($K43,U$5,休日)=1,"○",IF(NETWORKDAYS(U$5,$L43,休日)=1,"▶","→")),"")))</f>
        <v/>
      </c>
      <c r="V43" s="116">
        <f>IF(OR($K43="",$L43=""),"",IF(NETWORKDAYS(V$5,V$5,休日)=0,"",IF(AND(V$5&gt;=$K43,V$5&lt;=$L43),IF(NETWORKDAYS($K43,V$5,休日)=1,"○",IF(NETWORKDAYS(V$5,$L43,休日)=1,"▶","→")),"")))</f>
        <v/>
      </c>
      <c r="W43" s="116">
        <f>IF(OR($K43="",$L43=""),"",IF(NETWORKDAYS(W$5,W$5,休日)=0,"",IF(AND(W$5&gt;=$K43,W$5&lt;=$L43),IF(NETWORKDAYS($K43,W$5,休日)=1,"○",IF(NETWORKDAYS(W$5,$L43,休日)=1,"▶","→")),"")))</f>
        <v/>
      </c>
      <c r="X43" s="116">
        <f>IF(OR($K43="",$L43=""),"",IF(NETWORKDAYS(X$5,X$5,休日)=0,"",IF(AND(X$5&gt;=$K43,X$5&lt;=$L43),IF(NETWORKDAYS($K43,X$5,休日)=1,"○",IF(NETWORKDAYS(X$5,$L43,休日)=1,"▶","→")),"")))</f>
        <v/>
      </c>
      <c r="Y43" s="116">
        <f>IF(OR($K43="",$L43=""),"",IF(NETWORKDAYS(Y$5,Y$5,休日)=0,"",IF(AND(Y$5&gt;=$K43,Y$5&lt;=$L43),IF(NETWORKDAYS($K43,Y$5,休日)=1,"○",IF(NETWORKDAYS(Y$5,$L43,休日)=1,"▶","→")),"")))</f>
        <v/>
      </c>
      <c r="Z43" s="116">
        <f>IF(OR($K43="",$L43=""),"",IF(NETWORKDAYS(Z$5,Z$5,休日)=0,"",IF(AND(Z$5&gt;=$K43,Z$5&lt;=$L43),IF(NETWORKDAYS($K43,Z$5,休日)=1,"○",IF(NETWORKDAYS(Z$5,$L43,休日)=1,"▶","→")),"")))</f>
        <v/>
      </c>
      <c r="AA43" s="116">
        <f>IF(OR($K43="",$L43=""),"",IF(NETWORKDAYS(AA$5,AA$5,休日)=0,"",IF(AND(AA$5&gt;=$K43,AA$5&lt;=$L43),IF(NETWORKDAYS($K43,AA$5,休日)=1,"○",IF(NETWORKDAYS(AA$5,$L43,休日)=1,"▶","→")),"")))</f>
        <v/>
      </c>
      <c r="AB43" s="116">
        <f>IF(OR($K43="",$L43=""),"",IF(NETWORKDAYS(AB$5,AB$5,休日)=0,"",IF(AND(AB$5&gt;=$K43,AB$5&lt;=$L43),IF(NETWORKDAYS($K43,AB$5,休日)=1,"○",IF(NETWORKDAYS(AB$5,$L43,休日)=1,"▶","→")),"")))</f>
        <v/>
      </c>
      <c r="AC43" s="116">
        <f>IF(OR($K43="",$L43=""),"",IF(NETWORKDAYS(AC$5,AC$5,休日)=0,"",IF(AND(AC$5&gt;=$K43,AC$5&lt;=$L43),IF(NETWORKDAYS($K43,AC$5,休日)=1,"○",IF(NETWORKDAYS(AC$5,$L43,休日)=1,"▶","→")),"")))</f>
        <v/>
      </c>
      <c r="AD43" s="116">
        <f>IF(OR($K43="",$L43=""),"",IF(NETWORKDAYS(AD$5,AD$5,休日)=0,"",IF(AND(AD$5&gt;=$K43,AD$5&lt;=$L43),IF(NETWORKDAYS($K43,AD$5,休日)=1,"○",IF(NETWORKDAYS(AD$5,$L43,休日)=1,"▶","→")),"")))</f>
        <v/>
      </c>
      <c r="AE43" s="116">
        <f>IF(OR($K43="",$L43=""),"",IF(NETWORKDAYS(AE$5,AE$5,休日)=0,"",IF(AND(AE$5&gt;=$K43,AE$5&lt;=$L43),IF(NETWORKDAYS($K43,AE$5,休日)=1,"○",IF(NETWORKDAYS(AE$5,$L43,休日)=1,"▶","→")),"")))</f>
        <v/>
      </c>
      <c r="AF43" s="116">
        <f>IF(OR($K43="",$L43=""),"",IF(NETWORKDAYS(AF$5,AF$5,休日)=0,"",IF(AND(AF$5&gt;=$K43,AF$5&lt;=$L43),IF(NETWORKDAYS($K43,AF$5,休日)=1,"○",IF(NETWORKDAYS(AF$5,$L43,休日)=1,"▶","→")),"")))</f>
        <v/>
      </c>
      <c r="AG43" s="116">
        <f>IF(OR($K43="",$L43=""),"",IF(NETWORKDAYS(AG$5,AG$5,休日)=0,"",IF(AND(AG$5&gt;=$K43,AG$5&lt;=$L43),IF(NETWORKDAYS($K43,AG$5,休日)=1,"○",IF(NETWORKDAYS(AG$5,$L43,休日)=1,"▶","→")),"")))</f>
        <v/>
      </c>
      <c r="AH43" s="116">
        <f>IF(OR($K43="",$L43=""),"",IF(NETWORKDAYS(AH$5,AH$5,休日)=0,"",IF(AND(AH$5&gt;=$K43,AH$5&lt;=$L43),IF(NETWORKDAYS($K43,AH$5,休日)=1,"○",IF(NETWORKDAYS(AH$5,$L43,休日)=1,"▶","→")),"")))</f>
        <v/>
      </c>
      <c r="AI43" s="116">
        <f>IF(OR($K43="",$L43=""),"",IF(NETWORKDAYS(AI$5,AI$5,休日)=0,"",IF(AND(AI$5&gt;=$K43,AI$5&lt;=$L43),IF(NETWORKDAYS($K43,AI$5,休日)=1,"○",IF(NETWORKDAYS(AI$5,$L43,休日)=1,"▶","→")),"")))</f>
        <v/>
      </c>
      <c r="AJ43" s="116">
        <f>IF(OR($K43="",$L43=""),"",IF(NETWORKDAYS(AJ$5,AJ$5,休日)=0,"",IF(AND(AJ$5&gt;=$K43,AJ$5&lt;=$L43),IF(NETWORKDAYS($K43,AJ$5,休日)=1,"○",IF(NETWORKDAYS(AJ$5,$L43,休日)=1,"▶","→")),"")))</f>
        <v/>
      </c>
      <c r="AK43" s="116">
        <f>IF(OR($K43="",$L43=""),"",IF(NETWORKDAYS(AK$5,AK$5,休日)=0,"",IF(AND(AK$5&gt;=$K43,AK$5&lt;=$L43),IF(NETWORKDAYS($K43,AK$5,休日)=1,"○",IF(NETWORKDAYS(AK$5,$L43,休日)=1,"▶","→")),"")))</f>
        <v/>
      </c>
      <c r="AL43" s="116">
        <f>IF(OR($K43="",$L43=""),"",IF(NETWORKDAYS(AL$5,AL$5,休日)=0,"",IF(AND(AL$5&gt;=$K43,AL$5&lt;=$L43),IF(NETWORKDAYS($K43,AL$5,休日)=1,"○",IF(NETWORKDAYS(AL$5,$L43,休日)=1,"▶","→")),"")))</f>
        <v/>
      </c>
      <c r="AM43" s="116">
        <f>IF(OR($K43="",$L43=""),"",IF(NETWORKDAYS(AM$5,AM$5,休日)=0,"",IF(AND(AM$5&gt;=$K43,AM$5&lt;=$L43),IF(NETWORKDAYS($K43,AM$5,休日)=1,"○",IF(NETWORKDAYS(AM$5,$L43,休日)=1,"▶","→")),"")))</f>
        <v/>
      </c>
      <c r="AN43" s="116">
        <f>IF(OR($K43="",$L43=""),"",IF(NETWORKDAYS(AN$5,AN$5,休日)=0,"",IF(AND(AN$5&gt;=$K43,AN$5&lt;=$L43),IF(NETWORKDAYS($K43,AN$5,休日)=1,"○",IF(NETWORKDAYS(AN$5,$L43,休日)=1,"▶","→")),"")))</f>
        <v/>
      </c>
      <c r="AO43" s="116">
        <f>IF(OR($K43="",$L43=""),"",IF(NETWORKDAYS(AO$5,AO$5,休日)=0,"",IF(AND(AO$5&gt;=$K43,AO$5&lt;=$L43),IF(NETWORKDAYS($K43,AO$5,休日)=1,"○",IF(NETWORKDAYS(AO$5,$L43,休日)=1,"▶","→")),"")))</f>
        <v/>
      </c>
      <c r="AP43" s="116">
        <f>IF(OR($K43="",$L43=""),"",IF(NETWORKDAYS(AP$5,AP$5,休日)=0,"",IF(AND(AP$5&gt;=$K43,AP$5&lt;=$L43),IF(NETWORKDAYS($K43,AP$5,休日)=1,"○",IF(NETWORKDAYS(AP$5,$L43,休日)=1,"▶","→")),"")))</f>
        <v/>
      </c>
      <c r="AQ43" s="116">
        <f>IF(OR($K43="",$L43=""),"",IF(NETWORKDAYS(AQ$5,AQ$5,休日)=0,"",IF(AND(AQ$5&gt;=$K43,AQ$5&lt;=$L43),IF(NETWORKDAYS($K43,AQ$5,休日)=1,"○",IF(NETWORKDAYS(AQ$5,$L43,休日)=1,"▶","→")),"")))</f>
        <v/>
      </c>
      <c r="AR43" s="116">
        <f>IF(OR($K43="",$L43=""),"",IF(NETWORKDAYS(AR$5,AR$5,休日)=0,"",IF(AND(AR$5&gt;=$K43,AR$5&lt;=$L43),IF(NETWORKDAYS($K43,AR$5,休日)=1,"○",IF(NETWORKDAYS(AR$5,$L43,休日)=1,"▶","→")),"")))</f>
        <v/>
      </c>
      <c r="AS43" s="116">
        <f>IF(OR($K43="",$L43=""),"",IF(NETWORKDAYS(AS$5,AS$5,休日)=0,"",IF(AND(AS$5&gt;=$K43,AS$5&lt;=$L43),IF(NETWORKDAYS($K43,AS$5,休日)=1,"○",IF(NETWORKDAYS(AS$5,$L43,休日)=1,"▶","→")),"")))</f>
        <v/>
      </c>
      <c r="AT43" s="116">
        <f>IF(OR($K43="",$L43=""),"",IF(NETWORKDAYS(AT$5,AT$5,休日)=0,"",IF(AND(AT$5&gt;=$K43,AT$5&lt;=$L43),IF(NETWORKDAYS($K43,AT$5,休日)=1,"○",IF(NETWORKDAYS(AT$5,$L43,休日)=1,"▶","→")),"")))</f>
        <v/>
      </c>
      <c r="AU43" s="116">
        <f>IF(OR($K43="",$L43=""),"",IF(NETWORKDAYS(AU$5,AU$5,休日)=0,"",IF(AND(AU$5&gt;=$K43,AU$5&lt;=$L43),IF(NETWORKDAYS($K43,AU$5,休日)=1,"○",IF(NETWORKDAYS(AU$5,$L43,休日)=1,"▶","→")),"")))</f>
        <v/>
      </c>
      <c r="AV43" s="116">
        <f>IF(OR($K43="",$L43=""),"",IF(NETWORKDAYS(AV$5,AV$5,休日)=0,"",IF(AND(AV$5&gt;=$K43,AV$5&lt;=$L43),IF(NETWORKDAYS($K43,AV$5,休日)=1,"○",IF(NETWORKDAYS(AV$5,$L43,休日)=1,"▶","→")),"")))</f>
        <v/>
      </c>
      <c r="AW43" s="116">
        <f>IF(OR($K43="",$L43=""),"",IF(NETWORKDAYS(AW$5,AW$5,休日)=0,"",IF(AND(AW$5&gt;=$K43,AW$5&lt;=$L43),IF(NETWORKDAYS($K43,AW$5,休日)=1,"○",IF(NETWORKDAYS(AW$5,$L43,休日)=1,"▶","→")),"")))</f>
        <v/>
      </c>
      <c r="AX43" s="116">
        <f>IF(OR($K43="",$L43=""),"",IF(NETWORKDAYS(AX$5,AX$5,休日)=0,"",IF(AND(AX$5&gt;=$K43,AX$5&lt;=$L43),IF(NETWORKDAYS($K43,AX$5,休日)=1,"○",IF(NETWORKDAYS(AX$5,$L43,休日)=1,"▶","→")),"")))</f>
        <v/>
      </c>
      <c r="AY43" s="116">
        <f>IF(OR($K43="",$L43=""),"",IF(NETWORKDAYS(AY$5,AY$5,休日)=0,"",IF(AND(AY$5&gt;=$K43,AY$5&lt;=$L43),IF(NETWORKDAYS($K43,AY$5,休日)=1,"○",IF(NETWORKDAYS(AY$5,$L43,休日)=1,"▶","→")),"")))</f>
        <v/>
      </c>
      <c r="AZ43" s="116">
        <f>IF(OR($K43="",$L43=""),"",IF(NETWORKDAYS(AZ$5,AZ$5,休日)=0,"",IF(AND(AZ$5&gt;=$K43,AZ$5&lt;=$L43),IF(NETWORKDAYS($K43,AZ$5,休日)=1,"○",IF(NETWORKDAYS(AZ$5,$L43,休日)=1,"▶","→")),"")))</f>
        <v/>
      </c>
      <c r="BA43" s="116">
        <f>IF(OR($K43="",$L43=""),"",IF(NETWORKDAYS(BA$5,BA$5,休日)=0,"",IF(AND(BA$5&gt;=$K43,BA$5&lt;=$L43),IF(NETWORKDAYS($K43,BA$5,休日)=1,"○",IF(NETWORKDAYS(BA$5,$L43,休日)=1,"▶","→")),"")))</f>
        <v/>
      </c>
      <c r="BB43" s="116">
        <f>IF(OR($K43="",$L43=""),"",IF(NETWORKDAYS(BB$5,BB$5,休日)=0,"",IF(AND(BB$5&gt;=$K43,BB$5&lt;=$L43),IF(NETWORKDAYS($K43,BB$5,休日)=1,"○",IF(NETWORKDAYS(BB$5,$L43,休日)=1,"▶","→")),"")))</f>
        <v/>
      </c>
      <c r="BC43" s="116">
        <f>IF(OR($K43="",$L43=""),"",IF(NETWORKDAYS(BC$5,BC$5,休日)=0,"",IF(AND(BC$5&gt;=$K43,BC$5&lt;=$L43),IF(NETWORKDAYS($K43,BC$5,休日)=1,"○",IF(NETWORKDAYS(BC$5,$L43,休日)=1,"▶","→")),"")))</f>
        <v/>
      </c>
      <c r="BD43" s="116">
        <f>IF(OR($K43="",$L43=""),"",IF(NETWORKDAYS(BD$5,BD$5,休日)=0,"",IF(AND(BD$5&gt;=$K43,BD$5&lt;=$L43),IF(NETWORKDAYS($K43,BD$5,休日)=1,"○",IF(NETWORKDAYS(BD$5,$L43,休日)=1,"▶","→")),"")))</f>
        <v/>
      </c>
      <c r="BE43" s="116">
        <f>IF(OR($K43="",$L43=""),"",IF(NETWORKDAYS(BE$5,BE$5,休日)=0,"",IF(AND(BE$5&gt;=$K43,BE$5&lt;=$L43),IF(NETWORKDAYS($K43,BE$5,休日)=1,"○",IF(NETWORKDAYS(BE$5,$L43,休日)=1,"▶","→")),"")))</f>
        <v/>
      </c>
      <c r="BF43" s="116">
        <f>IF(OR($K43="",$L43=""),"",IF(NETWORKDAYS(BF$5,BF$5,休日)=0,"",IF(AND(BF$5&gt;=$K43,BF$5&lt;=$L43),IF(NETWORKDAYS($K43,BF$5,休日)=1,"○",IF(NETWORKDAYS(BF$5,$L43,休日)=1,"▶","→")),"")))</f>
        <v/>
      </c>
      <c r="BG43" s="116">
        <f>IF(OR($K43="",$L43=""),"",IF(NETWORKDAYS(BG$5,BG$5,休日)=0,"",IF(AND(BG$5&gt;=$K43,BG$5&lt;=$L43),IF(NETWORKDAYS($K43,BG$5,休日)=1,"○",IF(NETWORKDAYS(BG$5,$L43,休日)=1,"▶","→")),"")))</f>
        <v/>
      </c>
      <c r="BH43" s="116">
        <f>IF(OR($K43="",$L43=""),"",IF(NETWORKDAYS(BH$5,BH$5,休日)=0,"",IF(AND(BH$5&gt;=$K43,BH$5&lt;=$L43),IF(NETWORKDAYS($K43,BH$5,休日)=1,"○",IF(NETWORKDAYS(BH$5,$L43,休日)=1,"▶","→")),"")))</f>
        <v/>
      </c>
      <c r="BI43" s="116">
        <f>IF(OR($K43="",$L43=""),"",IF(NETWORKDAYS(BI$5,BI$5,休日)=0,"",IF(AND(BI$5&gt;=$K43,BI$5&lt;=$L43),IF(NETWORKDAYS($K43,BI$5,休日)=1,"○",IF(NETWORKDAYS(BI$5,$L43,休日)=1,"▶","→")),"")))</f>
        <v/>
      </c>
      <c r="BJ43" s="116">
        <f>IF(OR($K43="",$L43=""),"",IF(NETWORKDAYS(BJ$5,BJ$5,休日)=0,"",IF(AND(BJ$5&gt;=$K43,BJ$5&lt;=$L43),IF(NETWORKDAYS($K43,BJ$5,休日)=1,"○",IF(NETWORKDAYS(BJ$5,$L43,休日)=1,"▶","→")),"")))</f>
        <v/>
      </c>
      <c r="BK43" s="116">
        <f>IF(OR($K43="",$L43=""),"",IF(NETWORKDAYS(BK$5,BK$5,休日)=0,"",IF(AND(BK$5&gt;=$K43,BK$5&lt;=$L43),IF(NETWORKDAYS($K43,BK$5,休日)=1,"○",IF(NETWORKDAYS(BK$5,$L43,休日)=1,"▶","→")),"")))</f>
        <v/>
      </c>
      <c r="BL43" s="116">
        <f>IF(OR($K43="",$L43=""),"",IF(NETWORKDAYS(BL$5,BL$5,休日)=0,"",IF(AND(BL$5&gt;=$K43,BL$5&lt;=$L43),IF(NETWORKDAYS($K43,BL$5,休日)=1,"○",IF(NETWORKDAYS(BL$5,$L43,休日)=1,"▶","→")),"")))</f>
        <v/>
      </c>
      <c r="BM43" s="116">
        <f>IF(OR($K43="",$L43=""),"",IF(NETWORKDAYS(BM$5,BM$5,休日)=0,"",IF(AND(BM$5&gt;=$K43,BM$5&lt;=$L43),IF(NETWORKDAYS($K43,BM$5,休日)=1,"○",IF(NETWORKDAYS(BM$5,$L43,休日)=1,"▶","→")),"")))</f>
        <v/>
      </c>
      <c r="BN43" s="116">
        <f>IF(OR($K43="",$L43=""),"",IF(NETWORKDAYS(BN$5,BN$5,休日)=0,"",IF(AND(BN$5&gt;=$K43,BN$5&lt;=$L43),IF(NETWORKDAYS($K43,BN$5,休日)=1,"○",IF(NETWORKDAYS(BN$5,$L43,休日)=1,"▶","→")),"")))</f>
        <v/>
      </c>
      <c r="BO43" s="116">
        <f>IF(OR($K43="",$L43=""),"",IF(NETWORKDAYS(BO$5,BO$5,休日)=0,"",IF(AND(BO$5&gt;=$K43,BO$5&lt;=$L43),IF(NETWORKDAYS($K43,BO$5,休日)=1,"○",IF(NETWORKDAYS(BO$5,$L43,休日)=1,"▶","→")),"")))</f>
        <v/>
      </c>
      <c r="BP43" s="116">
        <f>IF(OR($K43="",$L43=""),"",IF(NETWORKDAYS(BP$5,BP$5,休日)=0,"",IF(AND(BP$5&gt;=$K43,BP$5&lt;=$L43),IF(NETWORKDAYS($K43,BP$5,休日)=1,"○",IF(NETWORKDAYS(BP$5,$L43,休日)=1,"▶","→")),"")))</f>
        <v/>
      </c>
      <c r="BQ43" s="116">
        <f>IF(OR($K43="",$L43=""),"",IF(NETWORKDAYS(BQ$5,BQ$5,休日)=0,"",IF(AND(BQ$5&gt;=$K43,BQ$5&lt;=$L43),IF(NETWORKDAYS($K43,BQ$5,休日)=1,"○",IF(NETWORKDAYS(BQ$5,$L43,休日)=1,"▶","→")),"")))</f>
        <v/>
      </c>
      <c r="BR43" s="116">
        <f>IF(OR($K43="",$L43=""),"",IF(NETWORKDAYS(BR$5,BR$5,休日)=0,"",IF(AND(BR$5&gt;=$K43,BR$5&lt;=$L43),IF(NETWORKDAYS($K43,BR$5,休日)=1,"○",IF(NETWORKDAYS(BR$5,$L43,休日)=1,"▶","→")),"")))</f>
        <v/>
      </c>
      <c r="BS43" s="116">
        <f>IF(OR($K43="",$L43=""),"",IF(NETWORKDAYS(BS$5,BS$5,休日)=0,"",IF(AND(BS$5&gt;=$K43,BS$5&lt;=$L43),IF(NETWORKDAYS($K43,BS$5,休日)=1,"○",IF(NETWORKDAYS(BS$5,$L43,休日)=1,"▶","→")),"")))</f>
        <v/>
      </c>
      <c r="BT43" s="116">
        <f>IF(OR($K43="",$L43=""),"",IF(NETWORKDAYS(BT$5,BT$5,休日)=0,"",IF(AND(BT$5&gt;=$K43,BT$5&lt;=$L43),IF(NETWORKDAYS($K43,BT$5,休日)=1,"○",IF(NETWORKDAYS(BT$5,$L43,休日)=1,"▶","→")),"")))</f>
        <v/>
      </c>
      <c r="BU43" s="116">
        <f>IF(OR($K43="",$L43=""),"",IF(NETWORKDAYS(BU$5,BU$5,休日)=0,"",IF(AND(BU$5&gt;=$K43,BU$5&lt;=$L43),IF(NETWORKDAYS($K43,BU$5,休日)=1,"○",IF(NETWORKDAYS(BU$5,$L43,休日)=1,"▶","→")),"")))</f>
        <v/>
      </c>
      <c r="BV43" s="116">
        <f>IF(OR($K43="",$L43=""),"",IF(NETWORKDAYS(BV$5,BV$5,休日)=0,"",IF(AND(BV$5&gt;=$K43,BV$5&lt;=$L43),IF(NETWORKDAYS($K43,BV$5,休日)=1,"○",IF(NETWORKDAYS(BV$5,$L43,休日)=1,"▶","→")),"")))</f>
        <v/>
      </c>
      <c r="BW43" s="116">
        <f>IF(OR($K43="",$L43=""),"",IF(NETWORKDAYS(BW$5,BW$5,休日)=0,"",IF(AND(BW$5&gt;=$K43,BW$5&lt;=$L43),IF(NETWORKDAYS($K43,BW$5,休日)=1,"○",IF(NETWORKDAYS(BW$5,$L43,休日)=1,"▶","→")),"")))</f>
        <v/>
      </c>
      <c r="BX43" s="116">
        <f>IF(OR($K43="",$L43=""),"",IF(NETWORKDAYS(BX$5,BX$5,休日)=0,"",IF(AND(BX$5&gt;=$K43,BX$5&lt;=$L43),IF(NETWORKDAYS($K43,BX$5,休日)=1,"○",IF(NETWORKDAYS(BX$5,$L43,休日)=1,"▶","→")),"")))</f>
        <v/>
      </c>
      <c r="BY43" s="116">
        <f>IF(OR($K43="",$L43=""),"",IF(NETWORKDAYS(BY$5,BY$5,休日)=0,"",IF(AND(BY$5&gt;=$K43,BY$5&lt;=$L43),IF(NETWORKDAYS($K43,BY$5,休日)=1,"○",IF(NETWORKDAYS(BY$5,$L43,休日)=1,"▶","→")),"")))</f>
        <v/>
      </c>
      <c r="BZ43" s="116">
        <f>IF(OR($K43="",$L43=""),"",IF(NETWORKDAYS(BZ$5,BZ$5,休日)=0,"",IF(AND(BZ$5&gt;=$K43,BZ$5&lt;=$L43),IF(NETWORKDAYS($K43,BZ$5,休日)=1,"○",IF(NETWORKDAYS(BZ$5,$L43,休日)=1,"▶","→")),"")))</f>
        <v/>
      </c>
      <c r="CA43" s="116">
        <f>IF(OR($K43="",$L43=""),"",IF(NETWORKDAYS(CA$5,CA$5,休日)=0,"",IF(AND(CA$5&gt;=$K43,CA$5&lt;=$L43),IF(NETWORKDAYS($K43,CA$5,休日)=1,"○",IF(NETWORKDAYS(CA$5,$L43,休日)=1,"▶","→")),"")))</f>
        <v/>
      </c>
      <c r="CB43" s="116">
        <f>IF(OR($K43="",$L43=""),"",IF(NETWORKDAYS(CB$5,CB$5,休日)=0,"",IF(AND(CB$5&gt;=$K43,CB$5&lt;=$L43),IF(NETWORKDAYS($K43,CB$5,休日)=1,"○",IF(NETWORKDAYS(CB$5,$L43,休日)=1,"▶","→")),"")))</f>
        <v/>
      </c>
      <c r="CC43" s="116">
        <f>IF(OR($K43="",$L43=""),"",IF(NETWORKDAYS(CC$5,CC$5,休日)=0,"",IF(AND(CC$5&gt;=$K43,CC$5&lt;=$L43),IF(NETWORKDAYS($K43,CC$5,休日)=1,"○",IF(NETWORKDAYS(CC$5,$L43,休日)=1,"▶","→")),"")))</f>
        <v/>
      </c>
      <c r="CD43" s="116">
        <f>IF(OR($K43="",$L43=""),"",IF(NETWORKDAYS(CD$5,CD$5,休日)=0,"",IF(AND(CD$5&gt;=$K43,CD$5&lt;=$L43),IF(NETWORKDAYS($K43,CD$5,休日)=1,"○",IF(NETWORKDAYS(CD$5,$L43,休日)=1,"▶","→")),"")))</f>
        <v/>
      </c>
      <c r="CE43" s="116">
        <f>IF(OR($K43="",$L43=""),"",IF(NETWORKDAYS(CE$5,CE$5,休日)=0,"",IF(AND(CE$5&gt;=$K43,CE$5&lt;=$L43),IF(NETWORKDAYS($K43,CE$5,休日)=1,"○",IF(NETWORKDAYS(CE$5,$L43,休日)=1,"▶","→")),"")))</f>
        <v/>
      </c>
      <c r="CF43" s="116">
        <f>IF(OR($K43="",$L43=""),"",IF(NETWORKDAYS(CF$5,CF$5,休日)=0,"",IF(AND(CF$5&gt;=$K43,CF$5&lt;=$L43),IF(NETWORKDAYS($K43,CF$5,休日)=1,"○",IF(NETWORKDAYS(CF$5,$L43,休日)=1,"▶","→")),"")))</f>
        <v/>
      </c>
      <c r="CG43" s="116">
        <f>IF(OR($K43="",$L43=""),"",IF(NETWORKDAYS(CG$5,CG$5,休日)=0,"",IF(AND(CG$5&gt;=$K43,CG$5&lt;=$L43),IF(NETWORKDAYS($K43,CG$5,休日)=1,"○",IF(NETWORKDAYS(CG$5,$L43,休日)=1,"▶","→")),"")))</f>
        <v/>
      </c>
      <c r="CH43" s="116">
        <f>IF(OR($K43="",$L43=""),"",IF(NETWORKDAYS(CH$5,CH$5,休日)=0,"",IF(AND(CH$5&gt;=$K43,CH$5&lt;=$L43),IF(NETWORKDAYS($K43,CH$5,休日)=1,"○",IF(NETWORKDAYS(CH$5,$L43,休日)=1,"▶","→")),"")))</f>
        <v/>
      </c>
      <c r="CI43" s="116">
        <f>IF(OR($K43="",$L43=""),"",IF(NETWORKDAYS(CI$5,CI$5,休日)=0,"",IF(AND(CI$5&gt;=$K43,CI$5&lt;=$L43),IF(NETWORKDAYS($K43,CI$5,休日)=1,"○",IF(NETWORKDAYS(CI$5,$L43,休日)=1,"▶","→")),"")))</f>
        <v/>
      </c>
      <c r="CJ43" s="116">
        <f>IF(OR($K43="",$L43=""),"",IF(NETWORKDAYS(CJ$5,CJ$5,休日)=0,"",IF(AND(CJ$5&gt;=$K43,CJ$5&lt;=$L43),IF(NETWORKDAYS($K43,CJ$5,休日)=1,"○",IF(NETWORKDAYS(CJ$5,$L43,休日)=1,"▶","→")),"")))</f>
        <v/>
      </c>
      <c r="CK43" s="116">
        <f>IF(OR($K43="",$L43=""),"",IF(NETWORKDAYS(CK$5,CK$5,休日)=0,"",IF(AND(CK$5&gt;=$K43,CK$5&lt;=$L43),IF(NETWORKDAYS($K43,CK$5,休日)=1,"○",IF(NETWORKDAYS(CK$5,$L43,休日)=1,"▶","→")),"")))</f>
        <v/>
      </c>
      <c r="CL43" s="116">
        <f>IF(OR($K43="",$L43=""),"",IF(NETWORKDAYS(CL$5,CL$5,休日)=0,"",IF(AND(CL$5&gt;=$K43,CL$5&lt;=$L43),IF(NETWORKDAYS($K43,CL$5,休日)=1,"○",IF(NETWORKDAYS(CL$5,$L43,休日)=1,"▶","→")),"")))</f>
        <v/>
      </c>
      <c r="CM43" s="116">
        <f>IF(OR($K43="",$L43=""),"",IF(NETWORKDAYS(CM$5,CM$5,休日)=0,"",IF(AND(CM$5&gt;=$K43,CM$5&lt;=$L43),IF(NETWORKDAYS($K43,CM$5,休日)=1,"○",IF(NETWORKDAYS(CM$5,$L43,休日)=1,"▶","→")),"")))</f>
        <v/>
      </c>
      <c r="CN43" s="116">
        <f>IF(OR($K43="",$L43=""),"",IF(NETWORKDAYS(CN$5,CN$5,休日)=0,"",IF(AND(CN$5&gt;=$K43,CN$5&lt;=$L43),IF(NETWORKDAYS($K43,CN$5,休日)=1,"○",IF(NETWORKDAYS(CN$5,$L43,休日)=1,"▶","→")),"")))</f>
        <v/>
      </c>
      <c r="CO43" s="116">
        <f>IF(OR($K43="",$L43=""),"",IF(NETWORKDAYS(CO$5,CO$5,休日)=0,"",IF(AND(CO$5&gt;=$K43,CO$5&lt;=$L43),IF(NETWORKDAYS($K43,CO$5,休日)=1,"○",IF(NETWORKDAYS(CO$5,$L43,休日)=1,"▶","→")),"")))</f>
        <v/>
      </c>
    </row>
    <row r="44" ht="32" customHeight="1" s="98">
      <c r="A44" s="5" t="n"/>
      <c r="B44" s="100" t="inlineStr">
        <is>
          <t>3.1.11</t>
        </is>
      </c>
      <c r="C44" s="101" t="inlineStr">
        <is>
          <t>開発</t>
        </is>
      </c>
      <c r="D44" s="101" t="inlineStr">
        <is>
          <t>Layer①</t>
        </is>
      </c>
      <c r="E44" s="101" t="inlineStr">
        <is>
          <t>生鮮発注スケジュール</t>
        </is>
      </c>
      <c r="F44" s="101" t="inlineStr">
        <is>
          <t>生鮮発注スケジュール</t>
        </is>
      </c>
      <c r="G44" s="100" t="inlineStr">
        <is>
          <t>差分</t>
        </is>
      </c>
      <c r="H44" s="100" t="inlineStr">
        <is>
          <t>未定</t>
        </is>
      </c>
      <c r="I44" s="113" t="n">
        <v>6.5</v>
      </c>
      <c r="J44" s="100" t="inlineStr">
        <is>
          <t>－</t>
        </is>
      </c>
      <c r="K44" s="114" t="n">
        <v>46330</v>
      </c>
      <c r="L44" s="114" t="n">
        <v>46374</v>
      </c>
      <c r="M44" s="114" t="n"/>
      <c r="N44" s="114" t="n"/>
      <c r="O44" s="100" t="inlineStr">
        <is>
          <t>未着手</t>
        </is>
      </c>
      <c r="P44" s="115" t="n">
        <v>0</v>
      </c>
      <c r="Q44" s="100" t="inlineStr">
        <is>
          <t>G③</t>
        </is>
      </c>
      <c r="R44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44" s="116">
        <f>IF(OR($K44="",$L44=""),"",IF(NETWORKDAYS(S$5,S$5,休日)=0,"",IF(AND(S$5&gt;=$K44,S$5&lt;=$L44),IF(NETWORKDAYS($K44,S$5,休日)=1,"○",IF(NETWORKDAYS(S$5,$L44,休日)=1,"▶","→")),"")))</f>
        <v/>
      </c>
      <c r="T44" s="116">
        <f>IF(OR($K44="",$L44=""),"",IF(NETWORKDAYS(T$5,T$5,休日)=0,"",IF(AND(T$5&gt;=$K44,T$5&lt;=$L44),IF(NETWORKDAYS($K44,T$5,休日)=1,"○",IF(NETWORKDAYS(T$5,$L44,休日)=1,"▶","→")),"")))</f>
        <v/>
      </c>
      <c r="U44" s="116">
        <f>IF(OR($K44="",$L44=""),"",IF(NETWORKDAYS(U$5,U$5,休日)=0,"",IF(AND(U$5&gt;=$K44,U$5&lt;=$L44),IF(NETWORKDAYS($K44,U$5,休日)=1,"○",IF(NETWORKDAYS(U$5,$L44,休日)=1,"▶","→")),"")))</f>
        <v/>
      </c>
      <c r="V44" s="116">
        <f>IF(OR($K44="",$L44=""),"",IF(NETWORKDAYS(V$5,V$5,休日)=0,"",IF(AND(V$5&gt;=$K44,V$5&lt;=$L44),IF(NETWORKDAYS($K44,V$5,休日)=1,"○",IF(NETWORKDAYS(V$5,$L44,休日)=1,"▶","→")),"")))</f>
        <v/>
      </c>
      <c r="W44" s="116">
        <f>IF(OR($K44="",$L44=""),"",IF(NETWORKDAYS(W$5,W$5,休日)=0,"",IF(AND(W$5&gt;=$K44,W$5&lt;=$L44),IF(NETWORKDAYS($K44,W$5,休日)=1,"○",IF(NETWORKDAYS(W$5,$L44,休日)=1,"▶","→")),"")))</f>
        <v/>
      </c>
      <c r="X44" s="116">
        <f>IF(OR($K44="",$L44=""),"",IF(NETWORKDAYS(X$5,X$5,休日)=0,"",IF(AND(X$5&gt;=$K44,X$5&lt;=$L44),IF(NETWORKDAYS($K44,X$5,休日)=1,"○",IF(NETWORKDAYS(X$5,$L44,休日)=1,"▶","→")),"")))</f>
        <v/>
      </c>
      <c r="Y44" s="116">
        <f>IF(OR($K44="",$L44=""),"",IF(NETWORKDAYS(Y$5,Y$5,休日)=0,"",IF(AND(Y$5&gt;=$K44,Y$5&lt;=$L44),IF(NETWORKDAYS($K44,Y$5,休日)=1,"○",IF(NETWORKDAYS(Y$5,$L44,休日)=1,"▶","→")),"")))</f>
        <v/>
      </c>
      <c r="Z44" s="116">
        <f>IF(OR($K44="",$L44=""),"",IF(NETWORKDAYS(Z$5,Z$5,休日)=0,"",IF(AND(Z$5&gt;=$K44,Z$5&lt;=$L44),IF(NETWORKDAYS($K44,Z$5,休日)=1,"○",IF(NETWORKDAYS(Z$5,$L44,休日)=1,"▶","→")),"")))</f>
        <v/>
      </c>
      <c r="AA44" s="116">
        <f>IF(OR($K44="",$L44=""),"",IF(NETWORKDAYS(AA$5,AA$5,休日)=0,"",IF(AND(AA$5&gt;=$K44,AA$5&lt;=$L44),IF(NETWORKDAYS($K44,AA$5,休日)=1,"○",IF(NETWORKDAYS(AA$5,$L44,休日)=1,"▶","→")),"")))</f>
        <v/>
      </c>
      <c r="AB44" s="116">
        <f>IF(OR($K44="",$L44=""),"",IF(NETWORKDAYS(AB$5,AB$5,休日)=0,"",IF(AND(AB$5&gt;=$K44,AB$5&lt;=$L44),IF(NETWORKDAYS($K44,AB$5,休日)=1,"○",IF(NETWORKDAYS(AB$5,$L44,休日)=1,"▶","→")),"")))</f>
        <v/>
      </c>
      <c r="AC44" s="116">
        <f>IF(OR($K44="",$L44=""),"",IF(NETWORKDAYS(AC$5,AC$5,休日)=0,"",IF(AND(AC$5&gt;=$K44,AC$5&lt;=$L44),IF(NETWORKDAYS($K44,AC$5,休日)=1,"○",IF(NETWORKDAYS(AC$5,$L44,休日)=1,"▶","→")),"")))</f>
        <v/>
      </c>
      <c r="AD44" s="116">
        <f>IF(OR($K44="",$L44=""),"",IF(NETWORKDAYS(AD$5,AD$5,休日)=0,"",IF(AND(AD$5&gt;=$K44,AD$5&lt;=$L44),IF(NETWORKDAYS($K44,AD$5,休日)=1,"○",IF(NETWORKDAYS(AD$5,$L44,休日)=1,"▶","→")),"")))</f>
        <v/>
      </c>
      <c r="AE44" s="116">
        <f>IF(OR($K44="",$L44=""),"",IF(NETWORKDAYS(AE$5,AE$5,休日)=0,"",IF(AND(AE$5&gt;=$K44,AE$5&lt;=$L44),IF(NETWORKDAYS($K44,AE$5,休日)=1,"○",IF(NETWORKDAYS(AE$5,$L44,休日)=1,"▶","→")),"")))</f>
        <v/>
      </c>
      <c r="AF44" s="116">
        <f>IF(OR($K44="",$L44=""),"",IF(NETWORKDAYS(AF$5,AF$5,休日)=0,"",IF(AND(AF$5&gt;=$K44,AF$5&lt;=$L44),IF(NETWORKDAYS($K44,AF$5,休日)=1,"○",IF(NETWORKDAYS(AF$5,$L44,休日)=1,"▶","→")),"")))</f>
        <v/>
      </c>
      <c r="AG44" s="116">
        <f>IF(OR($K44="",$L44=""),"",IF(NETWORKDAYS(AG$5,AG$5,休日)=0,"",IF(AND(AG$5&gt;=$K44,AG$5&lt;=$L44),IF(NETWORKDAYS($K44,AG$5,休日)=1,"○",IF(NETWORKDAYS(AG$5,$L44,休日)=1,"▶","→")),"")))</f>
        <v/>
      </c>
      <c r="AH44" s="116">
        <f>IF(OR($K44="",$L44=""),"",IF(NETWORKDAYS(AH$5,AH$5,休日)=0,"",IF(AND(AH$5&gt;=$K44,AH$5&lt;=$L44),IF(NETWORKDAYS($K44,AH$5,休日)=1,"○",IF(NETWORKDAYS(AH$5,$L44,休日)=1,"▶","→")),"")))</f>
        <v/>
      </c>
      <c r="AI44" s="116">
        <f>IF(OR($K44="",$L44=""),"",IF(NETWORKDAYS(AI$5,AI$5,休日)=0,"",IF(AND(AI$5&gt;=$K44,AI$5&lt;=$L44),IF(NETWORKDAYS($K44,AI$5,休日)=1,"○",IF(NETWORKDAYS(AI$5,$L44,休日)=1,"▶","→")),"")))</f>
        <v/>
      </c>
      <c r="AJ44" s="116">
        <f>IF(OR($K44="",$L44=""),"",IF(NETWORKDAYS(AJ$5,AJ$5,休日)=0,"",IF(AND(AJ$5&gt;=$K44,AJ$5&lt;=$L44),IF(NETWORKDAYS($K44,AJ$5,休日)=1,"○",IF(NETWORKDAYS(AJ$5,$L44,休日)=1,"▶","→")),"")))</f>
        <v/>
      </c>
      <c r="AK44" s="116">
        <f>IF(OR($K44="",$L44=""),"",IF(NETWORKDAYS(AK$5,AK$5,休日)=0,"",IF(AND(AK$5&gt;=$K44,AK$5&lt;=$L44),IF(NETWORKDAYS($K44,AK$5,休日)=1,"○",IF(NETWORKDAYS(AK$5,$L44,休日)=1,"▶","→")),"")))</f>
        <v/>
      </c>
      <c r="AL44" s="116">
        <f>IF(OR($K44="",$L44=""),"",IF(NETWORKDAYS(AL$5,AL$5,休日)=0,"",IF(AND(AL$5&gt;=$K44,AL$5&lt;=$L44),IF(NETWORKDAYS($K44,AL$5,休日)=1,"○",IF(NETWORKDAYS(AL$5,$L44,休日)=1,"▶","→")),"")))</f>
        <v/>
      </c>
      <c r="AM44" s="116">
        <f>IF(OR($K44="",$L44=""),"",IF(NETWORKDAYS(AM$5,AM$5,休日)=0,"",IF(AND(AM$5&gt;=$K44,AM$5&lt;=$L44),IF(NETWORKDAYS($K44,AM$5,休日)=1,"○",IF(NETWORKDAYS(AM$5,$L44,休日)=1,"▶","→")),"")))</f>
        <v/>
      </c>
      <c r="AN44" s="116">
        <f>IF(OR($K44="",$L44=""),"",IF(NETWORKDAYS(AN$5,AN$5,休日)=0,"",IF(AND(AN$5&gt;=$K44,AN$5&lt;=$L44),IF(NETWORKDAYS($K44,AN$5,休日)=1,"○",IF(NETWORKDAYS(AN$5,$L44,休日)=1,"▶","→")),"")))</f>
        <v/>
      </c>
      <c r="AO44" s="116">
        <f>IF(OR($K44="",$L44=""),"",IF(NETWORKDAYS(AO$5,AO$5,休日)=0,"",IF(AND(AO$5&gt;=$K44,AO$5&lt;=$L44),IF(NETWORKDAYS($K44,AO$5,休日)=1,"○",IF(NETWORKDAYS(AO$5,$L44,休日)=1,"▶","→")),"")))</f>
        <v/>
      </c>
      <c r="AP44" s="116">
        <f>IF(OR($K44="",$L44=""),"",IF(NETWORKDAYS(AP$5,AP$5,休日)=0,"",IF(AND(AP$5&gt;=$K44,AP$5&lt;=$L44),IF(NETWORKDAYS($K44,AP$5,休日)=1,"○",IF(NETWORKDAYS(AP$5,$L44,休日)=1,"▶","→")),"")))</f>
        <v/>
      </c>
      <c r="AQ44" s="116">
        <f>IF(OR($K44="",$L44=""),"",IF(NETWORKDAYS(AQ$5,AQ$5,休日)=0,"",IF(AND(AQ$5&gt;=$K44,AQ$5&lt;=$L44),IF(NETWORKDAYS($K44,AQ$5,休日)=1,"○",IF(NETWORKDAYS(AQ$5,$L44,休日)=1,"▶","→")),"")))</f>
        <v/>
      </c>
      <c r="AR44" s="116">
        <f>IF(OR($K44="",$L44=""),"",IF(NETWORKDAYS(AR$5,AR$5,休日)=0,"",IF(AND(AR$5&gt;=$K44,AR$5&lt;=$L44),IF(NETWORKDAYS($K44,AR$5,休日)=1,"○",IF(NETWORKDAYS(AR$5,$L44,休日)=1,"▶","→")),"")))</f>
        <v/>
      </c>
      <c r="AS44" s="116">
        <f>IF(OR($K44="",$L44=""),"",IF(NETWORKDAYS(AS$5,AS$5,休日)=0,"",IF(AND(AS$5&gt;=$K44,AS$5&lt;=$L44),IF(NETWORKDAYS($K44,AS$5,休日)=1,"○",IF(NETWORKDAYS(AS$5,$L44,休日)=1,"▶","→")),"")))</f>
        <v/>
      </c>
      <c r="AT44" s="116">
        <f>IF(OR($K44="",$L44=""),"",IF(NETWORKDAYS(AT$5,AT$5,休日)=0,"",IF(AND(AT$5&gt;=$K44,AT$5&lt;=$L44),IF(NETWORKDAYS($K44,AT$5,休日)=1,"○",IF(NETWORKDAYS(AT$5,$L44,休日)=1,"▶","→")),"")))</f>
        <v/>
      </c>
      <c r="AU44" s="116">
        <f>IF(OR($K44="",$L44=""),"",IF(NETWORKDAYS(AU$5,AU$5,休日)=0,"",IF(AND(AU$5&gt;=$K44,AU$5&lt;=$L44),IF(NETWORKDAYS($K44,AU$5,休日)=1,"○",IF(NETWORKDAYS(AU$5,$L44,休日)=1,"▶","→")),"")))</f>
        <v/>
      </c>
      <c r="AV44" s="116">
        <f>IF(OR($K44="",$L44=""),"",IF(NETWORKDAYS(AV$5,AV$5,休日)=0,"",IF(AND(AV$5&gt;=$K44,AV$5&lt;=$L44),IF(NETWORKDAYS($K44,AV$5,休日)=1,"○",IF(NETWORKDAYS(AV$5,$L44,休日)=1,"▶","→")),"")))</f>
        <v/>
      </c>
      <c r="AW44" s="116">
        <f>IF(OR($K44="",$L44=""),"",IF(NETWORKDAYS(AW$5,AW$5,休日)=0,"",IF(AND(AW$5&gt;=$K44,AW$5&lt;=$L44),IF(NETWORKDAYS($K44,AW$5,休日)=1,"○",IF(NETWORKDAYS(AW$5,$L44,休日)=1,"▶","→")),"")))</f>
        <v/>
      </c>
      <c r="AX44" s="116">
        <f>IF(OR($K44="",$L44=""),"",IF(NETWORKDAYS(AX$5,AX$5,休日)=0,"",IF(AND(AX$5&gt;=$K44,AX$5&lt;=$L44),IF(NETWORKDAYS($K44,AX$5,休日)=1,"○",IF(NETWORKDAYS(AX$5,$L44,休日)=1,"▶","→")),"")))</f>
        <v/>
      </c>
      <c r="AY44" s="116">
        <f>IF(OR($K44="",$L44=""),"",IF(NETWORKDAYS(AY$5,AY$5,休日)=0,"",IF(AND(AY$5&gt;=$K44,AY$5&lt;=$L44),IF(NETWORKDAYS($K44,AY$5,休日)=1,"○",IF(NETWORKDAYS(AY$5,$L44,休日)=1,"▶","→")),"")))</f>
        <v/>
      </c>
      <c r="AZ44" s="116">
        <f>IF(OR($K44="",$L44=""),"",IF(NETWORKDAYS(AZ$5,AZ$5,休日)=0,"",IF(AND(AZ$5&gt;=$K44,AZ$5&lt;=$L44),IF(NETWORKDAYS($K44,AZ$5,休日)=1,"○",IF(NETWORKDAYS(AZ$5,$L44,休日)=1,"▶","→")),"")))</f>
        <v/>
      </c>
      <c r="BA44" s="116">
        <f>IF(OR($K44="",$L44=""),"",IF(NETWORKDAYS(BA$5,BA$5,休日)=0,"",IF(AND(BA$5&gt;=$K44,BA$5&lt;=$L44),IF(NETWORKDAYS($K44,BA$5,休日)=1,"○",IF(NETWORKDAYS(BA$5,$L44,休日)=1,"▶","→")),"")))</f>
        <v/>
      </c>
      <c r="BB44" s="116">
        <f>IF(OR($K44="",$L44=""),"",IF(NETWORKDAYS(BB$5,BB$5,休日)=0,"",IF(AND(BB$5&gt;=$K44,BB$5&lt;=$L44),IF(NETWORKDAYS($K44,BB$5,休日)=1,"○",IF(NETWORKDAYS(BB$5,$L44,休日)=1,"▶","→")),"")))</f>
        <v/>
      </c>
      <c r="BC44" s="116">
        <f>IF(OR($K44="",$L44=""),"",IF(NETWORKDAYS(BC$5,BC$5,休日)=0,"",IF(AND(BC$5&gt;=$K44,BC$5&lt;=$L44),IF(NETWORKDAYS($K44,BC$5,休日)=1,"○",IF(NETWORKDAYS(BC$5,$L44,休日)=1,"▶","→")),"")))</f>
        <v/>
      </c>
      <c r="BD44" s="116">
        <f>IF(OR($K44="",$L44=""),"",IF(NETWORKDAYS(BD$5,BD$5,休日)=0,"",IF(AND(BD$5&gt;=$K44,BD$5&lt;=$L44),IF(NETWORKDAYS($K44,BD$5,休日)=1,"○",IF(NETWORKDAYS(BD$5,$L44,休日)=1,"▶","→")),"")))</f>
        <v/>
      </c>
      <c r="BE44" s="116">
        <f>IF(OR($K44="",$L44=""),"",IF(NETWORKDAYS(BE$5,BE$5,休日)=0,"",IF(AND(BE$5&gt;=$K44,BE$5&lt;=$L44),IF(NETWORKDAYS($K44,BE$5,休日)=1,"○",IF(NETWORKDAYS(BE$5,$L44,休日)=1,"▶","→")),"")))</f>
        <v/>
      </c>
      <c r="BF44" s="116">
        <f>IF(OR($K44="",$L44=""),"",IF(NETWORKDAYS(BF$5,BF$5,休日)=0,"",IF(AND(BF$5&gt;=$K44,BF$5&lt;=$L44),IF(NETWORKDAYS($K44,BF$5,休日)=1,"○",IF(NETWORKDAYS(BF$5,$L44,休日)=1,"▶","→")),"")))</f>
        <v/>
      </c>
      <c r="BG44" s="116">
        <f>IF(OR($K44="",$L44=""),"",IF(NETWORKDAYS(BG$5,BG$5,休日)=0,"",IF(AND(BG$5&gt;=$K44,BG$5&lt;=$L44),IF(NETWORKDAYS($K44,BG$5,休日)=1,"○",IF(NETWORKDAYS(BG$5,$L44,休日)=1,"▶","→")),"")))</f>
        <v/>
      </c>
      <c r="BH44" s="116">
        <f>IF(OR($K44="",$L44=""),"",IF(NETWORKDAYS(BH$5,BH$5,休日)=0,"",IF(AND(BH$5&gt;=$K44,BH$5&lt;=$L44),IF(NETWORKDAYS($K44,BH$5,休日)=1,"○",IF(NETWORKDAYS(BH$5,$L44,休日)=1,"▶","→")),"")))</f>
        <v/>
      </c>
      <c r="BI44" s="116">
        <f>IF(OR($K44="",$L44=""),"",IF(NETWORKDAYS(BI$5,BI$5,休日)=0,"",IF(AND(BI$5&gt;=$K44,BI$5&lt;=$L44),IF(NETWORKDAYS($K44,BI$5,休日)=1,"○",IF(NETWORKDAYS(BI$5,$L44,休日)=1,"▶","→")),"")))</f>
        <v/>
      </c>
      <c r="BJ44" s="116">
        <f>IF(OR($K44="",$L44=""),"",IF(NETWORKDAYS(BJ$5,BJ$5,休日)=0,"",IF(AND(BJ$5&gt;=$K44,BJ$5&lt;=$L44),IF(NETWORKDAYS($K44,BJ$5,休日)=1,"○",IF(NETWORKDAYS(BJ$5,$L44,休日)=1,"▶","→")),"")))</f>
        <v/>
      </c>
      <c r="BK44" s="116">
        <f>IF(OR($K44="",$L44=""),"",IF(NETWORKDAYS(BK$5,BK$5,休日)=0,"",IF(AND(BK$5&gt;=$K44,BK$5&lt;=$L44),IF(NETWORKDAYS($K44,BK$5,休日)=1,"○",IF(NETWORKDAYS(BK$5,$L44,休日)=1,"▶","→")),"")))</f>
        <v/>
      </c>
      <c r="BL44" s="116">
        <f>IF(OR($K44="",$L44=""),"",IF(NETWORKDAYS(BL$5,BL$5,休日)=0,"",IF(AND(BL$5&gt;=$K44,BL$5&lt;=$L44),IF(NETWORKDAYS($K44,BL$5,休日)=1,"○",IF(NETWORKDAYS(BL$5,$L44,休日)=1,"▶","→")),"")))</f>
        <v/>
      </c>
      <c r="BM44" s="116">
        <f>IF(OR($K44="",$L44=""),"",IF(NETWORKDAYS(BM$5,BM$5,休日)=0,"",IF(AND(BM$5&gt;=$K44,BM$5&lt;=$L44),IF(NETWORKDAYS($K44,BM$5,休日)=1,"○",IF(NETWORKDAYS(BM$5,$L44,休日)=1,"▶","→")),"")))</f>
        <v/>
      </c>
      <c r="BN44" s="116">
        <f>IF(OR($K44="",$L44=""),"",IF(NETWORKDAYS(BN$5,BN$5,休日)=0,"",IF(AND(BN$5&gt;=$K44,BN$5&lt;=$L44),IF(NETWORKDAYS($K44,BN$5,休日)=1,"○",IF(NETWORKDAYS(BN$5,$L44,休日)=1,"▶","→")),"")))</f>
        <v/>
      </c>
      <c r="BO44" s="116">
        <f>IF(OR($K44="",$L44=""),"",IF(NETWORKDAYS(BO$5,BO$5,休日)=0,"",IF(AND(BO$5&gt;=$K44,BO$5&lt;=$L44),IF(NETWORKDAYS($K44,BO$5,休日)=1,"○",IF(NETWORKDAYS(BO$5,$L44,休日)=1,"▶","→")),"")))</f>
        <v/>
      </c>
      <c r="BP44" s="116">
        <f>IF(OR($K44="",$L44=""),"",IF(NETWORKDAYS(BP$5,BP$5,休日)=0,"",IF(AND(BP$5&gt;=$K44,BP$5&lt;=$L44),IF(NETWORKDAYS($K44,BP$5,休日)=1,"○",IF(NETWORKDAYS(BP$5,$L44,休日)=1,"▶","→")),"")))</f>
        <v/>
      </c>
      <c r="BQ44" s="116">
        <f>IF(OR($K44="",$L44=""),"",IF(NETWORKDAYS(BQ$5,BQ$5,休日)=0,"",IF(AND(BQ$5&gt;=$K44,BQ$5&lt;=$L44),IF(NETWORKDAYS($K44,BQ$5,休日)=1,"○",IF(NETWORKDAYS(BQ$5,$L44,休日)=1,"▶","→")),"")))</f>
        <v/>
      </c>
      <c r="BR44" s="116">
        <f>IF(OR($K44="",$L44=""),"",IF(NETWORKDAYS(BR$5,BR$5,休日)=0,"",IF(AND(BR$5&gt;=$K44,BR$5&lt;=$L44),IF(NETWORKDAYS($K44,BR$5,休日)=1,"○",IF(NETWORKDAYS(BR$5,$L44,休日)=1,"▶","→")),"")))</f>
        <v/>
      </c>
      <c r="BS44" s="116">
        <f>IF(OR($K44="",$L44=""),"",IF(NETWORKDAYS(BS$5,BS$5,休日)=0,"",IF(AND(BS$5&gt;=$K44,BS$5&lt;=$L44),IF(NETWORKDAYS($K44,BS$5,休日)=1,"○",IF(NETWORKDAYS(BS$5,$L44,休日)=1,"▶","→")),"")))</f>
        <v/>
      </c>
      <c r="BT44" s="116">
        <f>IF(OR($K44="",$L44=""),"",IF(NETWORKDAYS(BT$5,BT$5,休日)=0,"",IF(AND(BT$5&gt;=$K44,BT$5&lt;=$L44),IF(NETWORKDAYS($K44,BT$5,休日)=1,"○",IF(NETWORKDAYS(BT$5,$L44,休日)=1,"▶","→")),"")))</f>
        <v/>
      </c>
      <c r="BU44" s="116">
        <f>IF(OR($K44="",$L44=""),"",IF(NETWORKDAYS(BU$5,BU$5,休日)=0,"",IF(AND(BU$5&gt;=$K44,BU$5&lt;=$L44),IF(NETWORKDAYS($K44,BU$5,休日)=1,"○",IF(NETWORKDAYS(BU$5,$L44,休日)=1,"▶","→")),"")))</f>
        <v/>
      </c>
      <c r="BV44" s="116">
        <f>IF(OR($K44="",$L44=""),"",IF(NETWORKDAYS(BV$5,BV$5,休日)=0,"",IF(AND(BV$5&gt;=$K44,BV$5&lt;=$L44),IF(NETWORKDAYS($K44,BV$5,休日)=1,"○",IF(NETWORKDAYS(BV$5,$L44,休日)=1,"▶","→")),"")))</f>
        <v/>
      </c>
      <c r="BW44" s="116">
        <f>IF(OR($K44="",$L44=""),"",IF(NETWORKDAYS(BW$5,BW$5,休日)=0,"",IF(AND(BW$5&gt;=$K44,BW$5&lt;=$L44),IF(NETWORKDAYS($K44,BW$5,休日)=1,"○",IF(NETWORKDAYS(BW$5,$L44,休日)=1,"▶","→")),"")))</f>
        <v/>
      </c>
      <c r="BX44" s="116">
        <f>IF(OR($K44="",$L44=""),"",IF(NETWORKDAYS(BX$5,BX$5,休日)=0,"",IF(AND(BX$5&gt;=$K44,BX$5&lt;=$L44),IF(NETWORKDAYS($K44,BX$5,休日)=1,"○",IF(NETWORKDAYS(BX$5,$L44,休日)=1,"▶","→")),"")))</f>
        <v/>
      </c>
      <c r="BY44" s="116">
        <f>IF(OR($K44="",$L44=""),"",IF(NETWORKDAYS(BY$5,BY$5,休日)=0,"",IF(AND(BY$5&gt;=$K44,BY$5&lt;=$L44),IF(NETWORKDAYS($K44,BY$5,休日)=1,"○",IF(NETWORKDAYS(BY$5,$L44,休日)=1,"▶","→")),"")))</f>
        <v/>
      </c>
      <c r="BZ44" s="116">
        <f>IF(OR($K44="",$L44=""),"",IF(NETWORKDAYS(BZ$5,BZ$5,休日)=0,"",IF(AND(BZ$5&gt;=$K44,BZ$5&lt;=$L44),IF(NETWORKDAYS($K44,BZ$5,休日)=1,"○",IF(NETWORKDAYS(BZ$5,$L44,休日)=1,"▶","→")),"")))</f>
        <v/>
      </c>
      <c r="CA44" s="116">
        <f>IF(OR($K44="",$L44=""),"",IF(NETWORKDAYS(CA$5,CA$5,休日)=0,"",IF(AND(CA$5&gt;=$K44,CA$5&lt;=$L44),IF(NETWORKDAYS($K44,CA$5,休日)=1,"○",IF(NETWORKDAYS(CA$5,$L44,休日)=1,"▶","→")),"")))</f>
        <v/>
      </c>
      <c r="CB44" s="116">
        <f>IF(OR($K44="",$L44=""),"",IF(NETWORKDAYS(CB$5,CB$5,休日)=0,"",IF(AND(CB$5&gt;=$K44,CB$5&lt;=$L44),IF(NETWORKDAYS($K44,CB$5,休日)=1,"○",IF(NETWORKDAYS(CB$5,$L44,休日)=1,"▶","→")),"")))</f>
        <v/>
      </c>
      <c r="CC44" s="116">
        <f>IF(OR($K44="",$L44=""),"",IF(NETWORKDAYS(CC$5,CC$5,休日)=0,"",IF(AND(CC$5&gt;=$K44,CC$5&lt;=$L44),IF(NETWORKDAYS($K44,CC$5,休日)=1,"○",IF(NETWORKDAYS(CC$5,$L44,休日)=1,"▶","→")),"")))</f>
        <v/>
      </c>
      <c r="CD44" s="116">
        <f>IF(OR($K44="",$L44=""),"",IF(NETWORKDAYS(CD$5,CD$5,休日)=0,"",IF(AND(CD$5&gt;=$K44,CD$5&lt;=$L44),IF(NETWORKDAYS($K44,CD$5,休日)=1,"○",IF(NETWORKDAYS(CD$5,$L44,休日)=1,"▶","→")),"")))</f>
        <v/>
      </c>
      <c r="CE44" s="116">
        <f>IF(OR($K44="",$L44=""),"",IF(NETWORKDAYS(CE$5,CE$5,休日)=0,"",IF(AND(CE$5&gt;=$K44,CE$5&lt;=$L44),IF(NETWORKDAYS($K44,CE$5,休日)=1,"○",IF(NETWORKDAYS(CE$5,$L44,休日)=1,"▶","→")),"")))</f>
        <v/>
      </c>
      <c r="CF44" s="116">
        <f>IF(OR($K44="",$L44=""),"",IF(NETWORKDAYS(CF$5,CF$5,休日)=0,"",IF(AND(CF$5&gt;=$K44,CF$5&lt;=$L44),IF(NETWORKDAYS($K44,CF$5,休日)=1,"○",IF(NETWORKDAYS(CF$5,$L44,休日)=1,"▶","→")),"")))</f>
        <v/>
      </c>
      <c r="CG44" s="116">
        <f>IF(OR($K44="",$L44=""),"",IF(NETWORKDAYS(CG$5,CG$5,休日)=0,"",IF(AND(CG$5&gt;=$K44,CG$5&lt;=$L44),IF(NETWORKDAYS($K44,CG$5,休日)=1,"○",IF(NETWORKDAYS(CG$5,$L44,休日)=1,"▶","→")),"")))</f>
        <v/>
      </c>
      <c r="CH44" s="116">
        <f>IF(OR($K44="",$L44=""),"",IF(NETWORKDAYS(CH$5,CH$5,休日)=0,"",IF(AND(CH$5&gt;=$K44,CH$5&lt;=$L44),IF(NETWORKDAYS($K44,CH$5,休日)=1,"○",IF(NETWORKDAYS(CH$5,$L44,休日)=1,"▶","→")),"")))</f>
        <v/>
      </c>
      <c r="CI44" s="116">
        <f>IF(OR($K44="",$L44=""),"",IF(NETWORKDAYS(CI$5,CI$5,休日)=0,"",IF(AND(CI$5&gt;=$K44,CI$5&lt;=$L44),IF(NETWORKDAYS($K44,CI$5,休日)=1,"○",IF(NETWORKDAYS(CI$5,$L44,休日)=1,"▶","→")),"")))</f>
        <v/>
      </c>
      <c r="CJ44" s="116">
        <f>IF(OR($K44="",$L44=""),"",IF(NETWORKDAYS(CJ$5,CJ$5,休日)=0,"",IF(AND(CJ$5&gt;=$K44,CJ$5&lt;=$L44),IF(NETWORKDAYS($K44,CJ$5,休日)=1,"○",IF(NETWORKDAYS(CJ$5,$L44,休日)=1,"▶","→")),"")))</f>
        <v/>
      </c>
      <c r="CK44" s="116">
        <f>IF(OR($K44="",$L44=""),"",IF(NETWORKDAYS(CK$5,CK$5,休日)=0,"",IF(AND(CK$5&gt;=$K44,CK$5&lt;=$L44),IF(NETWORKDAYS($K44,CK$5,休日)=1,"○",IF(NETWORKDAYS(CK$5,$L44,休日)=1,"▶","→")),"")))</f>
        <v/>
      </c>
      <c r="CL44" s="116">
        <f>IF(OR($K44="",$L44=""),"",IF(NETWORKDAYS(CL$5,CL$5,休日)=0,"",IF(AND(CL$5&gt;=$K44,CL$5&lt;=$L44),IF(NETWORKDAYS($K44,CL$5,休日)=1,"○",IF(NETWORKDAYS(CL$5,$L44,休日)=1,"▶","→")),"")))</f>
        <v/>
      </c>
      <c r="CM44" s="116">
        <f>IF(OR($K44="",$L44=""),"",IF(NETWORKDAYS(CM$5,CM$5,休日)=0,"",IF(AND(CM$5&gt;=$K44,CM$5&lt;=$L44),IF(NETWORKDAYS($K44,CM$5,休日)=1,"○",IF(NETWORKDAYS(CM$5,$L44,休日)=1,"▶","→")),"")))</f>
        <v/>
      </c>
      <c r="CN44" s="116">
        <f>IF(OR($K44="",$L44=""),"",IF(NETWORKDAYS(CN$5,CN$5,休日)=0,"",IF(AND(CN$5&gt;=$K44,CN$5&lt;=$L44),IF(NETWORKDAYS($K44,CN$5,休日)=1,"○",IF(NETWORKDAYS(CN$5,$L44,休日)=1,"▶","→")),"")))</f>
        <v/>
      </c>
      <c r="CO44" s="116">
        <f>IF(OR($K44="",$L44=""),"",IF(NETWORKDAYS(CO$5,CO$5,休日)=0,"",IF(AND(CO$5&gt;=$K44,CO$5&lt;=$L44),IF(NETWORKDAYS($K44,CO$5,休日)=1,"○",IF(NETWORKDAYS(CO$5,$L44,休日)=1,"▶","→")),"")))</f>
        <v/>
      </c>
    </row>
    <row r="45" ht="32" customHeight="1" s="98">
      <c r="A45" s="5" t="n"/>
      <c r="B45" s="100" t="inlineStr">
        <is>
          <t>3.1.12</t>
        </is>
      </c>
      <c r="C45" s="101" t="inlineStr">
        <is>
          <t>開発</t>
        </is>
      </c>
      <c r="D45" s="101" t="inlineStr">
        <is>
          <t>Layer③</t>
        </is>
      </c>
      <c r="E45" s="101" t="inlineStr">
        <is>
          <t>生鮮発注スケジュール</t>
        </is>
      </c>
      <c r="F45" s="101" t="inlineStr">
        <is>
          <t>生鮮発注スケジュール</t>
        </is>
      </c>
      <c r="G45" s="100" t="inlineStr">
        <is>
          <t>差分</t>
        </is>
      </c>
      <c r="H45" s="100" t="inlineStr">
        <is>
          <t>未定</t>
        </is>
      </c>
      <c r="I45" s="113" t="n">
        <v>1</v>
      </c>
      <c r="J45" s="100" t="inlineStr">
        <is>
          <t>－</t>
        </is>
      </c>
      <c r="K45" s="114" t="n">
        <v>46330</v>
      </c>
      <c r="L45" s="114" t="n">
        <v>46374</v>
      </c>
      <c r="M45" s="114" t="n"/>
      <c r="N45" s="114" t="n"/>
      <c r="O45" s="100" t="inlineStr">
        <is>
          <t>未着手</t>
        </is>
      </c>
      <c r="P45" s="115" t="n">
        <v>0</v>
      </c>
      <c r="Q45" s="100" t="inlineStr">
        <is>
          <t>G③</t>
        </is>
      </c>
      <c r="R45" s="101" t="inlineStr">
        <is>
          <t>終了予定は概算日程の幅（12/18前後）。IFごとの終了日は未定。担当は未定。Layer①とLayer③の期間は出典で分離されていない。同一期間を記入</t>
        </is>
      </c>
      <c r="S45" s="116">
        <f>IF(OR($K45="",$L45=""),"",IF(NETWORKDAYS(S$5,S$5,休日)=0,"",IF(AND(S$5&gt;=$K45,S$5&lt;=$L45),IF(NETWORKDAYS($K45,S$5,休日)=1,"○",IF(NETWORKDAYS(S$5,$L45,休日)=1,"▶","→")),"")))</f>
        <v/>
      </c>
      <c r="T45" s="116">
        <f>IF(OR($K45="",$L45=""),"",IF(NETWORKDAYS(T$5,T$5,休日)=0,"",IF(AND(T$5&gt;=$K45,T$5&lt;=$L45),IF(NETWORKDAYS($K45,T$5,休日)=1,"○",IF(NETWORKDAYS(T$5,$L45,休日)=1,"▶","→")),"")))</f>
        <v/>
      </c>
      <c r="U45" s="116">
        <f>IF(OR($K45="",$L45=""),"",IF(NETWORKDAYS(U$5,U$5,休日)=0,"",IF(AND(U$5&gt;=$K45,U$5&lt;=$L45),IF(NETWORKDAYS($K45,U$5,休日)=1,"○",IF(NETWORKDAYS(U$5,$L45,休日)=1,"▶","→")),"")))</f>
        <v/>
      </c>
      <c r="V45" s="116">
        <f>IF(OR($K45="",$L45=""),"",IF(NETWORKDAYS(V$5,V$5,休日)=0,"",IF(AND(V$5&gt;=$K45,V$5&lt;=$L45),IF(NETWORKDAYS($K45,V$5,休日)=1,"○",IF(NETWORKDAYS(V$5,$L45,休日)=1,"▶","→")),"")))</f>
        <v/>
      </c>
      <c r="W45" s="116">
        <f>IF(OR($K45="",$L45=""),"",IF(NETWORKDAYS(W$5,W$5,休日)=0,"",IF(AND(W$5&gt;=$K45,W$5&lt;=$L45),IF(NETWORKDAYS($K45,W$5,休日)=1,"○",IF(NETWORKDAYS(W$5,$L45,休日)=1,"▶","→")),"")))</f>
        <v/>
      </c>
      <c r="X45" s="116">
        <f>IF(OR($K45="",$L45=""),"",IF(NETWORKDAYS(X$5,X$5,休日)=0,"",IF(AND(X$5&gt;=$K45,X$5&lt;=$L45),IF(NETWORKDAYS($K45,X$5,休日)=1,"○",IF(NETWORKDAYS(X$5,$L45,休日)=1,"▶","→")),"")))</f>
        <v/>
      </c>
      <c r="Y45" s="116">
        <f>IF(OR($K45="",$L45=""),"",IF(NETWORKDAYS(Y$5,Y$5,休日)=0,"",IF(AND(Y$5&gt;=$K45,Y$5&lt;=$L45),IF(NETWORKDAYS($K45,Y$5,休日)=1,"○",IF(NETWORKDAYS(Y$5,$L45,休日)=1,"▶","→")),"")))</f>
        <v/>
      </c>
      <c r="Z45" s="116">
        <f>IF(OR($K45="",$L45=""),"",IF(NETWORKDAYS(Z$5,Z$5,休日)=0,"",IF(AND(Z$5&gt;=$K45,Z$5&lt;=$L45),IF(NETWORKDAYS($K45,Z$5,休日)=1,"○",IF(NETWORKDAYS(Z$5,$L45,休日)=1,"▶","→")),"")))</f>
        <v/>
      </c>
      <c r="AA45" s="116">
        <f>IF(OR($K45="",$L45=""),"",IF(NETWORKDAYS(AA$5,AA$5,休日)=0,"",IF(AND(AA$5&gt;=$K45,AA$5&lt;=$L45),IF(NETWORKDAYS($K45,AA$5,休日)=1,"○",IF(NETWORKDAYS(AA$5,$L45,休日)=1,"▶","→")),"")))</f>
        <v/>
      </c>
      <c r="AB45" s="116">
        <f>IF(OR($K45="",$L45=""),"",IF(NETWORKDAYS(AB$5,AB$5,休日)=0,"",IF(AND(AB$5&gt;=$K45,AB$5&lt;=$L45),IF(NETWORKDAYS($K45,AB$5,休日)=1,"○",IF(NETWORKDAYS(AB$5,$L45,休日)=1,"▶","→")),"")))</f>
        <v/>
      </c>
      <c r="AC45" s="116">
        <f>IF(OR($K45="",$L45=""),"",IF(NETWORKDAYS(AC$5,AC$5,休日)=0,"",IF(AND(AC$5&gt;=$K45,AC$5&lt;=$L45),IF(NETWORKDAYS($K45,AC$5,休日)=1,"○",IF(NETWORKDAYS(AC$5,$L45,休日)=1,"▶","→")),"")))</f>
        <v/>
      </c>
      <c r="AD45" s="116">
        <f>IF(OR($K45="",$L45=""),"",IF(NETWORKDAYS(AD$5,AD$5,休日)=0,"",IF(AND(AD$5&gt;=$K45,AD$5&lt;=$L45),IF(NETWORKDAYS($K45,AD$5,休日)=1,"○",IF(NETWORKDAYS(AD$5,$L45,休日)=1,"▶","→")),"")))</f>
        <v/>
      </c>
      <c r="AE45" s="116">
        <f>IF(OR($K45="",$L45=""),"",IF(NETWORKDAYS(AE$5,AE$5,休日)=0,"",IF(AND(AE$5&gt;=$K45,AE$5&lt;=$L45),IF(NETWORKDAYS($K45,AE$5,休日)=1,"○",IF(NETWORKDAYS(AE$5,$L45,休日)=1,"▶","→")),"")))</f>
        <v/>
      </c>
      <c r="AF45" s="116">
        <f>IF(OR($K45="",$L45=""),"",IF(NETWORKDAYS(AF$5,AF$5,休日)=0,"",IF(AND(AF$5&gt;=$K45,AF$5&lt;=$L45),IF(NETWORKDAYS($K45,AF$5,休日)=1,"○",IF(NETWORKDAYS(AF$5,$L45,休日)=1,"▶","→")),"")))</f>
        <v/>
      </c>
      <c r="AG45" s="116">
        <f>IF(OR($K45="",$L45=""),"",IF(NETWORKDAYS(AG$5,AG$5,休日)=0,"",IF(AND(AG$5&gt;=$K45,AG$5&lt;=$L45),IF(NETWORKDAYS($K45,AG$5,休日)=1,"○",IF(NETWORKDAYS(AG$5,$L45,休日)=1,"▶","→")),"")))</f>
        <v/>
      </c>
      <c r="AH45" s="116">
        <f>IF(OR($K45="",$L45=""),"",IF(NETWORKDAYS(AH$5,AH$5,休日)=0,"",IF(AND(AH$5&gt;=$K45,AH$5&lt;=$L45),IF(NETWORKDAYS($K45,AH$5,休日)=1,"○",IF(NETWORKDAYS(AH$5,$L45,休日)=1,"▶","→")),"")))</f>
        <v/>
      </c>
      <c r="AI45" s="116">
        <f>IF(OR($K45="",$L45=""),"",IF(NETWORKDAYS(AI$5,AI$5,休日)=0,"",IF(AND(AI$5&gt;=$K45,AI$5&lt;=$L45),IF(NETWORKDAYS($K45,AI$5,休日)=1,"○",IF(NETWORKDAYS(AI$5,$L45,休日)=1,"▶","→")),"")))</f>
        <v/>
      </c>
      <c r="AJ45" s="116">
        <f>IF(OR($K45="",$L45=""),"",IF(NETWORKDAYS(AJ$5,AJ$5,休日)=0,"",IF(AND(AJ$5&gt;=$K45,AJ$5&lt;=$L45),IF(NETWORKDAYS($K45,AJ$5,休日)=1,"○",IF(NETWORKDAYS(AJ$5,$L45,休日)=1,"▶","→")),"")))</f>
        <v/>
      </c>
      <c r="AK45" s="116">
        <f>IF(OR($K45="",$L45=""),"",IF(NETWORKDAYS(AK$5,AK$5,休日)=0,"",IF(AND(AK$5&gt;=$K45,AK$5&lt;=$L45),IF(NETWORKDAYS($K45,AK$5,休日)=1,"○",IF(NETWORKDAYS(AK$5,$L45,休日)=1,"▶","→")),"")))</f>
        <v/>
      </c>
      <c r="AL45" s="116">
        <f>IF(OR($K45="",$L45=""),"",IF(NETWORKDAYS(AL$5,AL$5,休日)=0,"",IF(AND(AL$5&gt;=$K45,AL$5&lt;=$L45),IF(NETWORKDAYS($K45,AL$5,休日)=1,"○",IF(NETWORKDAYS(AL$5,$L45,休日)=1,"▶","→")),"")))</f>
        <v/>
      </c>
      <c r="AM45" s="116">
        <f>IF(OR($K45="",$L45=""),"",IF(NETWORKDAYS(AM$5,AM$5,休日)=0,"",IF(AND(AM$5&gt;=$K45,AM$5&lt;=$L45),IF(NETWORKDAYS($K45,AM$5,休日)=1,"○",IF(NETWORKDAYS(AM$5,$L45,休日)=1,"▶","→")),"")))</f>
        <v/>
      </c>
      <c r="AN45" s="116">
        <f>IF(OR($K45="",$L45=""),"",IF(NETWORKDAYS(AN$5,AN$5,休日)=0,"",IF(AND(AN$5&gt;=$K45,AN$5&lt;=$L45),IF(NETWORKDAYS($K45,AN$5,休日)=1,"○",IF(NETWORKDAYS(AN$5,$L45,休日)=1,"▶","→")),"")))</f>
        <v/>
      </c>
      <c r="AO45" s="116">
        <f>IF(OR($K45="",$L45=""),"",IF(NETWORKDAYS(AO$5,AO$5,休日)=0,"",IF(AND(AO$5&gt;=$K45,AO$5&lt;=$L45),IF(NETWORKDAYS($K45,AO$5,休日)=1,"○",IF(NETWORKDAYS(AO$5,$L45,休日)=1,"▶","→")),"")))</f>
        <v/>
      </c>
      <c r="AP45" s="116">
        <f>IF(OR($K45="",$L45=""),"",IF(NETWORKDAYS(AP$5,AP$5,休日)=0,"",IF(AND(AP$5&gt;=$K45,AP$5&lt;=$L45),IF(NETWORKDAYS($K45,AP$5,休日)=1,"○",IF(NETWORKDAYS(AP$5,$L45,休日)=1,"▶","→")),"")))</f>
        <v/>
      </c>
      <c r="AQ45" s="116">
        <f>IF(OR($K45="",$L45=""),"",IF(NETWORKDAYS(AQ$5,AQ$5,休日)=0,"",IF(AND(AQ$5&gt;=$K45,AQ$5&lt;=$L45),IF(NETWORKDAYS($K45,AQ$5,休日)=1,"○",IF(NETWORKDAYS(AQ$5,$L45,休日)=1,"▶","→")),"")))</f>
        <v/>
      </c>
      <c r="AR45" s="116">
        <f>IF(OR($K45="",$L45=""),"",IF(NETWORKDAYS(AR$5,AR$5,休日)=0,"",IF(AND(AR$5&gt;=$K45,AR$5&lt;=$L45),IF(NETWORKDAYS($K45,AR$5,休日)=1,"○",IF(NETWORKDAYS(AR$5,$L45,休日)=1,"▶","→")),"")))</f>
        <v/>
      </c>
      <c r="AS45" s="116">
        <f>IF(OR($K45="",$L45=""),"",IF(NETWORKDAYS(AS$5,AS$5,休日)=0,"",IF(AND(AS$5&gt;=$K45,AS$5&lt;=$L45),IF(NETWORKDAYS($K45,AS$5,休日)=1,"○",IF(NETWORKDAYS(AS$5,$L45,休日)=1,"▶","→")),"")))</f>
        <v/>
      </c>
      <c r="AT45" s="116">
        <f>IF(OR($K45="",$L45=""),"",IF(NETWORKDAYS(AT$5,AT$5,休日)=0,"",IF(AND(AT$5&gt;=$K45,AT$5&lt;=$L45),IF(NETWORKDAYS($K45,AT$5,休日)=1,"○",IF(NETWORKDAYS(AT$5,$L45,休日)=1,"▶","→")),"")))</f>
        <v/>
      </c>
      <c r="AU45" s="116">
        <f>IF(OR($K45="",$L45=""),"",IF(NETWORKDAYS(AU$5,AU$5,休日)=0,"",IF(AND(AU$5&gt;=$K45,AU$5&lt;=$L45),IF(NETWORKDAYS($K45,AU$5,休日)=1,"○",IF(NETWORKDAYS(AU$5,$L45,休日)=1,"▶","→")),"")))</f>
        <v/>
      </c>
      <c r="AV45" s="116">
        <f>IF(OR($K45="",$L45=""),"",IF(NETWORKDAYS(AV$5,AV$5,休日)=0,"",IF(AND(AV$5&gt;=$K45,AV$5&lt;=$L45),IF(NETWORKDAYS($K45,AV$5,休日)=1,"○",IF(NETWORKDAYS(AV$5,$L45,休日)=1,"▶","→")),"")))</f>
        <v/>
      </c>
      <c r="AW45" s="116">
        <f>IF(OR($K45="",$L45=""),"",IF(NETWORKDAYS(AW$5,AW$5,休日)=0,"",IF(AND(AW$5&gt;=$K45,AW$5&lt;=$L45),IF(NETWORKDAYS($K45,AW$5,休日)=1,"○",IF(NETWORKDAYS(AW$5,$L45,休日)=1,"▶","→")),"")))</f>
        <v/>
      </c>
      <c r="AX45" s="116">
        <f>IF(OR($K45="",$L45=""),"",IF(NETWORKDAYS(AX$5,AX$5,休日)=0,"",IF(AND(AX$5&gt;=$K45,AX$5&lt;=$L45),IF(NETWORKDAYS($K45,AX$5,休日)=1,"○",IF(NETWORKDAYS(AX$5,$L45,休日)=1,"▶","→")),"")))</f>
        <v/>
      </c>
      <c r="AY45" s="116">
        <f>IF(OR($K45="",$L45=""),"",IF(NETWORKDAYS(AY$5,AY$5,休日)=0,"",IF(AND(AY$5&gt;=$K45,AY$5&lt;=$L45),IF(NETWORKDAYS($K45,AY$5,休日)=1,"○",IF(NETWORKDAYS(AY$5,$L45,休日)=1,"▶","→")),"")))</f>
        <v/>
      </c>
      <c r="AZ45" s="116">
        <f>IF(OR($K45="",$L45=""),"",IF(NETWORKDAYS(AZ$5,AZ$5,休日)=0,"",IF(AND(AZ$5&gt;=$K45,AZ$5&lt;=$L45),IF(NETWORKDAYS($K45,AZ$5,休日)=1,"○",IF(NETWORKDAYS(AZ$5,$L45,休日)=1,"▶","→")),"")))</f>
        <v/>
      </c>
      <c r="BA45" s="116">
        <f>IF(OR($K45="",$L45=""),"",IF(NETWORKDAYS(BA$5,BA$5,休日)=0,"",IF(AND(BA$5&gt;=$K45,BA$5&lt;=$L45),IF(NETWORKDAYS($K45,BA$5,休日)=1,"○",IF(NETWORKDAYS(BA$5,$L45,休日)=1,"▶","→")),"")))</f>
        <v/>
      </c>
      <c r="BB45" s="116">
        <f>IF(OR($K45="",$L45=""),"",IF(NETWORKDAYS(BB$5,BB$5,休日)=0,"",IF(AND(BB$5&gt;=$K45,BB$5&lt;=$L45),IF(NETWORKDAYS($K45,BB$5,休日)=1,"○",IF(NETWORKDAYS(BB$5,$L45,休日)=1,"▶","→")),"")))</f>
        <v/>
      </c>
      <c r="BC45" s="116">
        <f>IF(OR($K45="",$L45=""),"",IF(NETWORKDAYS(BC$5,BC$5,休日)=0,"",IF(AND(BC$5&gt;=$K45,BC$5&lt;=$L45),IF(NETWORKDAYS($K45,BC$5,休日)=1,"○",IF(NETWORKDAYS(BC$5,$L45,休日)=1,"▶","→")),"")))</f>
        <v/>
      </c>
      <c r="BD45" s="116">
        <f>IF(OR($K45="",$L45=""),"",IF(NETWORKDAYS(BD$5,BD$5,休日)=0,"",IF(AND(BD$5&gt;=$K45,BD$5&lt;=$L45),IF(NETWORKDAYS($K45,BD$5,休日)=1,"○",IF(NETWORKDAYS(BD$5,$L45,休日)=1,"▶","→")),"")))</f>
        <v/>
      </c>
      <c r="BE45" s="116">
        <f>IF(OR($K45="",$L45=""),"",IF(NETWORKDAYS(BE$5,BE$5,休日)=0,"",IF(AND(BE$5&gt;=$K45,BE$5&lt;=$L45),IF(NETWORKDAYS($K45,BE$5,休日)=1,"○",IF(NETWORKDAYS(BE$5,$L45,休日)=1,"▶","→")),"")))</f>
        <v/>
      </c>
      <c r="BF45" s="116">
        <f>IF(OR($K45="",$L45=""),"",IF(NETWORKDAYS(BF$5,BF$5,休日)=0,"",IF(AND(BF$5&gt;=$K45,BF$5&lt;=$L45),IF(NETWORKDAYS($K45,BF$5,休日)=1,"○",IF(NETWORKDAYS(BF$5,$L45,休日)=1,"▶","→")),"")))</f>
        <v/>
      </c>
      <c r="BG45" s="116">
        <f>IF(OR($K45="",$L45=""),"",IF(NETWORKDAYS(BG$5,BG$5,休日)=0,"",IF(AND(BG$5&gt;=$K45,BG$5&lt;=$L45),IF(NETWORKDAYS($K45,BG$5,休日)=1,"○",IF(NETWORKDAYS(BG$5,$L45,休日)=1,"▶","→")),"")))</f>
        <v/>
      </c>
      <c r="BH45" s="116">
        <f>IF(OR($K45="",$L45=""),"",IF(NETWORKDAYS(BH$5,BH$5,休日)=0,"",IF(AND(BH$5&gt;=$K45,BH$5&lt;=$L45),IF(NETWORKDAYS($K45,BH$5,休日)=1,"○",IF(NETWORKDAYS(BH$5,$L45,休日)=1,"▶","→")),"")))</f>
        <v/>
      </c>
      <c r="BI45" s="116">
        <f>IF(OR($K45="",$L45=""),"",IF(NETWORKDAYS(BI$5,BI$5,休日)=0,"",IF(AND(BI$5&gt;=$K45,BI$5&lt;=$L45),IF(NETWORKDAYS($K45,BI$5,休日)=1,"○",IF(NETWORKDAYS(BI$5,$L45,休日)=1,"▶","→")),"")))</f>
        <v/>
      </c>
      <c r="BJ45" s="116">
        <f>IF(OR($K45="",$L45=""),"",IF(NETWORKDAYS(BJ$5,BJ$5,休日)=0,"",IF(AND(BJ$5&gt;=$K45,BJ$5&lt;=$L45),IF(NETWORKDAYS($K45,BJ$5,休日)=1,"○",IF(NETWORKDAYS(BJ$5,$L45,休日)=1,"▶","→")),"")))</f>
        <v/>
      </c>
      <c r="BK45" s="116">
        <f>IF(OR($K45="",$L45=""),"",IF(NETWORKDAYS(BK$5,BK$5,休日)=0,"",IF(AND(BK$5&gt;=$K45,BK$5&lt;=$L45),IF(NETWORKDAYS($K45,BK$5,休日)=1,"○",IF(NETWORKDAYS(BK$5,$L45,休日)=1,"▶","→")),"")))</f>
        <v/>
      </c>
      <c r="BL45" s="116">
        <f>IF(OR($K45="",$L45=""),"",IF(NETWORKDAYS(BL$5,BL$5,休日)=0,"",IF(AND(BL$5&gt;=$K45,BL$5&lt;=$L45),IF(NETWORKDAYS($K45,BL$5,休日)=1,"○",IF(NETWORKDAYS(BL$5,$L45,休日)=1,"▶","→")),"")))</f>
        <v/>
      </c>
      <c r="BM45" s="116">
        <f>IF(OR($K45="",$L45=""),"",IF(NETWORKDAYS(BM$5,BM$5,休日)=0,"",IF(AND(BM$5&gt;=$K45,BM$5&lt;=$L45),IF(NETWORKDAYS($K45,BM$5,休日)=1,"○",IF(NETWORKDAYS(BM$5,$L45,休日)=1,"▶","→")),"")))</f>
        <v/>
      </c>
      <c r="BN45" s="116">
        <f>IF(OR($K45="",$L45=""),"",IF(NETWORKDAYS(BN$5,BN$5,休日)=0,"",IF(AND(BN$5&gt;=$K45,BN$5&lt;=$L45),IF(NETWORKDAYS($K45,BN$5,休日)=1,"○",IF(NETWORKDAYS(BN$5,$L45,休日)=1,"▶","→")),"")))</f>
        <v/>
      </c>
      <c r="BO45" s="116">
        <f>IF(OR($K45="",$L45=""),"",IF(NETWORKDAYS(BO$5,BO$5,休日)=0,"",IF(AND(BO$5&gt;=$K45,BO$5&lt;=$L45),IF(NETWORKDAYS($K45,BO$5,休日)=1,"○",IF(NETWORKDAYS(BO$5,$L45,休日)=1,"▶","→")),"")))</f>
        <v/>
      </c>
      <c r="BP45" s="116">
        <f>IF(OR($K45="",$L45=""),"",IF(NETWORKDAYS(BP$5,BP$5,休日)=0,"",IF(AND(BP$5&gt;=$K45,BP$5&lt;=$L45),IF(NETWORKDAYS($K45,BP$5,休日)=1,"○",IF(NETWORKDAYS(BP$5,$L45,休日)=1,"▶","→")),"")))</f>
        <v/>
      </c>
      <c r="BQ45" s="116">
        <f>IF(OR($K45="",$L45=""),"",IF(NETWORKDAYS(BQ$5,BQ$5,休日)=0,"",IF(AND(BQ$5&gt;=$K45,BQ$5&lt;=$L45),IF(NETWORKDAYS($K45,BQ$5,休日)=1,"○",IF(NETWORKDAYS(BQ$5,$L45,休日)=1,"▶","→")),"")))</f>
        <v/>
      </c>
      <c r="BR45" s="116">
        <f>IF(OR($K45="",$L45=""),"",IF(NETWORKDAYS(BR$5,BR$5,休日)=0,"",IF(AND(BR$5&gt;=$K45,BR$5&lt;=$L45),IF(NETWORKDAYS($K45,BR$5,休日)=1,"○",IF(NETWORKDAYS(BR$5,$L45,休日)=1,"▶","→")),"")))</f>
        <v/>
      </c>
      <c r="BS45" s="116">
        <f>IF(OR($K45="",$L45=""),"",IF(NETWORKDAYS(BS$5,BS$5,休日)=0,"",IF(AND(BS$5&gt;=$K45,BS$5&lt;=$L45),IF(NETWORKDAYS($K45,BS$5,休日)=1,"○",IF(NETWORKDAYS(BS$5,$L45,休日)=1,"▶","→")),"")))</f>
        <v/>
      </c>
      <c r="BT45" s="116">
        <f>IF(OR($K45="",$L45=""),"",IF(NETWORKDAYS(BT$5,BT$5,休日)=0,"",IF(AND(BT$5&gt;=$K45,BT$5&lt;=$L45),IF(NETWORKDAYS($K45,BT$5,休日)=1,"○",IF(NETWORKDAYS(BT$5,$L45,休日)=1,"▶","→")),"")))</f>
        <v/>
      </c>
      <c r="BU45" s="116">
        <f>IF(OR($K45="",$L45=""),"",IF(NETWORKDAYS(BU$5,BU$5,休日)=0,"",IF(AND(BU$5&gt;=$K45,BU$5&lt;=$L45),IF(NETWORKDAYS($K45,BU$5,休日)=1,"○",IF(NETWORKDAYS(BU$5,$L45,休日)=1,"▶","→")),"")))</f>
        <v/>
      </c>
      <c r="BV45" s="116">
        <f>IF(OR($K45="",$L45=""),"",IF(NETWORKDAYS(BV$5,BV$5,休日)=0,"",IF(AND(BV$5&gt;=$K45,BV$5&lt;=$L45),IF(NETWORKDAYS($K45,BV$5,休日)=1,"○",IF(NETWORKDAYS(BV$5,$L45,休日)=1,"▶","→")),"")))</f>
        <v/>
      </c>
      <c r="BW45" s="116">
        <f>IF(OR($K45="",$L45=""),"",IF(NETWORKDAYS(BW$5,BW$5,休日)=0,"",IF(AND(BW$5&gt;=$K45,BW$5&lt;=$L45),IF(NETWORKDAYS($K45,BW$5,休日)=1,"○",IF(NETWORKDAYS(BW$5,$L45,休日)=1,"▶","→")),"")))</f>
        <v/>
      </c>
      <c r="BX45" s="116">
        <f>IF(OR($K45="",$L45=""),"",IF(NETWORKDAYS(BX$5,BX$5,休日)=0,"",IF(AND(BX$5&gt;=$K45,BX$5&lt;=$L45),IF(NETWORKDAYS($K45,BX$5,休日)=1,"○",IF(NETWORKDAYS(BX$5,$L45,休日)=1,"▶","→")),"")))</f>
        <v/>
      </c>
      <c r="BY45" s="116">
        <f>IF(OR($K45="",$L45=""),"",IF(NETWORKDAYS(BY$5,BY$5,休日)=0,"",IF(AND(BY$5&gt;=$K45,BY$5&lt;=$L45),IF(NETWORKDAYS($K45,BY$5,休日)=1,"○",IF(NETWORKDAYS(BY$5,$L45,休日)=1,"▶","→")),"")))</f>
        <v/>
      </c>
      <c r="BZ45" s="116">
        <f>IF(OR($K45="",$L45=""),"",IF(NETWORKDAYS(BZ$5,BZ$5,休日)=0,"",IF(AND(BZ$5&gt;=$K45,BZ$5&lt;=$L45),IF(NETWORKDAYS($K45,BZ$5,休日)=1,"○",IF(NETWORKDAYS(BZ$5,$L45,休日)=1,"▶","→")),"")))</f>
        <v/>
      </c>
      <c r="CA45" s="116">
        <f>IF(OR($K45="",$L45=""),"",IF(NETWORKDAYS(CA$5,CA$5,休日)=0,"",IF(AND(CA$5&gt;=$K45,CA$5&lt;=$L45),IF(NETWORKDAYS($K45,CA$5,休日)=1,"○",IF(NETWORKDAYS(CA$5,$L45,休日)=1,"▶","→")),"")))</f>
        <v/>
      </c>
      <c r="CB45" s="116">
        <f>IF(OR($K45="",$L45=""),"",IF(NETWORKDAYS(CB$5,CB$5,休日)=0,"",IF(AND(CB$5&gt;=$K45,CB$5&lt;=$L45),IF(NETWORKDAYS($K45,CB$5,休日)=1,"○",IF(NETWORKDAYS(CB$5,$L45,休日)=1,"▶","→")),"")))</f>
        <v/>
      </c>
      <c r="CC45" s="116">
        <f>IF(OR($K45="",$L45=""),"",IF(NETWORKDAYS(CC$5,CC$5,休日)=0,"",IF(AND(CC$5&gt;=$K45,CC$5&lt;=$L45),IF(NETWORKDAYS($K45,CC$5,休日)=1,"○",IF(NETWORKDAYS(CC$5,$L45,休日)=1,"▶","→")),"")))</f>
        <v/>
      </c>
      <c r="CD45" s="116">
        <f>IF(OR($K45="",$L45=""),"",IF(NETWORKDAYS(CD$5,CD$5,休日)=0,"",IF(AND(CD$5&gt;=$K45,CD$5&lt;=$L45),IF(NETWORKDAYS($K45,CD$5,休日)=1,"○",IF(NETWORKDAYS(CD$5,$L45,休日)=1,"▶","→")),"")))</f>
        <v/>
      </c>
      <c r="CE45" s="116">
        <f>IF(OR($K45="",$L45=""),"",IF(NETWORKDAYS(CE$5,CE$5,休日)=0,"",IF(AND(CE$5&gt;=$K45,CE$5&lt;=$L45),IF(NETWORKDAYS($K45,CE$5,休日)=1,"○",IF(NETWORKDAYS(CE$5,$L45,休日)=1,"▶","→")),"")))</f>
        <v/>
      </c>
      <c r="CF45" s="116">
        <f>IF(OR($K45="",$L45=""),"",IF(NETWORKDAYS(CF$5,CF$5,休日)=0,"",IF(AND(CF$5&gt;=$K45,CF$5&lt;=$L45),IF(NETWORKDAYS($K45,CF$5,休日)=1,"○",IF(NETWORKDAYS(CF$5,$L45,休日)=1,"▶","→")),"")))</f>
        <v/>
      </c>
      <c r="CG45" s="116">
        <f>IF(OR($K45="",$L45=""),"",IF(NETWORKDAYS(CG$5,CG$5,休日)=0,"",IF(AND(CG$5&gt;=$K45,CG$5&lt;=$L45),IF(NETWORKDAYS($K45,CG$5,休日)=1,"○",IF(NETWORKDAYS(CG$5,$L45,休日)=1,"▶","→")),"")))</f>
        <v/>
      </c>
      <c r="CH45" s="116">
        <f>IF(OR($K45="",$L45=""),"",IF(NETWORKDAYS(CH$5,CH$5,休日)=0,"",IF(AND(CH$5&gt;=$K45,CH$5&lt;=$L45),IF(NETWORKDAYS($K45,CH$5,休日)=1,"○",IF(NETWORKDAYS(CH$5,$L45,休日)=1,"▶","→")),"")))</f>
        <v/>
      </c>
      <c r="CI45" s="116">
        <f>IF(OR($K45="",$L45=""),"",IF(NETWORKDAYS(CI$5,CI$5,休日)=0,"",IF(AND(CI$5&gt;=$K45,CI$5&lt;=$L45),IF(NETWORKDAYS($K45,CI$5,休日)=1,"○",IF(NETWORKDAYS(CI$5,$L45,休日)=1,"▶","→")),"")))</f>
        <v/>
      </c>
      <c r="CJ45" s="116">
        <f>IF(OR($K45="",$L45=""),"",IF(NETWORKDAYS(CJ$5,CJ$5,休日)=0,"",IF(AND(CJ$5&gt;=$K45,CJ$5&lt;=$L45),IF(NETWORKDAYS($K45,CJ$5,休日)=1,"○",IF(NETWORKDAYS(CJ$5,$L45,休日)=1,"▶","→")),"")))</f>
        <v/>
      </c>
      <c r="CK45" s="116">
        <f>IF(OR($K45="",$L45=""),"",IF(NETWORKDAYS(CK$5,CK$5,休日)=0,"",IF(AND(CK$5&gt;=$K45,CK$5&lt;=$L45),IF(NETWORKDAYS($K45,CK$5,休日)=1,"○",IF(NETWORKDAYS(CK$5,$L45,休日)=1,"▶","→")),"")))</f>
        <v/>
      </c>
      <c r="CL45" s="116">
        <f>IF(OR($K45="",$L45=""),"",IF(NETWORKDAYS(CL$5,CL$5,休日)=0,"",IF(AND(CL$5&gt;=$K45,CL$5&lt;=$L45),IF(NETWORKDAYS($K45,CL$5,休日)=1,"○",IF(NETWORKDAYS(CL$5,$L45,休日)=1,"▶","→")),"")))</f>
        <v/>
      </c>
      <c r="CM45" s="116">
        <f>IF(OR($K45="",$L45=""),"",IF(NETWORKDAYS(CM$5,CM$5,休日)=0,"",IF(AND(CM$5&gt;=$K45,CM$5&lt;=$L45),IF(NETWORKDAYS($K45,CM$5,休日)=1,"○",IF(NETWORKDAYS(CM$5,$L45,休日)=1,"▶","→")),"")))</f>
        <v/>
      </c>
      <c r="CN45" s="116">
        <f>IF(OR($K45="",$L45=""),"",IF(NETWORKDAYS(CN$5,CN$5,休日)=0,"",IF(AND(CN$5&gt;=$K45,CN$5&lt;=$L45),IF(NETWORKDAYS($K45,CN$5,休日)=1,"○",IF(NETWORKDAYS(CN$5,$L45,休日)=1,"▶","→")),"")))</f>
        <v/>
      </c>
      <c r="CO45" s="116">
        <f>IF(OR($K45="",$L45=""),"",IF(NETWORKDAYS(CO$5,CO$5,休日)=0,"",IF(AND(CO$5&gt;=$K45,CO$5&lt;=$L45),IF(NETWORKDAYS($K45,CO$5,休日)=1,"○",IF(NETWORKDAYS(CO$5,$L45,休日)=1,"▶","→")),"")))</f>
        <v/>
      </c>
    </row>
    <row r="46" ht="19.5" customHeight="1" s="98">
      <c r="A46" s="5" t="n"/>
      <c r="B46" s="109" t="inlineStr">
        <is>
          <t>4</t>
        </is>
      </c>
      <c r="C46" s="110" t="inlineStr">
        <is>
          <t>単体テスト</t>
        </is>
      </c>
      <c r="D46" s="117" t="n"/>
      <c r="E46" s="127" t="n"/>
      <c r="F46" s="124" t="n"/>
      <c r="G46" s="120" t="n"/>
      <c r="H46" s="120" t="n"/>
      <c r="I46" s="121" t="n"/>
      <c r="J46" s="117" t="n"/>
      <c r="K46" s="122" t="n"/>
      <c r="L46" s="122" t="n"/>
      <c r="M46" s="122" t="n"/>
      <c r="N46" s="122" t="n"/>
      <c r="O46" s="120" t="n"/>
      <c r="P46" s="123" t="n"/>
      <c r="Q46" s="120" t="n"/>
      <c r="R46" s="124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  <c r="AH46" s="61" t="n"/>
      <c r="AI46" s="61" t="n"/>
      <c r="AJ46" s="61" t="n"/>
      <c r="AK46" s="61" t="n"/>
      <c r="AL46" s="61" t="n"/>
      <c r="AM46" s="61" t="n"/>
      <c r="AN46" s="61" t="n"/>
      <c r="AO46" s="61" t="n"/>
      <c r="AP46" s="61" t="n"/>
      <c r="AQ46" s="61" t="n"/>
      <c r="AR46" s="61" t="n"/>
      <c r="AS46" s="61" t="n"/>
      <c r="AT46" s="61" t="n"/>
      <c r="AU46" s="61" t="n"/>
      <c r="AV46" s="61" t="n"/>
      <c r="AW46" s="61" t="n"/>
      <c r="AX46" s="61" t="n"/>
      <c r="AY46" s="61" t="n"/>
      <c r="AZ46" s="61" t="n"/>
      <c r="BA46" s="61" t="n"/>
      <c r="BB46" s="61" t="n"/>
      <c r="BC46" s="61" t="n"/>
      <c r="BD46" s="61" t="n"/>
      <c r="BE46" s="61" t="n"/>
      <c r="BF46" s="61" t="n"/>
      <c r="BG46" s="61" t="n"/>
      <c r="BH46" s="61" t="n"/>
      <c r="BI46" s="61" t="n"/>
      <c r="BJ46" s="61" t="n"/>
      <c r="BK46" s="61" t="n"/>
      <c r="BL46" s="61" t="n"/>
      <c r="BM46" s="61" t="n"/>
      <c r="BN46" s="61" t="n"/>
      <c r="BO46" s="61" t="n"/>
      <c r="BP46" s="61" t="n"/>
      <c r="BQ46" s="61" t="n"/>
      <c r="BR46" s="61" t="n"/>
      <c r="BS46" s="61" t="n"/>
      <c r="BT46" s="61" t="n"/>
      <c r="BU46" s="61" t="n"/>
      <c r="BV46" s="61" t="n"/>
      <c r="BW46" s="61" t="n"/>
      <c r="BX46" s="61" t="n"/>
      <c r="BY46" s="61" t="n"/>
      <c r="BZ46" s="61" t="n"/>
      <c r="CA46" s="61" t="n"/>
      <c r="CB46" s="61" t="n"/>
      <c r="CC46" s="61" t="n"/>
      <c r="CD46" s="61" t="n"/>
      <c r="CE46" s="61" t="n"/>
      <c r="CF46" s="61" t="n"/>
      <c r="CG46" s="61" t="n"/>
      <c r="CH46" s="61" t="n"/>
    </row>
    <row r="47" ht="32" customHeight="1" s="98">
      <c r="A47" s="5" t="n"/>
      <c r="B47" s="100" t="inlineStr">
        <is>
          <t>4.1.1</t>
        </is>
      </c>
      <c r="C47" s="101" t="inlineStr">
        <is>
          <t>単体テスト</t>
        </is>
      </c>
      <c r="D47" s="101" t="inlineStr">
        <is>
          <t>Layer①</t>
        </is>
      </c>
      <c r="E47" s="101" t="inlineStr">
        <is>
          <t>生鮮発注勧告（当日分）</t>
        </is>
      </c>
      <c r="F47" s="101" t="inlineStr">
        <is>
          <t>生鮮発注勧告（当日分）</t>
        </is>
      </c>
      <c r="G47" s="100" t="inlineStr">
        <is>
          <t>新規</t>
        </is>
      </c>
      <c r="H47" s="100" t="inlineStr">
        <is>
          <t>未定</t>
        </is>
      </c>
      <c r="I47" s="113" t="n">
        <v>5</v>
      </c>
      <c r="J47" s="100" t="inlineStr">
        <is>
          <t>－</t>
        </is>
      </c>
      <c r="K47" s="114" t="n">
        <v>46363</v>
      </c>
      <c r="L47" s="114" t="n">
        <v>46381</v>
      </c>
      <c r="M47" s="114" t="n"/>
      <c r="N47" s="114" t="n"/>
      <c r="O47" s="100" t="inlineStr">
        <is>
          <t>未着手</t>
        </is>
      </c>
      <c r="P47" s="115" t="n">
        <v>0</v>
      </c>
      <c r="Q47" s="100" t="inlineStr">
        <is>
          <t>－</t>
        </is>
      </c>
      <c r="R47" s="101" t="inlineStr">
        <is>
          <t>出典は塊として12/7–12/25。IFごとの日付は分割されていない。担当は未定</t>
        </is>
      </c>
      <c r="S47" s="116">
        <f>IF(OR($K47="",$L47=""),"",IF(NETWORKDAYS(S$5,S$5,休日)=0,"",IF(AND(S$5&gt;=$K47,S$5&lt;=$L47),IF(NETWORKDAYS($K47,S$5,休日)=1,"○",IF(NETWORKDAYS(S$5,$L47,休日)=1,"▶","→")),"")))</f>
        <v/>
      </c>
      <c r="T47" s="116">
        <f>IF(OR($K47="",$L47=""),"",IF(NETWORKDAYS(T$5,T$5,休日)=0,"",IF(AND(T$5&gt;=$K47,T$5&lt;=$L47),IF(NETWORKDAYS($K47,T$5,休日)=1,"○",IF(NETWORKDAYS(T$5,$L47,休日)=1,"▶","→")),"")))</f>
        <v/>
      </c>
      <c r="U47" s="116">
        <f>IF(OR($K47="",$L47=""),"",IF(NETWORKDAYS(U$5,U$5,休日)=0,"",IF(AND(U$5&gt;=$K47,U$5&lt;=$L47),IF(NETWORKDAYS($K47,U$5,休日)=1,"○",IF(NETWORKDAYS(U$5,$L47,休日)=1,"▶","→")),"")))</f>
        <v/>
      </c>
      <c r="V47" s="116">
        <f>IF(OR($K47="",$L47=""),"",IF(NETWORKDAYS(V$5,V$5,休日)=0,"",IF(AND(V$5&gt;=$K47,V$5&lt;=$L47),IF(NETWORKDAYS($K47,V$5,休日)=1,"○",IF(NETWORKDAYS(V$5,$L47,休日)=1,"▶","→")),"")))</f>
        <v/>
      </c>
      <c r="W47" s="116">
        <f>IF(OR($K47="",$L47=""),"",IF(NETWORKDAYS(W$5,W$5,休日)=0,"",IF(AND(W$5&gt;=$K47,W$5&lt;=$L47),IF(NETWORKDAYS($K47,W$5,休日)=1,"○",IF(NETWORKDAYS(W$5,$L47,休日)=1,"▶","→")),"")))</f>
        <v/>
      </c>
      <c r="X47" s="116">
        <f>IF(OR($K47="",$L47=""),"",IF(NETWORKDAYS(X$5,X$5,休日)=0,"",IF(AND(X$5&gt;=$K47,X$5&lt;=$L47),IF(NETWORKDAYS($K47,X$5,休日)=1,"○",IF(NETWORKDAYS(X$5,$L47,休日)=1,"▶","→")),"")))</f>
        <v/>
      </c>
      <c r="Y47" s="116">
        <f>IF(OR($K47="",$L47=""),"",IF(NETWORKDAYS(Y$5,Y$5,休日)=0,"",IF(AND(Y$5&gt;=$K47,Y$5&lt;=$L47),IF(NETWORKDAYS($K47,Y$5,休日)=1,"○",IF(NETWORKDAYS(Y$5,$L47,休日)=1,"▶","→")),"")))</f>
        <v/>
      </c>
      <c r="Z47" s="116">
        <f>IF(OR($K47="",$L47=""),"",IF(NETWORKDAYS(Z$5,Z$5,休日)=0,"",IF(AND(Z$5&gt;=$K47,Z$5&lt;=$L47),IF(NETWORKDAYS($K47,Z$5,休日)=1,"○",IF(NETWORKDAYS(Z$5,$L47,休日)=1,"▶","→")),"")))</f>
        <v/>
      </c>
      <c r="AA47" s="116">
        <f>IF(OR($K47="",$L47=""),"",IF(NETWORKDAYS(AA$5,AA$5,休日)=0,"",IF(AND(AA$5&gt;=$K47,AA$5&lt;=$L47),IF(NETWORKDAYS($K47,AA$5,休日)=1,"○",IF(NETWORKDAYS(AA$5,$L47,休日)=1,"▶","→")),"")))</f>
        <v/>
      </c>
      <c r="AB47" s="116">
        <f>IF(OR($K47="",$L47=""),"",IF(NETWORKDAYS(AB$5,AB$5,休日)=0,"",IF(AND(AB$5&gt;=$K47,AB$5&lt;=$L47),IF(NETWORKDAYS($K47,AB$5,休日)=1,"○",IF(NETWORKDAYS(AB$5,$L47,休日)=1,"▶","→")),"")))</f>
        <v/>
      </c>
      <c r="AC47" s="116">
        <f>IF(OR($K47="",$L47=""),"",IF(NETWORKDAYS(AC$5,AC$5,休日)=0,"",IF(AND(AC$5&gt;=$K47,AC$5&lt;=$L47),IF(NETWORKDAYS($K47,AC$5,休日)=1,"○",IF(NETWORKDAYS(AC$5,$L47,休日)=1,"▶","→")),"")))</f>
        <v/>
      </c>
      <c r="AD47" s="116">
        <f>IF(OR($K47="",$L47=""),"",IF(NETWORKDAYS(AD$5,AD$5,休日)=0,"",IF(AND(AD$5&gt;=$K47,AD$5&lt;=$L47),IF(NETWORKDAYS($K47,AD$5,休日)=1,"○",IF(NETWORKDAYS(AD$5,$L47,休日)=1,"▶","→")),"")))</f>
        <v/>
      </c>
      <c r="AE47" s="116">
        <f>IF(OR($K47="",$L47=""),"",IF(NETWORKDAYS(AE$5,AE$5,休日)=0,"",IF(AND(AE$5&gt;=$K47,AE$5&lt;=$L47),IF(NETWORKDAYS($K47,AE$5,休日)=1,"○",IF(NETWORKDAYS(AE$5,$L47,休日)=1,"▶","→")),"")))</f>
        <v/>
      </c>
      <c r="AF47" s="116">
        <f>IF(OR($K47="",$L47=""),"",IF(NETWORKDAYS(AF$5,AF$5,休日)=0,"",IF(AND(AF$5&gt;=$K47,AF$5&lt;=$L47),IF(NETWORKDAYS($K47,AF$5,休日)=1,"○",IF(NETWORKDAYS(AF$5,$L47,休日)=1,"▶","→")),"")))</f>
        <v/>
      </c>
      <c r="AG47" s="116">
        <f>IF(OR($K47="",$L47=""),"",IF(NETWORKDAYS(AG$5,AG$5,休日)=0,"",IF(AND(AG$5&gt;=$K47,AG$5&lt;=$L47),IF(NETWORKDAYS($K47,AG$5,休日)=1,"○",IF(NETWORKDAYS(AG$5,$L47,休日)=1,"▶","→")),"")))</f>
        <v/>
      </c>
      <c r="AH47" s="116">
        <f>IF(OR($K47="",$L47=""),"",IF(NETWORKDAYS(AH$5,AH$5,休日)=0,"",IF(AND(AH$5&gt;=$K47,AH$5&lt;=$L47),IF(NETWORKDAYS($K47,AH$5,休日)=1,"○",IF(NETWORKDAYS(AH$5,$L47,休日)=1,"▶","→")),"")))</f>
        <v/>
      </c>
      <c r="AI47" s="116">
        <f>IF(OR($K47="",$L47=""),"",IF(NETWORKDAYS(AI$5,AI$5,休日)=0,"",IF(AND(AI$5&gt;=$K47,AI$5&lt;=$L47),IF(NETWORKDAYS($K47,AI$5,休日)=1,"○",IF(NETWORKDAYS(AI$5,$L47,休日)=1,"▶","→")),"")))</f>
        <v/>
      </c>
      <c r="AJ47" s="116">
        <f>IF(OR($K47="",$L47=""),"",IF(NETWORKDAYS(AJ$5,AJ$5,休日)=0,"",IF(AND(AJ$5&gt;=$K47,AJ$5&lt;=$L47),IF(NETWORKDAYS($K47,AJ$5,休日)=1,"○",IF(NETWORKDAYS(AJ$5,$L47,休日)=1,"▶","→")),"")))</f>
        <v/>
      </c>
      <c r="AK47" s="116">
        <f>IF(OR($K47="",$L47=""),"",IF(NETWORKDAYS(AK$5,AK$5,休日)=0,"",IF(AND(AK$5&gt;=$K47,AK$5&lt;=$L47),IF(NETWORKDAYS($K47,AK$5,休日)=1,"○",IF(NETWORKDAYS(AK$5,$L47,休日)=1,"▶","→")),"")))</f>
        <v/>
      </c>
      <c r="AL47" s="116">
        <f>IF(OR($K47="",$L47=""),"",IF(NETWORKDAYS(AL$5,AL$5,休日)=0,"",IF(AND(AL$5&gt;=$K47,AL$5&lt;=$L47),IF(NETWORKDAYS($K47,AL$5,休日)=1,"○",IF(NETWORKDAYS(AL$5,$L47,休日)=1,"▶","→")),"")))</f>
        <v/>
      </c>
      <c r="AM47" s="116">
        <f>IF(OR($K47="",$L47=""),"",IF(NETWORKDAYS(AM$5,AM$5,休日)=0,"",IF(AND(AM$5&gt;=$K47,AM$5&lt;=$L47),IF(NETWORKDAYS($K47,AM$5,休日)=1,"○",IF(NETWORKDAYS(AM$5,$L47,休日)=1,"▶","→")),"")))</f>
        <v/>
      </c>
      <c r="AN47" s="116">
        <f>IF(OR($K47="",$L47=""),"",IF(NETWORKDAYS(AN$5,AN$5,休日)=0,"",IF(AND(AN$5&gt;=$K47,AN$5&lt;=$L47),IF(NETWORKDAYS($K47,AN$5,休日)=1,"○",IF(NETWORKDAYS(AN$5,$L47,休日)=1,"▶","→")),"")))</f>
        <v/>
      </c>
      <c r="AO47" s="116">
        <f>IF(OR($K47="",$L47=""),"",IF(NETWORKDAYS(AO$5,AO$5,休日)=0,"",IF(AND(AO$5&gt;=$K47,AO$5&lt;=$L47),IF(NETWORKDAYS($K47,AO$5,休日)=1,"○",IF(NETWORKDAYS(AO$5,$L47,休日)=1,"▶","→")),"")))</f>
        <v/>
      </c>
      <c r="AP47" s="116">
        <f>IF(OR($K47="",$L47=""),"",IF(NETWORKDAYS(AP$5,AP$5,休日)=0,"",IF(AND(AP$5&gt;=$K47,AP$5&lt;=$L47),IF(NETWORKDAYS($K47,AP$5,休日)=1,"○",IF(NETWORKDAYS(AP$5,$L47,休日)=1,"▶","→")),"")))</f>
        <v/>
      </c>
      <c r="AQ47" s="116">
        <f>IF(OR($K47="",$L47=""),"",IF(NETWORKDAYS(AQ$5,AQ$5,休日)=0,"",IF(AND(AQ$5&gt;=$K47,AQ$5&lt;=$L47),IF(NETWORKDAYS($K47,AQ$5,休日)=1,"○",IF(NETWORKDAYS(AQ$5,$L47,休日)=1,"▶","→")),"")))</f>
        <v/>
      </c>
      <c r="AR47" s="116">
        <f>IF(OR($K47="",$L47=""),"",IF(NETWORKDAYS(AR$5,AR$5,休日)=0,"",IF(AND(AR$5&gt;=$K47,AR$5&lt;=$L47),IF(NETWORKDAYS($K47,AR$5,休日)=1,"○",IF(NETWORKDAYS(AR$5,$L47,休日)=1,"▶","→")),"")))</f>
        <v/>
      </c>
      <c r="AS47" s="116">
        <f>IF(OR($K47="",$L47=""),"",IF(NETWORKDAYS(AS$5,AS$5,休日)=0,"",IF(AND(AS$5&gt;=$K47,AS$5&lt;=$L47),IF(NETWORKDAYS($K47,AS$5,休日)=1,"○",IF(NETWORKDAYS(AS$5,$L47,休日)=1,"▶","→")),"")))</f>
        <v/>
      </c>
      <c r="AT47" s="116">
        <f>IF(OR($K47="",$L47=""),"",IF(NETWORKDAYS(AT$5,AT$5,休日)=0,"",IF(AND(AT$5&gt;=$K47,AT$5&lt;=$L47),IF(NETWORKDAYS($K47,AT$5,休日)=1,"○",IF(NETWORKDAYS(AT$5,$L47,休日)=1,"▶","→")),"")))</f>
        <v/>
      </c>
      <c r="AU47" s="116">
        <f>IF(OR($K47="",$L47=""),"",IF(NETWORKDAYS(AU$5,AU$5,休日)=0,"",IF(AND(AU$5&gt;=$K47,AU$5&lt;=$L47),IF(NETWORKDAYS($K47,AU$5,休日)=1,"○",IF(NETWORKDAYS(AU$5,$L47,休日)=1,"▶","→")),"")))</f>
        <v/>
      </c>
      <c r="AV47" s="116">
        <f>IF(OR($K47="",$L47=""),"",IF(NETWORKDAYS(AV$5,AV$5,休日)=0,"",IF(AND(AV$5&gt;=$K47,AV$5&lt;=$L47),IF(NETWORKDAYS($K47,AV$5,休日)=1,"○",IF(NETWORKDAYS(AV$5,$L47,休日)=1,"▶","→")),"")))</f>
        <v/>
      </c>
      <c r="AW47" s="116">
        <f>IF(OR($K47="",$L47=""),"",IF(NETWORKDAYS(AW$5,AW$5,休日)=0,"",IF(AND(AW$5&gt;=$K47,AW$5&lt;=$L47),IF(NETWORKDAYS($K47,AW$5,休日)=1,"○",IF(NETWORKDAYS(AW$5,$L47,休日)=1,"▶","→")),"")))</f>
        <v/>
      </c>
      <c r="AX47" s="116">
        <f>IF(OR($K47="",$L47=""),"",IF(NETWORKDAYS(AX$5,AX$5,休日)=0,"",IF(AND(AX$5&gt;=$K47,AX$5&lt;=$L47),IF(NETWORKDAYS($K47,AX$5,休日)=1,"○",IF(NETWORKDAYS(AX$5,$L47,休日)=1,"▶","→")),"")))</f>
        <v/>
      </c>
      <c r="AY47" s="116">
        <f>IF(OR($K47="",$L47=""),"",IF(NETWORKDAYS(AY$5,AY$5,休日)=0,"",IF(AND(AY$5&gt;=$K47,AY$5&lt;=$L47),IF(NETWORKDAYS($K47,AY$5,休日)=1,"○",IF(NETWORKDAYS(AY$5,$L47,休日)=1,"▶","→")),"")))</f>
        <v/>
      </c>
      <c r="AZ47" s="116">
        <f>IF(OR($K47="",$L47=""),"",IF(NETWORKDAYS(AZ$5,AZ$5,休日)=0,"",IF(AND(AZ$5&gt;=$K47,AZ$5&lt;=$L47),IF(NETWORKDAYS($K47,AZ$5,休日)=1,"○",IF(NETWORKDAYS(AZ$5,$L47,休日)=1,"▶","→")),"")))</f>
        <v/>
      </c>
      <c r="BA47" s="116">
        <f>IF(OR($K47="",$L47=""),"",IF(NETWORKDAYS(BA$5,BA$5,休日)=0,"",IF(AND(BA$5&gt;=$K47,BA$5&lt;=$L47),IF(NETWORKDAYS($K47,BA$5,休日)=1,"○",IF(NETWORKDAYS(BA$5,$L47,休日)=1,"▶","→")),"")))</f>
        <v/>
      </c>
      <c r="BB47" s="116">
        <f>IF(OR($K47="",$L47=""),"",IF(NETWORKDAYS(BB$5,BB$5,休日)=0,"",IF(AND(BB$5&gt;=$K47,BB$5&lt;=$L47),IF(NETWORKDAYS($K47,BB$5,休日)=1,"○",IF(NETWORKDAYS(BB$5,$L47,休日)=1,"▶","→")),"")))</f>
        <v/>
      </c>
      <c r="BC47" s="116">
        <f>IF(OR($K47="",$L47=""),"",IF(NETWORKDAYS(BC$5,BC$5,休日)=0,"",IF(AND(BC$5&gt;=$K47,BC$5&lt;=$L47),IF(NETWORKDAYS($K47,BC$5,休日)=1,"○",IF(NETWORKDAYS(BC$5,$L47,休日)=1,"▶","→")),"")))</f>
        <v/>
      </c>
      <c r="BD47" s="116">
        <f>IF(OR($K47="",$L47=""),"",IF(NETWORKDAYS(BD$5,BD$5,休日)=0,"",IF(AND(BD$5&gt;=$K47,BD$5&lt;=$L47),IF(NETWORKDAYS($K47,BD$5,休日)=1,"○",IF(NETWORKDAYS(BD$5,$L47,休日)=1,"▶","→")),"")))</f>
        <v/>
      </c>
      <c r="BE47" s="116">
        <f>IF(OR($K47="",$L47=""),"",IF(NETWORKDAYS(BE$5,BE$5,休日)=0,"",IF(AND(BE$5&gt;=$K47,BE$5&lt;=$L47),IF(NETWORKDAYS($K47,BE$5,休日)=1,"○",IF(NETWORKDAYS(BE$5,$L47,休日)=1,"▶","→")),"")))</f>
        <v/>
      </c>
      <c r="BF47" s="116">
        <f>IF(OR($K47="",$L47=""),"",IF(NETWORKDAYS(BF$5,BF$5,休日)=0,"",IF(AND(BF$5&gt;=$K47,BF$5&lt;=$L47),IF(NETWORKDAYS($K47,BF$5,休日)=1,"○",IF(NETWORKDAYS(BF$5,$L47,休日)=1,"▶","→")),"")))</f>
        <v/>
      </c>
      <c r="BG47" s="116">
        <f>IF(OR($K47="",$L47=""),"",IF(NETWORKDAYS(BG$5,BG$5,休日)=0,"",IF(AND(BG$5&gt;=$K47,BG$5&lt;=$L47),IF(NETWORKDAYS($K47,BG$5,休日)=1,"○",IF(NETWORKDAYS(BG$5,$L47,休日)=1,"▶","→")),"")))</f>
        <v/>
      </c>
      <c r="BH47" s="116">
        <f>IF(OR($K47="",$L47=""),"",IF(NETWORKDAYS(BH$5,BH$5,休日)=0,"",IF(AND(BH$5&gt;=$K47,BH$5&lt;=$L47),IF(NETWORKDAYS($K47,BH$5,休日)=1,"○",IF(NETWORKDAYS(BH$5,$L47,休日)=1,"▶","→")),"")))</f>
        <v/>
      </c>
      <c r="BI47" s="116">
        <f>IF(OR($K47="",$L47=""),"",IF(NETWORKDAYS(BI$5,BI$5,休日)=0,"",IF(AND(BI$5&gt;=$K47,BI$5&lt;=$L47),IF(NETWORKDAYS($K47,BI$5,休日)=1,"○",IF(NETWORKDAYS(BI$5,$L47,休日)=1,"▶","→")),"")))</f>
        <v/>
      </c>
      <c r="BJ47" s="116">
        <f>IF(OR($K47="",$L47=""),"",IF(NETWORKDAYS(BJ$5,BJ$5,休日)=0,"",IF(AND(BJ$5&gt;=$K47,BJ$5&lt;=$L47),IF(NETWORKDAYS($K47,BJ$5,休日)=1,"○",IF(NETWORKDAYS(BJ$5,$L47,休日)=1,"▶","→")),"")))</f>
        <v/>
      </c>
      <c r="BK47" s="116">
        <f>IF(OR($K47="",$L47=""),"",IF(NETWORKDAYS(BK$5,BK$5,休日)=0,"",IF(AND(BK$5&gt;=$K47,BK$5&lt;=$L47),IF(NETWORKDAYS($K47,BK$5,休日)=1,"○",IF(NETWORKDAYS(BK$5,$L47,休日)=1,"▶","→")),"")))</f>
        <v/>
      </c>
      <c r="BL47" s="116">
        <f>IF(OR($K47="",$L47=""),"",IF(NETWORKDAYS(BL$5,BL$5,休日)=0,"",IF(AND(BL$5&gt;=$K47,BL$5&lt;=$L47),IF(NETWORKDAYS($K47,BL$5,休日)=1,"○",IF(NETWORKDAYS(BL$5,$L47,休日)=1,"▶","→")),"")))</f>
        <v/>
      </c>
      <c r="BM47" s="116">
        <f>IF(OR($K47="",$L47=""),"",IF(NETWORKDAYS(BM$5,BM$5,休日)=0,"",IF(AND(BM$5&gt;=$K47,BM$5&lt;=$L47),IF(NETWORKDAYS($K47,BM$5,休日)=1,"○",IF(NETWORKDAYS(BM$5,$L47,休日)=1,"▶","→")),"")))</f>
        <v/>
      </c>
      <c r="BN47" s="116">
        <f>IF(OR($K47="",$L47=""),"",IF(NETWORKDAYS(BN$5,BN$5,休日)=0,"",IF(AND(BN$5&gt;=$K47,BN$5&lt;=$L47),IF(NETWORKDAYS($K47,BN$5,休日)=1,"○",IF(NETWORKDAYS(BN$5,$L47,休日)=1,"▶","→")),"")))</f>
        <v/>
      </c>
      <c r="BO47" s="116">
        <f>IF(OR($K47="",$L47=""),"",IF(NETWORKDAYS(BO$5,BO$5,休日)=0,"",IF(AND(BO$5&gt;=$K47,BO$5&lt;=$L47),IF(NETWORKDAYS($K47,BO$5,休日)=1,"○",IF(NETWORKDAYS(BO$5,$L47,休日)=1,"▶","→")),"")))</f>
        <v/>
      </c>
      <c r="BP47" s="116">
        <f>IF(OR($K47="",$L47=""),"",IF(NETWORKDAYS(BP$5,BP$5,休日)=0,"",IF(AND(BP$5&gt;=$K47,BP$5&lt;=$L47),IF(NETWORKDAYS($K47,BP$5,休日)=1,"○",IF(NETWORKDAYS(BP$5,$L47,休日)=1,"▶","→")),"")))</f>
        <v/>
      </c>
      <c r="BQ47" s="116">
        <f>IF(OR($K47="",$L47=""),"",IF(NETWORKDAYS(BQ$5,BQ$5,休日)=0,"",IF(AND(BQ$5&gt;=$K47,BQ$5&lt;=$L47),IF(NETWORKDAYS($K47,BQ$5,休日)=1,"○",IF(NETWORKDAYS(BQ$5,$L47,休日)=1,"▶","→")),"")))</f>
        <v/>
      </c>
      <c r="BR47" s="116">
        <f>IF(OR($K47="",$L47=""),"",IF(NETWORKDAYS(BR$5,BR$5,休日)=0,"",IF(AND(BR$5&gt;=$K47,BR$5&lt;=$L47),IF(NETWORKDAYS($K47,BR$5,休日)=1,"○",IF(NETWORKDAYS(BR$5,$L47,休日)=1,"▶","→")),"")))</f>
        <v/>
      </c>
      <c r="BS47" s="116">
        <f>IF(OR($K47="",$L47=""),"",IF(NETWORKDAYS(BS$5,BS$5,休日)=0,"",IF(AND(BS$5&gt;=$K47,BS$5&lt;=$L47),IF(NETWORKDAYS($K47,BS$5,休日)=1,"○",IF(NETWORKDAYS(BS$5,$L47,休日)=1,"▶","→")),"")))</f>
        <v/>
      </c>
      <c r="BT47" s="116">
        <f>IF(OR($K47="",$L47=""),"",IF(NETWORKDAYS(BT$5,BT$5,休日)=0,"",IF(AND(BT$5&gt;=$K47,BT$5&lt;=$L47),IF(NETWORKDAYS($K47,BT$5,休日)=1,"○",IF(NETWORKDAYS(BT$5,$L47,休日)=1,"▶","→")),"")))</f>
        <v/>
      </c>
      <c r="BU47" s="116">
        <f>IF(OR($K47="",$L47=""),"",IF(NETWORKDAYS(BU$5,BU$5,休日)=0,"",IF(AND(BU$5&gt;=$K47,BU$5&lt;=$L47),IF(NETWORKDAYS($K47,BU$5,休日)=1,"○",IF(NETWORKDAYS(BU$5,$L47,休日)=1,"▶","→")),"")))</f>
        <v/>
      </c>
      <c r="BV47" s="116">
        <f>IF(OR($K47="",$L47=""),"",IF(NETWORKDAYS(BV$5,BV$5,休日)=0,"",IF(AND(BV$5&gt;=$K47,BV$5&lt;=$L47),IF(NETWORKDAYS($K47,BV$5,休日)=1,"○",IF(NETWORKDAYS(BV$5,$L47,休日)=1,"▶","→")),"")))</f>
        <v/>
      </c>
      <c r="BW47" s="116">
        <f>IF(OR($K47="",$L47=""),"",IF(NETWORKDAYS(BW$5,BW$5,休日)=0,"",IF(AND(BW$5&gt;=$K47,BW$5&lt;=$L47),IF(NETWORKDAYS($K47,BW$5,休日)=1,"○",IF(NETWORKDAYS(BW$5,$L47,休日)=1,"▶","→")),"")))</f>
        <v/>
      </c>
      <c r="BX47" s="116">
        <f>IF(OR($K47="",$L47=""),"",IF(NETWORKDAYS(BX$5,BX$5,休日)=0,"",IF(AND(BX$5&gt;=$K47,BX$5&lt;=$L47),IF(NETWORKDAYS($K47,BX$5,休日)=1,"○",IF(NETWORKDAYS(BX$5,$L47,休日)=1,"▶","→")),"")))</f>
        <v/>
      </c>
      <c r="BY47" s="116">
        <f>IF(OR($K47="",$L47=""),"",IF(NETWORKDAYS(BY$5,BY$5,休日)=0,"",IF(AND(BY$5&gt;=$K47,BY$5&lt;=$L47),IF(NETWORKDAYS($K47,BY$5,休日)=1,"○",IF(NETWORKDAYS(BY$5,$L47,休日)=1,"▶","→")),"")))</f>
        <v/>
      </c>
      <c r="BZ47" s="116">
        <f>IF(OR($K47="",$L47=""),"",IF(NETWORKDAYS(BZ$5,BZ$5,休日)=0,"",IF(AND(BZ$5&gt;=$K47,BZ$5&lt;=$L47),IF(NETWORKDAYS($K47,BZ$5,休日)=1,"○",IF(NETWORKDAYS(BZ$5,$L47,休日)=1,"▶","→")),"")))</f>
        <v/>
      </c>
      <c r="CA47" s="116">
        <f>IF(OR($K47="",$L47=""),"",IF(NETWORKDAYS(CA$5,CA$5,休日)=0,"",IF(AND(CA$5&gt;=$K47,CA$5&lt;=$L47),IF(NETWORKDAYS($K47,CA$5,休日)=1,"○",IF(NETWORKDAYS(CA$5,$L47,休日)=1,"▶","→")),"")))</f>
        <v/>
      </c>
      <c r="CB47" s="116">
        <f>IF(OR($K47="",$L47=""),"",IF(NETWORKDAYS(CB$5,CB$5,休日)=0,"",IF(AND(CB$5&gt;=$K47,CB$5&lt;=$L47),IF(NETWORKDAYS($K47,CB$5,休日)=1,"○",IF(NETWORKDAYS(CB$5,$L47,休日)=1,"▶","→")),"")))</f>
        <v/>
      </c>
      <c r="CC47" s="116">
        <f>IF(OR($K47="",$L47=""),"",IF(NETWORKDAYS(CC$5,CC$5,休日)=0,"",IF(AND(CC$5&gt;=$K47,CC$5&lt;=$L47),IF(NETWORKDAYS($K47,CC$5,休日)=1,"○",IF(NETWORKDAYS(CC$5,$L47,休日)=1,"▶","→")),"")))</f>
        <v/>
      </c>
      <c r="CD47" s="116">
        <f>IF(OR($K47="",$L47=""),"",IF(NETWORKDAYS(CD$5,CD$5,休日)=0,"",IF(AND(CD$5&gt;=$K47,CD$5&lt;=$L47),IF(NETWORKDAYS($K47,CD$5,休日)=1,"○",IF(NETWORKDAYS(CD$5,$L47,休日)=1,"▶","→")),"")))</f>
        <v/>
      </c>
      <c r="CE47" s="116">
        <f>IF(OR($K47="",$L47=""),"",IF(NETWORKDAYS(CE$5,CE$5,休日)=0,"",IF(AND(CE$5&gt;=$K47,CE$5&lt;=$L47),IF(NETWORKDAYS($K47,CE$5,休日)=1,"○",IF(NETWORKDAYS(CE$5,$L47,休日)=1,"▶","→")),"")))</f>
        <v/>
      </c>
      <c r="CF47" s="116">
        <f>IF(OR($K47="",$L47=""),"",IF(NETWORKDAYS(CF$5,CF$5,休日)=0,"",IF(AND(CF$5&gt;=$K47,CF$5&lt;=$L47),IF(NETWORKDAYS($K47,CF$5,休日)=1,"○",IF(NETWORKDAYS(CF$5,$L47,休日)=1,"▶","→")),"")))</f>
        <v/>
      </c>
      <c r="CG47" s="116">
        <f>IF(OR($K47="",$L47=""),"",IF(NETWORKDAYS(CG$5,CG$5,休日)=0,"",IF(AND(CG$5&gt;=$K47,CG$5&lt;=$L47),IF(NETWORKDAYS($K47,CG$5,休日)=1,"○",IF(NETWORKDAYS(CG$5,$L47,休日)=1,"▶","→")),"")))</f>
        <v/>
      </c>
      <c r="CH47" s="116">
        <f>IF(OR($K47="",$L47=""),"",IF(NETWORKDAYS(CH$5,CH$5,休日)=0,"",IF(AND(CH$5&gt;=$K47,CH$5&lt;=$L47),IF(NETWORKDAYS($K47,CH$5,休日)=1,"○",IF(NETWORKDAYS(CH$5,$L47,休日)=1,"▶","→")),"")))</f>
        <v/>
      </c>
      <c r="CI47" s="116">
        <f>IF(OR($K47="",$L47=""),"",IF(NETWORKDAYS(CI$5,CI$5,休日)=0,"",IF(AND(CI$5&gt;=$K47,CI$5&lt;=$L47),IF(NETWORKDAYS($K47,CI$5,休日)=1,"○",IF(NETWORKDAYS(CI$5,$L47,休日)=1,"▶","→")),"")))</f>
        <v/>
      </c>
      <c r="CJ47" s="116">
        <f>IF(OR($K47="",$L47=""),"",IF(NETWORKDAYS(CJ$5,CJ$5,休日)=0,"",IF(AND(CJ$5&gt;=$K47,CJ$5&lt;=$L47),IF(NETWORKDAYS($K47,CJ$5,休日)=1,"○",IF(NETWORKDAYS(CJ$5,$L47,休日)=1,"▶","→")),"")))</f>
        <v/>
      </c>
      <c r="CK47" s="116">
        <f>IF(OR($K47="",$L47=""),"",IF(NETWORKDAYS(CK$5,CK$5,休日)=0,"",IF(AND(CK$5&gt;=$K47,CK$5&lt;=$L47),IF(NETWORKDAYS($K47,CK$5,休日)=1,"○",IF(NETWORKDAYS(CK$5,$L47,休日)=1,"▶","→")),"")))</f>
        <v/>
      </c>
      <c r="CL47" s="116">
        <f>IF(OR($K47="",$L47=""),"",IF(NETWORKDAYS(CL$5,CL$5,休日)=0,"",IF(AND(CL$5&gt;=$K47,CL$5&lt;=$L47),IF(NETWORKDAYS($K47,CL$5,休日)=1,"○",IF(NETWORKDAYS(CL$5,$L47,休日)=1,"▶","→")),"")))</f>
        <v/>
      </c>
      <c r="CM47" s="116">
        <f>IF(OR($K47="",$L47=""),"",IF(NETWORKDAYS(CM$5,CM$5,休日)=0,"",IF(AND(CM$5&gt;=$K47,CM$5&lt;=$L47),IF(NETWORKDAYS($K47,CM$5,休日)=1,"○",IF(NETWORKDAYS(CM$5,$L47,休日)=1,"▶","→")),"")))</f>
        <v/>
      </c>
      <c r="CN47" s="116">
        <f>IF(OR($K47="",$L47=""),"",IF(NETWORKDAYS(CN$5,CN$5,休日)=0,"",IF(AND(CN$5&gt;=$K47,CN$5&lt;=$L47),IF(NETWORKDAYS($K47,CN$5,休日)=1,"○",IF(NETWORKDAYS(CN$5,$L47,休日)=1,"▶","→")),"")))</f>
        <v/>
      </c>
      <c r="CO47" s="116">
        <f>IF(OR($K47="",$L47=""),"",IF(NETWORKDAYS(CO$5,CO$5,休日)=0,"",IF(AND(CO$5&gt;=$K47,CO$5&lt;=$L47),IF(NETWORKDAYS($K47,CO$5,休日)=1,"○",IF(NETWORKDAYS(CO$5,$L47,休日)=1,"▶","→")),"")))</f>
        <v/>
      </c>
    </row>
    <row r="48" ht="32" customHeight="1" s="98">
      <c r="A48" s="5" t="n"/>
      <c r="B48" s="100" t="inlineStr">
        <is>
          <t>4.1.2</t>
        </is>
      </c>
      <c r="C48" s="101" t="inlineStr">
        <is>
          <t>単体テスト</t>
        </is>
      </c>
      <c r="D48" s="101" t="inlineStr">
        <is>
          <t>Layer③</t>
        </is>
      </c>
      <c r="E48" s="101" t="inlineStr">
        <is>
          <t>生鮮発注勧告（当日分）</t>
        </is>
      </c>
      <c r="F48" s="101" t="inlineStr">
        <is>
          <t>生鮮発注勧告（当日分）</t>
        </is>
      </c>
      <c r="G48" s="100" t="inlineStr">
        <is>
          <t>新規</t>
        </is>
      </c>
      <c r="H48" s="100" t="inlineStr">
        <is>
          <t>未定</t>
        </is>
      </c>
      <c r="I48" s="113" t="n">
        <v>1.5</v>
      </c>
      <c r="J48" s="100" t="inlineStr">
        <is>
          <t>－</t>
        </is>
      </c>
      <c r="K48" s="114" t="n">
        <v>46363</v>
      </c>
      <c r="L48" s="114" t="n">
        <v>46381</v>
      </c>
      <c r="M48" s="114" t="n"/>
      <c r="N48" s="114" t="n"/>
      <c r="O48" s="100" t="inlineStr">
        <is>
          <t>未着手</t>
        </is>
      </c>
      <c r="P48" s="115" t="n">
        <v>0</v>
      </c>
      <c r="Q48" s="100" t="inlineStr">
        <is>
          <t>－</t>
        </is>
      </c>
      <c r="R48" s="101" t="inlineStr">
        <is>
          <t>出典は塊として12/7–12/25。IFごとの日付は分割されていない。担当は未定</t>
        </is>
      </c>
      <c r="S48" s="116">
        <f>IF(OR($K48="",$L48=""),"",IF(NETWORKDAYS(S$5,S$5,休日)=0,"",IF(AND(S$5&gt;=$K48,S$5&lt;=$L48),IF(NETWORKDAYS($K48,S$5,休日)=1,"○",IF(NETWORKDAYS(S$5,$L48,休日)=1,"▶","→")),"")))</f>
        <v/>
      </c>
      <c r="T48" s="116">
        <f>IF(OR($K48="",$L48=""),"",IF(NETWORKDAYS(T$5,T$5,休日)=0,"",IF(AND(T$5&gt;=$K48,T$5&lt;=$L48),IF(NETWORKDAYS($K48,T$5,休日)=1,"○",IF(NETWORKDAYS(T$5,$L48,休日)=1,"▶","→")),"")))</f>
        <v/>
      </c>
      <c r="U48" s="116">
        <f>IF(OR($K48="",$L48=""),"",IF(NETWORKDAYS(U$5,U$5,休日)=0,"",IF(AND(U$5&gt;=$K48,U$5&lt;=$L48),IF(NETWORKDAYS($K48,U$5,休日)=1,"○",IF(NETWORKDAYS(U$5,$L48,休日)=1,"▶","→")),"")))</f>
        <v/>
      </c>
      <c r="V48" s="116">
        <f>IF(OR($K48="",$L48=""),"",IF(NETWORKDAYS(V$5,V$5,休日)=0,"",IF(AND(V$5&gt;=$K48,V$5&lt;=$L48),IF(NETWORKDAYS($K48,V$5,休日)=1,"○",IF(NETWORKDAYS(V$5,$L48,休日)=1,"▶","→")),"")))</f>
        <v/>
      </c>
      <c r="W48" s="116">
        <f>IF(OR($K48="",$L48=""),"",IF(NETWORKDAYS(W$5,W$5,休日)=0,"",IF(AND(W$5&gt;=$K48,W$5&lt;=$L48),IF(NETWORKDAYS($K48,W$5,休日)=1,"○",IF(NETWORKDAYS(W$5,$L48,休日)=1,"▶","→")),"")))</f>
        <v/>
      </c>
      <c r="X48" s="116">
        <f>IF(OR($K48="",$L48=""),"",IF(NETWORKDAYS(X$5,X$5,休日)=0,"",IF(AND(X$5&gt;=$K48,X$5&lt;=$L48),IF(NETWORKDAYS($K48,X$5,休日)=1,"○",IF(NETWORKDAYS(X$5,$L48,休日)=1,"▶","→")),"")))</f>
        <v/>
      </c>
      <c r="Y48" s="116">
        <f>IF(OR($K48="",$L48=""),"",IF(NETWORKDAYS(Y$5,Y$5,休日)=0,"",IF(AND(Y$5&gt;=$K48,Y$5&lt;=$L48),IF(NETWORKDAYS($K48,Y$5,休日)=1,"○",IF(NETWORKDAYS(Y$5,$L48,休日)=1,"▶","→")),"")))</f>
        <v/>
      </c>
      <c r="Z48" s="116">
        <f>IF(OR($K48="",$L48=""),"",IF(NETWORKDAYS(Z$5,Z$5,休日)=0,"",IF(AND(Z$5&gt;=$K48,Z$5&lt;=$L48),IF(NETWORKDAYS($K48,Z$5,休日)=1,"○",IF(NETWORKDAYS(Z$5,$L48,休日)=1,"▶","→")),"")))</f>
        <v/>
      </c>
      <c r="AA48" s="116">
        <f>IF(OR($K48="",$L48=""),"",IF(NETWORKDAYS(AA$5,AA$5,休日)=0,"",IF(AND(AA$5&gt;=$K48,AA$5&lt;=$L48),IF(NETWORKDAYS($K48,AA$5,休日)=1,"○",IF(NETWORKDAYS(AA$5,$L48,休日)=1,"▶","→")),"")))</f>
        <v/>
      </c>
      <c r="AB48" s="116">
        <f>IF(OR($K48="",$L48=""),"",IF(NETWORKDAYS(AB$5,AB$5,休日)=0,"",IF(AND(AB$5&gt;=$K48,AB$5&lt;=$L48),IF(NETWORKDAYS($K48,AB$5,休日)=1,"○",IF(NETWORKDAYS(AB$5,$L48,休日)=1,"▶","→")),"")))</f>
        <v/>
      </c>
      <c r="AC48" s="116">
        <f>IF(OR($K48="",$L48=""),"",IF(NETWORKDAYS(AC$5,AC$5,休日)=0,"",IF(AND(AC$5&gt;=$K48,AC$5&lt;=$L48),IF(NETWORKDAYS($K48,AC$5,休日)=1,"○",IF(NETWORKDAYS(AC$5,$L48,休日)=1,"▶","→")),"")))</f>
        <v/>
      </c>
      <c r="AD48" s="116">
        <f>IF(OR($K48="",$L48=""),"",IF(NETWORKDAYS(AD$5,AD$5,休日)=0,"",IF(AND(AD$5&gt;=$K48,AD$5&lt;=$L48),IF(NETWORKDAYS($K48,AD$5,休日)=1,"○",IF(NETWORKDAYS(AD$5,$L48,休日)=1,"▶","→")),"")))</f>
        <v/>
      </c>
      <c r="AE48" s="116">
        <f>IF(OR($K48="",$L48=""),"",IF(NETWORKDAYS(AE$5,AE$5,休日)=0,"",IF(AND(AE$5&gt;=$K48,AE$5&lt;=$L48),IF(NETWORKDAYS($K48,AE$5,休日)=1,"○",IF(NETWORKDAYS(AE$5,$L48,休日)=1,"▶","→")),"")))</f>
        <v/>
      </c>
      <c r="AF48" s="116">
        <f>IF(OR($K48="",$L48=""),"",IF(NETWORKDAYS(AF$5,AF$5,休日)=0,"",IF(AND(AF$5&gt;=$K48,AF$5&lt;=$L48),IF(NETWORKDAYS($K48,AF$5,休日)=1,"○",IF(NETWORKDAYS(AF$5,$L48,休日)=1,"▶","→")),"")))</f>
        <v/>
      </c>
      <c r="AG48" s="116">
        <f>IF(OR($K48="",$L48=""),"",IF(NETWORKDAYS(AG$5,AG$5,休日)=0,"",IF(AND(AG$5&gt;=$K48,AG$5&lt;=$L48),IF(NETWORKDAYS($K48,AG$5,休日)=1,"○",IF(NETWORKDAYS(AG$5,$L48,休日)=1,"▶","→")),"")))</f>
        <v/>
      </c>
      <c r="AH48" s="116">
        <f>IF(OR($K48="",$L48=""),"",IF(NETWORKDAYS(AH$5,AH$5,休日)=0,"",IF(AND(AH$5&gt;=$K48,AH$5&lt;=$L48),IF(NETWORKDAYS($K48,AH$5,休日)=1,"○",IF(NETWORKDAYS(AH$5,$L48,休日)=1,"▶","→")),"")))</f>
        <v/>
      </c>
      <c r="AI48" s="116">
        <f>IF(OR($K48="",$L48=""),"",IF(NETWORKDAYS(AI$5,AI$5,休日)=0,"",IF(AND(AI$5&gt;=$K48,AI$5&lt;=$L48),IF(NETWORKDAYS($K48,AI$5,休日)=1,"○",IF(NETWORKDAYS(AI$5,$L48,休日)=1,"▶","→")),"")))</f>
        <v/>
      </c>
      <c r="AJ48" s="116">
        <f>IF(OR($K48="",$L48=""),"",IF(NETWORKDAYS(AJ$5,AJ$5,休日)=0,"",IF(AND(AJ$5&gt;=$K48,AJ$5&lt;=$L48),IF(NETWORKDAYS($K48,AJ$5,休日)=1,"○",IF(NETWORKDAYS(AJ$5,$L48,休日)=1,"▶","→")),"")))</f>
        <v/>
      </c>
      <c r="AK48" s="116">
        <f>IF(OR($K48="",$L48=""),"",IF(NETWORKDAYS(AK$5,AK$5,休日)=0,"",IF(AND(AK$5&gt;=$K48,AK$5&lt;=$L48),IF(NETWORKDAYS($K48,AK$5,休日)=1,"○",IF(NETWORKDAYS(AK$5,$L48,休日)=1,"▶","→")),"")))</f>
        <v/>
      </c>
      <c r="AL48" s="116">
        <f>IF(OR($K48="",$L48=""),"",IF(NETWORKDAYS(AL$5,AL$5,休日)=0,"",IF(AND(AL$5&gt;=$K48,AL$5&lt;=$L48),IF(NETWORKDAYS($K48,AL$5,休日)=1,"○",IF(NETWORKDAYS(AL$5,$L48,休日)=1,"▶","→")),"")))</f>
        <v/>
      </c>
      <c r="AM48" s="116">
        <f>IF(OR($K48="",$L48=""),"",IF(NETWORKDAYS(AM$5,AM$5,休日)=0,"",IF(AND(AM$5&gt;=$K48,AM$5&lt;=$L48),IF(NETWORKDAYS($K48,AM$5,休日)=1,"○",IF(NETWORKDAYS(AM$5,$L48,休日)=1,"▶","→")),"")))</f>
        <v/>
      </c>
      <c r="AN48" s="116">
        <f>IF(OR($K48="",$L48=""),"",IF(NETWORKDAYS(AN$5,AN$5,休日)=0,"",IF(AND(AN$5&gt;=$K48,AN$5&lt;=$L48),IF(NETWORKDAYS($K48,AN$5,休日)=1,"○",IF(NETWORKDAYS(AN$5,$L48,休日)=1,"▶","→")),"")))</f>
        <v/>
      </c>
      <c r="AO48" s="116">
        <f>IF(OR($K48="",$L48=""),"",IF(NETWORKDAYS(AO$5,AO$5,休日)=0,"",IF(AND(AO$5&gt;=$K48,AO$5&lt;=$L48),IF(NETWORKDAYS($K48,AO$5,休日)=1,"○",IF(NETWORKDAYS(AO$5,$L48,休日)=1,"▶","→")),"")))</f>
        <v/>
      </c>
      <c r="AP48" s="116">
        <f>IF(OR($K48="",$L48=""),"",IF(NETWORKDAYS(AP$5,AP$5,休日)=0,"",IF(AND(AP$5&gt;=$K48,AP$5&lt;=$L48),IF(NETWORKDAYS($K48,AP$5,休日)=1,"○",IF(NETWORKDAYS(AP$5,$L48,休日)=1,"▶","→")),"")))</f>
        <v/>
      </c>
      <c r="AQ48" s="116">
        <f>IF(OR($K48="",$L48=""),"",IF(NETWORKDAYS(AQ$5,AQ$5,休日)=0,"",IF(AND(AQ$5&gt;=$K48,AQ$5&lt;=$L48),IF(NETWORKDAYS($K48,AQ$5,休日)=1,"○",IF(NETWORKDAYS(AQ$5,$L48,休日)=1,"▶","→")),"")))</f>
        <v/>
      </c>
      <c r="AR48" s="116">
        <f>IF(OR($K48="",$L48=""),"",IF(NETWORKDAYS(AR$5,AR$5,休日)=0,"",IF(AND(AR$5&gt;=$K48,AR$5&lt;=$L48),IF(NETWORKDAYS($K48,AR$5,休日)=1,"○",IF(NETWORKDAYS(AR$5,$L48,休日)=1,"▶","→")),"")))</f>
        <v/>
      </c>
      <c r="AS48" s="116">
        <f>IF(OR($K48="",$L48=""),"",IF(NETWORKDAYS(AS$5,AS$5,休日)=0,"",IF(AND(AS$5&gt;=$K48,AS$5&lt;=$L48),IF(NETWORKDAYS($K48,AS$5,休日)=1,"○",IF(NETWORKDAYS(AS$5,$L48,休日)=1,"▶","→")),"")))</f>
        <v/>
      </c>
      <c r="AT48" s="116">
        <f>IF(OR($K48="",$L48=""),"",IF(NETWORKDAYS(AT$5,AT$5,休日)=0,"",IF(AND(AT$5&gt;=$K48,AT$5&lt;=$L48),IF(NETWORKDAYS($K48,AT$5,休日)=1,"○",IF(NETWORKDAYS(AT$5,$L48,休日)=1,"▶","→")),"")))</f>
        <v/>
      </c>
      <c r="AU48" s="116">
        <f>IF(OR($K48="",$L48=""),"",IF(NETWORKDAYS(AU$5,AU$5,休日)=0,"",IF(AND(AU$5&gt;=$K48,AU$5&lt;=$L48),IF(NETWORKDAYS($K48,AU$5,休日)=1,"○",IF(NETWORKDAYS(AU$5,$L48,休日)=1,"▶","→")),"")))</f>
        <v/>
      </c>
      <c r="AV48" s="116">
        <f>IF(OR($K48="",$L48=""),"",IF(NETWORKDAYS(AV$5,AV$5,休日)=0,"",IF(AND(AV$5&gt;=$K48,AV$5&lt;=$L48),IF(NETWORKDAYS($K48,AV$5,休日)=1,"○",IF(NETWORKDAYS(AV$5,$L48,休日)=1,"▶","→")),"")))</f>
        <v/>
      </c>
      <c r="AW48" s="116">
        <f>IF(OR($K48="",$L48=""),"",IF(NETWORKDAYS(AW$5,AW$5,休日)=0,"",IF(AND(AW$5&gt;=$K48,AW$5&lt;=$L48),IF(NETWORKDAYS($K48,AW$5,休日)=1,"○",IF(NETWORKDAYS(AW$5,$L48,休日)=1,"▶","→")),"")))</f>
        <v/>
      </c>
      <c r="AX48" s="116">
        <f>IF(OR($K48="",$L48=""),"",IF(NETWORKDAYS(AX$5,AX$5,休日)=0,"",IF(AND(AX$5&gt;=$K48,AX$5&lt;=$L48),IF(NETWORKDAYS($K48,AX$5,休日)=1,"○",IF(NETWORKDAYS(AX$5,$L48,休日)=1,"▶","→")),"")))</f>
        <v/>
      </c>
      <c r="AY48" s="116">
        <f>IF(OR($K48="",$L48=""),"",IF(NETWORKDAYS(AY$5,AY$5,休日)=0,"",IF(AND(AY$5&gt;=$K48,AY$5&lt;=$L48),IF(NETWORKDAYS($K48,AY$5,休日)=1,"○",IF(NETWORKDAYS(AY$5,$L48,休日)=1,"▶","→")),"")))</f>
        <v/>
      </c>
      <c r="AZ48" s="116">
        <f>IF(OR($K48="",$L48=""),"",IF(NETWORKDAYS(AZ$5,AZ$5,休日)=0,"",IF(AND(AZ$5&gt;=$K48,AZ$5&lt;=$L48),IF(NETWORKDAYS($K48,AZ$5,休日)=1,"○",IF(NETWORKDAYS(AZ$5,$L48,休日)=1,"▶","→")),"")))</f>
        <v/>
      </c>
      <c r="BA48" s="116">
        <f>IF(OR($K48="",$L48=""),"",IF(NETWORKDAYS(BA$5,BA$5,休日)=0,"",IF(AND(BA$5&gt;=$K48,BA$5&lt;=$L48),IF(NETWORKDAYS($K48,BA$5,休日)=1,"○",IF(NETWORKDAYS(BA$5,$L48,休日)=1,"▶","→")),"")))</f>
        <v/>
      </c>
      <c r="BB48" s="116">
        <f>IF(OR($K48="",$L48=""),"",IF(NETWORKDAYS(BB$5,BB$5,休日)=0,"",IF(AND(BB$5&gt;=$K48,BB$5&lt;=$L48),IF(NETWORKDAYS($K48,BB$5,休日)=1,"○",IF(NETWORKDAYS(BB$5,$L48,休日)=1,"▶","→")),"")))</f>
        <v/>
      </c>
      <c r="BC48" s="116">
        <f>IF(OR($K48="",$L48=""),"",IF(NETWORKDAYS(BC$5,BC$5,休日)=0,"",IF(AND(BC$5&gt;=$K48,BC$5&lt;=$L48),IF(NETWORKDAYS($K48,BC$5,休日)=1,"○",IF(NETWORKDAYS(BC$5,$L48,休日)=1,"▶","→")),"")))</f>
        <v/>
      </c>
      <c r="BD48" s="116">
        <f>IF(OR($K48="",$L48=""),"",IF(NETWORKDAYS(BD$5,BD$5,休日)=0,"",IF(AND(BD$5&gt;=$K48,BD$5&lt;=$L48),IF(NETWORKDAYS($K48,BD$5,休日)=1,"○",IF(NETWORKDAYS(BD$5,$L48,休日)=1,"▶","→")),"")))</f>
        <v/>
      </c>
      <c r="BE48" s="116">
        <f>IF(OR($K48="",$L48=""),"",IF(NETWORKDAYS(BE$5,BE$5,休日)=0,"",IF(AND(BE$5&gt;=$K48,BE$5&lt;=$L48),IF(NETWORKDAYS($K48,BE$5,休日)=1,"○",IF(NETWORKDAYS(BE$5,$L48,休日)=1,"▶","→")),"")))</f>
        <v/>
      </c>
      <c r="BF48" s="116">
        <f>IF(OR($K48="",$L48=""),"",IF(NETWORKDAYS(BF$5,BF$5,休日)=0,"",IF(AND(BF$5&gt;=$K48,BF$5&lt;=$L48),IF(NETWORKDAYS($K48,BF$5,休日)=1,"○",IF(NETWORKDAYS(BF$5,$L48,休日)=1,"▶","→")),"")))</f>
        <v/>
      </c>
      <c r="BG48" s="116">
        <f>IF(OR($K48="",$L48=""),"",IF(NETWORKDAYS(BG$5,BG$5,休日)=0,"",IF(AND(BG$5&gt;=$K48,BG$5&lt;=$L48),IF(NETWORKDAYS($K48,BG$5,休日)=1,"○",IF(NETWORKDAYS(BG$5,$L48,休日)=1,"▶","→")),"")))</f>
        <v/>
      </c>
      <c r="BH48" s="116">
        <f>IF(OR($K48="",$L48=""),"",IF(NETWORKDAYS(BH$5,BH$5,休日)=0,"",IF(AND(BH$5&gt;=$K48,BH$5&lt;=$L48),IF(NETWORKDAYS($K48,BH$5,休日)=1,"○",IF(NETWORKDAYS(BH$5,$L48,休日)=1,"▶","→")),"")))</f>
        <v/>
      </c>
      <c r="BI48" s="116">
        <f>IF(OR($K48="",$L48=""),"",IF(NETWORKDAYS(BI$5,BI$5,休日)=0,"",IF(AND(BI$5&gt;=$K48,BI$5&lt;=$L48),IF(NETWORKDAYS($K48,BI$5,休日)=1,"○",IF(NETWORKDAYS(BI$5,$L48,休日)=1,"▶","→")),"")))</f>
        <v/>
      </c>
      <c r="BJ48" s="116">
        <f>IF(OR($K48="",$L48=""),"",IF(NETWORKDAYS(BJ$5,BJ$5,休日)=0,"",IF(AND(BJ$5&gt;=$K48,BJ$5&lt;=$L48),IF(NETWORKDAYS($K48,BJ$5,休日)=1,"○",IF(NETWORKDAYS(BJ$5,$L48,休日)=1,"▶","→")),"")))</f>
        <v/>
      </c>
      <c r="BK48" s="116">
        <f>IF(OR($K48="",$L48=""),"",IF(NETWORKDAYS(BK$5,BK$5,休日)=0,"",IF(AND(BK$5&gt;=$K48,BK$5&lt;=$L48),IF(NETWORKDAYS($K48,BK$5,休日)=1,"○",IF(NETWORKDAYS(BK$5,$L48,休日)=1,"▶","→")),"")))</f>
        <v/>
      </c>
      <c r="BL48" s="116">
        <f>IF(OR($K48="",$L48=""),"",IF(NETWORKDAYS(BL$5,BL$5,休日)=0,"",IF(AND(BL$5&gt;=$K48,BL$5&lt;=$L48),IF(NETWORKDAYS($K48,BL$5,休日)=1,"○",IF(NETWORKDAYS(BL$5,$L48,休日)=1,"▶","→")),"")))</f>
        <v/>
      </c>
      <c r="BM48" s="116">
        <f>IF(OR($K48="",$L48=""),"",IF(NETWORKDAYS(BM$5,BM$5,休日)=0,"",IF(AND(BM$5&gt;=$K48,BM$5&lt;=$L48),IF(NETWORKDAYS($K48,BM$5,休日)=1,"○",IF(NETWORKDAYS(BM$5,$L48,休日)=1,"▶","→")),"")))</f>
        <v/>
      </c>
      <c r="BN48" s="116">
        <f>IF(OR($K48="",$L48=""),"",IF(NETWORKDAYS(BN$5,BN$5,休日)=0,"",IF(AND(BN$5&gt;=$K48,BN$5&lt;=$L48),IF(NETWORKDAYS($K48,BN$5,休日)=1,"○",IF(NETWORKDAYS(BN$5,$L48,休日)=1,"▶","→")),"")))</f>
        <v/>
      </c>
      <c r="BO48" s="116">
        <f>IF(OR($K48="",$L48=""),"",IF(NETWORKDAYS(BO$5,BO$5,休日)=0,"",IF(AND(BO$5&gt;=$K48,BO$5&lt;=$L48),IF(NETWORKDAYS($K48,BO$5,休日)=1,"○",IF(NETWORKDAYS(BO$5,$L48,休日)=1,"▶","→")),"")))</f>
        <v/>
      </c>
      <c r="BP48" s="116">
        <f>IF(OR($K48="",$L48=""),"",IF(NETWORKDAYS(BP$5,BP$5,休日)=0,"",IF(AND(BP$5&gt;=$K48,BP$5&lt;=$L48),IF(NETWORKDAYS($K48,BP$5,休日)=1,"○",IF(NETWORKDAYS(BP$5,$L48,休日)=1,"▶","→")),"")))</f>
        <v/>
      </c>
      <c r="BQ48" s="116">
        <f>IF(OR($K48="",$L48=""),"",IF(NETWORKDAYS(BQ$5,BQ$5,休日)=0,"",IF(AND(BQ$5&gt;=$K48,BQ$5&lt;=$L48),IF(NETWORKDAYS($K48,BQ$5,休日)=1,"○",IF(NETWORKDAYS(BQ$5,$L48,休日)=1,"▶","→")),"")))</f>
        <v/>
      </c>
      <c r="BR48" s="116">
        <f>IF(OR($K48="",$L48=""),"",IF(NETWORKDAYS(BR$5,BR$5,休日)=0,"",IF(AND(BR$5&gt;=$K48,BR$5&lt;=$L48),IF(NETWORKDAYS($K48,BR$5,休日)=1,"○",IF(NETWORKDAYS(BR$5,$L48,休日)=1,"▶","→")),"")))</f>
        <v/>
      </c>
      <c r="BS48" s="116">
        <f>IF(OR($K48="",$L48=""),"",IF(NETWORKDAYS(BS$5,BS$5,休日)=0,"",IF(AND(BS$5&gt;=$K48,BS$5&lt;=$L48),IF(NETWORKDAYS($K48,BS$5,休日)=1,"○",IF(NETWORKDAYS(BS$5,$L48,休日)=1,"▶","→")),"")))</f>
        <v/>
      </c>
      <c r="BT48" s="116">
        <f>IF(OR($K48="",$L48=""),"",IF(NETWORKDAYS(BT$5,BT$5,休日)=0,"",IF(AND(BT$5&gt;=$K48,BT$5&lt;=$L48),IF(NETWORKDAYS($K48,BT$5,休日)=1,"○",IF(NETWORKDAYS(BT$5,$L48,休日)=1,"▶","→")),"")))</f>
        <v/>
      </c>
      <c r="BU48" s="116">
        <f>IF(OR($K48="",$L48=""),"",IF(NETWORKDAYS(BU$5,BU$5,休日)=0,"",IF(AND(BU$5&gt;=$K48,BU$5&lt;=$L48),IF(NETWORKDAYS($K48,BU$5,休日)=1,"○",IF(NETWORKDAYS(BU$5,$L48,休日)=1,"▶","→")),"")))</f>
        <v/>
      </c>
      <c r="BV48" s="116">
        <f>IF(OR($K48="",$L48=""),"",IF(NETWORKDAYS(BV$5,BV$5,休日)=0,"",IF(AND(BV$5&gt;=$K48,BV$5&lt;=$L48),IF(NETWORKDAYS($K48,BV$5,休日)=1,"○",IF(NETWORKDAYS(BV$5,$L48,休日)=1,"▶","→")),"")))</f>
        <v/>
      </c>
      <c r="BW48" s="116">
        <f>IF(OR($K48="",$L48=""),"",IF(NETWORKDAYS(BW$5,BW$5,休日)=0,"",IF(AND(BW$5&gt;=$K48,BW$5&lt;=$L48),IF(NETWORKDAYS($K48,BW$5,休日)=1,"○",IF(NETWORKDAYS(BW$5,$L48,休日)=1,"▶","→")),"")))</f>
        <v/>
      </c>
      <c r="BX48" s="116">
        <f>IF(OR($K48="",$L48=""),"",IF(NETWORKDAYS(BX$5,BX$5,休日)=0,"",IF(AND(BX$5&gt;=$K48,BX$5&lt;=$L48),IF(NETWORKDAYS($K48,BX$5,休日)=1,"○",IF(NETWORKDAYS(BX$5,$L48,休日)=1,"▶","→")),"")))</f>
        <v/>
      </c>
      <c r="BY48" s="116">
        <f>IF(OR($K48="",$L48=""),"",IF(NETWORKDAYS(BY$5,BY$5,休日)=0,"",IF(AND(BY$5&gt;=$K48,BY$5&lt;=$L48),IF(NETWORKDAYS($K48,BY$5,休日)=1,"○",IF(NETWORKDAYS(BY$5,$L48,休日)=1,"▶","→")),"")))</f>
        <v/>
      </c>
      <c r="BZ48" s="116">
        <f>IF(OR($K48="",$L48=""),"",IF(NETWORKDAYS(BZ$5,BZ$5,休日)=0,"",IF(AND(BZ$5&gt;=$K48,BZ$5&lt;=$L48),IF(NETWORKDAYS($K48,BZ$5,休日)=1,"○",IF(NETWORKDAYS(BZ$5,$L48,休日)=1,"▶","→")),"")))</f>
        <v/>
      </c>
      <c r="CA48" s="116">
        <f>IF(OR($K48="",$L48=""),"",IF(NETWORKDAYS(CA$5,CA$5,休日)=0,"",IF(AND(CA$5&gt;=$K48,CA$5&lt;=$L48),IF(NETWORKDAYS($K48,CA$5,休日)=1,"○",IF(NETWORKDAYS(CA$5,$L48,休日)=1,"▶","→")),"")))</f>
        <v/>
      </c>
      <c r="CB48" s="116">
        <f>IF(OR($K48="",$L48=""),"",IF(NETWORKDAYS(CB$5,CB$5,休日)=0,"",IF(AND(CB$5&gt;=$K48,CB$5&lt;=$L48),IF(NETWORKDAYS($K48,CB$5,休日)=1,"○",IF(NETWORKDAYS(CB$5,$L48,休日)=1,"▶","→")),"")))</f>
        <v/>
      </c>
      <c r="CC48" s="116">
        <f>IF(OR($K48="",$L48=""),"",IF(NETWORKDAYS(CC$5,CC$5,休日)=0,"",IF(AND(CC$5&gt;=$K48,CC$5&lt;=$L48),IF(NETWORKDAYS($K48,CC$5,休日)=1,"○",IF(NETWORKDAYS(CC$5,$L48,休日)=1,"▶","→")),"")))</f>
        <v/>
      </c>
      <c r="CD48" s="116">
        <f>IF(OR($K48="",$L48=""),"",IF(NETWORKDAYS(CD$5,CD$5,休日)=0,"",IF(AND(CD$5&gt;=$K48,CD$5&lt;=$L48),IF(NETWORKDAYS($K48,CD$5,休日)=1,"○",IF(NETWORKDAYS(CD$5,$L48,休日)=1,"▶","→")),"")))</f>
        <v/>
      </c>
      <c r="CE48" s="116">
        <f>IF(OR($K48="",$L48=""),"",IF(NETWORKDAYS(CE$5,CE$5,休日)=0,"",IF(AND(CE$5&gt;=$K48,CE$5&lt;=$L48),IF(NETWORKDAYS($K48,CE$5,休日)=1,"○",IF(NETWORKDAYS(CE$5,$L48,休日)=1,"▶","→")),"")))</f>
        <v/>
      </c>
      <c r="CF48" s="116">
        <f>IF(OR($K48="",$L48=""),"",IF(NETWORKDAYS(CF$5,CF$5,休日)=0,"",IF(AND(CF$5&gt;=$K48,CF$5&lt;=$L48),IF(NETWORKDAYS($K48,CF$5,休日)=1,"○",IF(NETWORKDAYS(CF$5,$L48,休日)=1,"▶","→")),"")))</f>
        <v/>
      </c>
      <c r="CG48" s="116">
        <f>IF(OR($K48="",$L48=""),"",IF(NETWORKDAYS(CG$5,CG$5,休日)=0,"",IF(AND(CG$5&gt;=$K48,CG$5&lt;=$L48),IF(NETWORKDAYS($K48,CG$5,休日)=1,"○",IF(NETWORKDAYS(CG$5,$L48,休日)=1,"▶","→")),"")))</f>
        <v/>
      </c>
      <c r="CH48" s="116">
        <f>IF(OR($K48="",$L48=""),"",IF(NETWORKDAYS(CH$5,CH$5,休日)=0,"",IF(AND(CH$5&gt;=$K48,CH$5&lt;=$L48),IF(NETWORKDAYS($K48,CH$5,休日)=1,"○",IF(NETWORKDAYS(CH$5,$L48,休日)=1,"▶","→")),"")))</f>
        <v/>
      </c>
      <c r="CI48" s="116">
        <f>IF(OR($K48="",$L48=""),"",IF(NETWORKDAYS(CI$5,CI$5,休日)=0,"",IF(AND(CI$5&gt;=$K48,CI$5&lt;=$L48),IF(NETWORKDAYS($K48,CI$5,休日)=1,"○",IF(NETWORKDAYS(CI$5,$L48,休日)=1,"▶","→")),"")))</f>
        <v/>
      </c>
      <c r="CJ48" s="116">
        <f>IF(OR($K48="",$L48=""),"",IF(NETWORKDAYS(CJ$5,CJ$5,休日)=0,"",IF(AND(CJ$5&gt;=$K48,CJ$5&lt;=$L48),IF(NETWORKDAYS($K48,CJ$5,休日)=1,"○",IF(NETWORKDAYS(CJ$5,$L48,休日)=1,"▶","→")),"")))</f>
        <v/>
      </c>
      <c r="CK48" s="116">
        <f>IF(OR($K48="",$L48=""),"",IF(NETWORKDAYS(CK$5,CK$5,休日)=0,"",IF(AND(CK$5&gt;=$K48,CK$5&lt;=$L48),IF(NETWORKDAYS($K48,CK$5,休日)=1,"○",IF(NETWORKDAYS(CK$5,$L48,休日)=1,"▶","→")),"")))</f>
        <v/>
      </c>
      <c r="CL48" s="116">
        <f>IF(OR($K48="",$L48=""),"",IF(NETWORKDAYS(CL$5,CL$5,休日)=0,"",IF(AND(CL$5&gt;=$K48,CL$5&lt;=$L48),IF(NETWORKDAYS($K48,CL$5,休日)=1,"○",IF(NETWORKDAYS(CL$5,$L48,休日)=1,"▶","→")),"")))</f>
        <v/>
      </c>
      <c r="CM48" s="116">
        <f>IF(OR($K48="",$L48=""),"",IF(NETWORKDAYS(CM$5,CM$5,休日)=0,"",IF(AND(CM$5&gt;=$K48,CM$5&lt;=$L48),IF(NETWORKDAYS($K48,CM$5,休日)=1,"○",IF(NETWORKDAYS(CM$5,$L48,休日)=1,"▶","→")),"")))</f>
        <v/>
      </c>
      <c r="CN48" s="116">
        <f>IF(OR($K48="",$L48=""),"",IF(NETWORKDAYS(CN$5,CN$5,休日)=0,"",IF(AND(CN$5&gt;=$K48,CN$5&lt;=$L48),IF(NETWORKDAYS($K48,CN$5,休日)=1,"○",IF(NETWORKDAYS(CN$5,$L48,休日)=1,"▶","→")),"")))</f>
        <v/>
      </c>
      <c r="CO48" s="116">
        <f>IF(OR($K48="",$L48=""),"",IF(NETWORKDAYS(CO$5,CO$5,休日)=0,"",IF(AND(CO$5&gt;=$K48,CO$5&lt;=$L48),IF(NETWORKDAYS($K48,CO$5,休日)=1,"○",IF(NETWORKDAYS(CO$5,$L48,休日)=1,"▶","→")),"")))</f>
        <v/>
      </c>
    </row>
    <row r="49" ht="32" customHeight="1" s="98">
      <c r="A49" s="5" t="n"/>
      <c r="B49" s="100" t="inlineStr">
        <is>
          <t>4.1.3</t>
        </is>
      </c>
      <c r="C49" s="101" t="inlineStr">
        <is>
          <t>単体テスト</t>
        </is>
      </c>
      <c r="D49" s="101" t="inlineStr">
        <is>
          <t>Layer①</t>
        </is>
      </c>
      <c r="E49" s="101" t="inlineStr">
        <is>
          <t>生鮮発注勧告（翌日以降分）</t>
        </is>
      </c>
      <c r="F49" s="101" t="inlineStr">
        <is>
          <t>生鮮発注勧告（翌日以降分）</t>
        </is>
      </c>
      <c r="G49" s="100" t="inlineStr">
        <is>
          <t>新規</t>
        </is>
      </c>
      <c r="H49" s="100" t="inlineStr">
        <is>
          <t>未定</t>
        </is>
      </c>
      <c r="I49" s="113" t="n">
        <v>2.5</v>
      </c>
      <c r="J49" s="100" t="inlineStr">
        <is>
          <t>－</t>
        </is>
      </c>
      <c r="K49" s="114" t="n">
        <v>46363</v>
      </c>
      <c r="L49" s="114" t="n">
        <v>46381</v>
      </c>
      <c r="M49" s="114" t="n"/>
      <c r="N49" s="114" t="n"/>
      <c r="O49" s="100" t="inlineStr">
        <is>
          <t>未着手</t>
        </is>
      </c>
      <c r="P49" s="115" t="n">
        <v>0</v>
      </c>
      <c r="Q49" s="100" t="inlineStr">
        <is>
          <t>－</t>
        </is>
      </c>
      <c r="R49" s="101" t="inlineStr">
        <is>
          <t>出典は塊として12/7–12/25。IFごとの日付は分割されていない。担当は未定</t>
        </is>
      </c>
      <c r="S49" s="116">
        <f>IF(OR($K49="",$L49=""),"",IF(NETWORKDAYS(S$5,S$5,休日)=0,"",IF(AND(S$5&gt;=$K49,S$5&lt;=$L49),IF(NETWORKDAYS($K49,S$5,休日)=1,"○",IF(NETWORKDAYS(S$5,$L49,休日)=1,"▶","→")),"")))</f>
        <v/>
      </c>
      <c r="T49" s="116">
        <f>IF(OR($K49="",$L49=""),"",IF(NETWORKDAYS(T$5,T$5,休日)=0,"",IF(AND(T$5&gt;=$K49,T$5&lt;=$L49),IF(NETWORKDAYS($K49,T$5,休日)=1,"○",IF(NETWORKDAYS(T$5,$L49,休日)=1,"▶","→")),"")))</f>
        <v/>
      </c>
      <c r="U49" s="116">
        <f>IF(OR($K49="",$L49=""),"",IF(NETWORKDAYS(U$5,U$5,休日)=0,"",IF(AND(U$5&gt;=$K49,U$5&lt;=$L49),IF(NETWORKDAYS($K49,U$5,休日)=1,"○",IF(NETWORKDAYS(U$5,$L49,休日)=1,"▶","→")),"")))</f>
        <v/>
      </c>
      <c r="V49" s="116">
        <f>IF(OR($K49="",$L49=""),"",IF(NETWORKDAYS(V$5,V$5,休日)=0,"",IF(AND(V$5&gt;=$K49,V$5&lt;=$L49),IF(NETWORKDAYS($K49,V$5,休日)=1,"○",IF(NETWORKDAYS(V$5,$L49,休日)=1,"▶","→")),"")))</f>
        <v/>
      </c>
      <c r="W49" s="116">
        <f>IF(OR($K49="",$L49=""),"",IF(NETWORKDAYS(W$5,W$5,休日)=0,"",IF(AND(W$5&gt;=$K49,W$5&lt;=$L49),IF(NETWORKDAYS($K49,W$5,休日)=1,"○",IF(NETWORKDAYS(W$5,$L49,休日)=1,"▶","→")),"")))</f>
        <v/>
      </c>
      <c r="X49" s="116">
        <f>IF(OR($K49="",$L49=""),"",IF(NETWORKDAYS(X$5,X$5,休日)=0,"",IF(AND(X$5&gt;=$K49,X$5&lt;=$L49),IF(NETWORKDAYS($K49,X$5,休日)=1,"○",IF(NETWORKDAYS(X$5,$L49,休日)=1,"▶","→")),"")))</f>
        <v/>
      </c>
      <c r="Y49" s="116">
        <f>IF(OR($K49="",$L49=""),"",IF(NETWORKDAYS(Y$5,Y$5,休日)=0,"",IF(AND(Y$5&gt;=$K49,Y$5&lt;=$L49),IF(NETWORKDAYS($K49,Y$5,休日)=1,"○",IF(NETWORKDAYS(Y$5,$L49,休日)=1,"▶","→")),"")))</f>
        <v/>
      </c>
      <c r="Z49" s="116">
        <f>IF(OR($K49="",$L49=""),"",IF(NETWORKDAYS(Z$5,Z$5,休日)=0,"",IF(AND(Z$5&gt;=$K49,Z$5&lt;=$L49),IF(NETWORKDAYS($K49,Z$5,休日)=1,"○",IF(NETWORKDAYS(Z$5,$L49,休日)=1,"▶","→")),"")))</f>
        <v/>
      </c>
      <c r="AA49" s="116">
        <f>IF(OR($K49="",$L49=""),"",IF(NETWORKDAYS(AA$5,AA$5,休日)=0,"",IF(AND(AA$5&gt;=$K49,AA$5&lt;=$L49),IF(NETWORKDAYS($K49,AA$5,休日)=1,"○",IF(NETWORKDAYS(AA$5,$L49,休日)=1,"▶","→")),"")))</f>
        <v/>
      </c>
      <c r="AB49" s="116">
        <f>IF(OR($K49="",$L49=""),"",IF(NETWORKDAYS(AB$5,AB$5,休日)=0,"",IF(AND(AB$5&gt;=$K49,AB$5&lt;=$L49),IF(NETWORKDAYS($K49,AB$5,休日)=1,"○",IF(NETWORKDAYS(AB$5,$L49,休日)=1,"▶","→")),"")))</f>
        <v/>
      </c>
      <c r="AC49" s="116">
        <f>IF(OR($K49="",$L49=""),"",IF(NETWORKDAYS(AC$5,AC$5,休日)=0,"",IF(AND(AC$5&gt;=$K49,AC$5&lt;=$L49),IF(NETWORKDAYS($K49,AC$5,休日)=1,"○",IF(NETWORKDAYS(AC$5,$L49,休日)=1,"▶","→")),"")))</f>
        <v/>
      </c>
      <c r="AD49" s="116">
        <f>IF(OR($K49="",$L49=""),"",IF(NETWORKDAYS(AD$5,AD$5,休日)=0,"",IF(AND(AD$5&gt;=$K49,AD$5&lt;=$L49),IF(NETWORKDAYS($K49,AD$5,休日)=1,"○",IF(NETWORKDAYS(AD$5,$L49,休日)=1,"▶","→")),"")))</f>
        <v/>
      </c>
      <c r="AE49" s="116">
        <f>IF(OR($K49="",$L49=""),"",IF(NETWORKDAYS(AE$5,AE$5,休日)=0,"",IF(AND(AE$5&gt;=$K49,AE$5&lt;=$L49),IF(NETWORKDAYS($K49,AE$5,休日)=1,"○",IF(NETWORKDAYS(AE$5,$L49,休日)=1,"▶","→")),"")))</f>
        <v/>
      </c>
      <c r="AF49" s="116">
        <f>IF(OR($K49="",$L49=""),"",IF(NETWORKDAYS(AF$5,AF$5,休日)=0,"",IF(AND(AF$5&gt;=$K49,AF$5&lt;=$L49),IF(NETWORKDAYS($K49,AF$5,休日)=1,"○",IF(NETWORKDAYS(AF$5,$L49,休日)=1,"▶","→")),"")))</f>
        <v/>
      </c>
      <c r="AG49" s="116">
        <f>IF(OR($K49="",$L49=""),"",IF(NETWORKDAYS(AG$5,AG$5,休日)=0,"",IF(AND(AG$5&gt;=$K49,AG$5&lt;=$L49),IF(NETWORKDAYS($K49,AG$5,休日)=1,"○",IF(NETWORKDAYS(AG$5,$L49,休日)=1,"▶","→")),"")))</f>
        <v/>
      </c>
      <c r="AH49" s="116">
        <f>IF(OR($K49="",$L49=""),"",IF(NETWORKDAYS(AH$5,AH$5,休日)=0,"",IF(AND(AH$5&gt;=$K49,AH$5&lt;=$L49),IF(NETWORKDAYS($K49,AH$5,休日)=1,"○",IF(NETWORKDAYS(AH$5,$L49,休日)=1,"▶","→")),"")))</f>
        <v/>
      </c>
      <c r="AI49" s="116">
        <f>IF(OR($K49="",$L49=""),"",IF(NETWORKDAYS(AI$5,AI$5,休日)=0,"",IF(AND(AI$5&gt;=$K49,AI$5&lt;=$L49),IF(NETWORKDAYS($K49,AI$5,休日)=1,"○",IF(NETWORKDAYS(AI$5,$L49,休日)=1,"▶","→")),"")))</f>
        <v/>
      </c>
      <c r="AJ49" s="116">
        <f>IF(OR($K49="",$L49=""),"",IF(NETWORKDAYS(AJ$5,AJ$5,休日)=0,"",IF(AND(AJ$5&gt;=$K49,AJ$5&lt;=$L49),IF(NETWORKDAYS($K49,AJ$5,休日)=1,"○",IF(NETWORKDAYS(AJ$5,$L49,休日)=1,"▶","→")),"")))</f>
        <v/>
      </c>
      <c r="AK49" s="116">
        <f>IF(OR($K49="",$L49=""),"",IF(NETWORKDAYS(AK$5,AK$5,休日)=0,"",IF(AND(AK$5&gt;=$K49,AK$5&lt;=$L49),IF(NETWORKDAYS($K49,AK$5,休日)=1,"○",IF(NETWORKDAYS(AK$5,$L49,休日)=1,"▶","→")),"")))</f>
        <v/>
      </c>
      <c r="AL49" s="116">
        <f>IF(OR($K49="",$L49=""),"",IF(NETWORKDAYS(AL$5,AL$5,休日)=0,"",IF(AND(AL$5&gt;=$K49,AL$5&lt;=$L49),IF(NETWORKDAYS($K49,AL$5,休日)=1,"○",IF(NETWORKDAYS(AL$5,$L49,休日)=1,"▶","→")),"")))</f>
        <v/>
      </c>
      <c r="AM49" s="116">
        <f>IF(OR($K49="",$L49=""),"",IF(NETWORKDAYS(AM$5,AM$5,休日)=0,"",IF(AND(AM$5&gt;=$K49,AM$5&lt;=$L49),IF(NETWORKDAYS($K49,AM$5,休日)=1,"○",IF(NETWORKDAYS(AM$5,$L49,休日)=1,"▶","→")),"")))</f>
        <v/>
      </c>
      <c r="AN49" s="116">
        <f>IF(OR($K49="",$L49=""),"",IF(NETWORKDAYS(AN$5,AN$5,休日)=0,"",IF(AND(AN$5&gt;=$K49,AN$5&lt;=$L49),IF(NETWORKDAYS($K49,AN$5,休日)=1,"○",IF(NETWORKDAYS(AN$5,$L49,休日)=1,"▶","→")),"")))</f>
        <v/>
      </c>
      <c r="AO49" s="116">
        <f>IF(OR($K49="",$L49=""),"",IF(NETWORKDAYS(AO$5,AO$5,休日)=0,"",IF(AND(AO$5&gt;=$K49,AO$5&lt;=$L49),IF(NETWORKDAYS($K49,AO$5,休日)=1,"○",IF(NETWORKDAYS(AO$5,$L49,休日)=1,"▶","→")),"")))</f>
        <v/>
      </c>
      <c r="AP49" s="116">
        <f>IF(OR($K49="",$L49=""),"",IF(NETWORKDAYS(AP$5,AP$5,休日)=0,"",IF(AND(AP$5&gt;=$K49,AP$5&lt;=$L49),IF(NETWORKDAYS($K49,AP$5,休日)=1,"○",IF(NETWORKDAYS(AP$5,$L49,休日)=1,"▶","→")),"")))</f>
        <v/>
      </c>
      <c r="AQ49" s="116">
        <f>IF(OR($K49="",$L49=""),"",IF(NETWORKDAYS(AQ$5,AQ$5,休日)=0,"",IF(AND(AQ$5&gt;=$K49,AQ$5&lt;=$L49),IF(NETWORKDAYS($K49,AQ$5,休日)=1,"○",IF(NETWORKDAYS(AQ$5,$L49,休日)=1,"▶","→")),"")))</f>
        <v/>
      </c>
      <c r="AR49" s="116">
        <f>IF(OR($K49="",$L49=""),"",IF(NETWORKDAYS(AR$5,AR$5,休日)=0,"",IF(AND(AR$5&gt;=$K49,AR$5&lt;=$L49),IF(NETWORKDAYS($K49,AR$5,休日)=1,"○",IF(NETWORKDAYS(AR$5,$L49,休日)=1,"▶","→")),"")))</f>
        <v/>
      </c>
      <c r="AS49" s="116">
        <f>IF(OR($K49="",$L49=""),"",IF(NETWORKDAYS(AS$5,AS$5,休日)=0,"",IF(AND(AS$5&gt;=$K49,AS$5&lt;=$L49),IF(NETWORKDAYS($K49,AS$5,休日)=1,"○",IF(NETWORKDAYS(AS$5,$L49,休日)=1,"▶","→")),"")))</f>
        <v/>
      </c>
      <c r="AT49" s="116">
        <f>IF(OR($K49="",$L49=""),"",IF(NETWORKDAYS(AT$5,AT$5,休日)=0,"",IF(AND(AT$5&gt;=$K49,AT$5&lt;=$L49),IF(NETWORKDAYS($K49,AT$5,休日)=1,"○",IF(NETWORKDAYS(AT$5,$L49,休日)=1,"▶","→")),"")))</f>
        <v/>
      </c>
      <c r="AU49" s="116">
        <f>IF(OR($K49="",$L49=""),"",IF(NETWORKDAYS(AU$5,AU$5,休日)=0,"",IF(AND(AU$5&gt;=$K49,AU$5&lt;=$L49),IF(NETWORKDAYS($K49,AU$5,休日)=1,"○",IF(NETWORKDAYS(AU$5,$L49,休日)=1,"▶","→")),"")))</f>
        <v/>
      </c>
      <c r="AV49" s="116">
        <f>IF(OR($K49="",$L49=""),"",IF(NETWORKDAYS(AV$5,AV$5,休日)=0,"",IF(AND(AV$5&gt;=$K49,AV$5&lt;=$L49),IF(NETWORKDAYS($K49,AV$5,休日)=1,"○",IF(NETWORKDAYS(AV$5,$L49,休日)=1,"▶","→")),"")))</f>
        <v/>
      </c>
      <c r="AW49" s="116">
        <f>IF(OR($K49="",$L49=""),"",IF(NETWORKDAYS(AW$5,AW$5,休日)=0,"",IF(AND(AW$5&gt;=$K49,AW$5&lt;=$L49),IF(NETWORKDAYS($K49,AW$5,休日)=1,"○",IF(NETWORKDAYS(AW$5,$L49,休日)=1,"▶","→")),"")))</f>
        <v/>
      </c>
      <c r="AX49" s="116">
        <f>IF(OR($K49="",$L49=""),"",IF(NETWORKDAYS(AX$5,AX$5,休日)=0,"",IF(AND(AX$5&gt;=$K49,AX$5&lt;=$L49),IF(NETWORKDAYS($K49,AX$5,休日)=1,"○",IF(NETWORKDAYS(AX$5,$L49,休日)=1,"▶","→")),"")))</f>
        <v/>
      </c>
      <c r="AY49" s="116">
        <f>IF(OR($K49="",$L49=""),"",IF(NETWORKDAYS(AY$5,AY$5,休日)=0,"",IF(AND(AY$5&gt;=$K49,AY$5&lt;=$L49),IF(NETWORKDAYS($K49,AY$5,休日)=1,"○",IF(NETWORKDAYS(AY$5,$L49,休日)=1,"▶","→")),"")))</f>
        <v/>
      </c>
      <c r="AZ49" s="116">
        <f>IF(OR($K49="",$L49=""),"",IF(NETWORKDAYS(AZ$5,AZ$5,休日)=0,"",IF(AND(AZ$5&gt;=$K49,AZ$5&lt;=$L49),IF(NETWORKDAYS($K49,AZ$5,休日)=1,"○",IF(NETWORKDAYS(AZ$5,$L49,休日)=1,"▶","→")),"")))</f>
        <v/>
      </c>
      <c r="BA49" s="116">
        <f>IF(OR($K49="",$L49=""),"",IF(NETWORKDAYS(BA$5,BA$5,休日)=0,"",IF(AND(BA$5&gt;=$K49,BA$5&lt;=$L49),IF(NETWORKDAYS($K49,BA$5,休日)=1,"○",IF(NETWORKDAYS(BA$5,$L49,休日)=1,"▶","→")),"")))</f>
        <v/>
      </c>
      <c r="BB49" s="116">
        <f>IF(OR($K49="",$L49=""),"",IF(NETWORKDAYS(BB$5,BB$5,休日)=0,"",IF(AND(BB$5&gt;=$K49,BB$5&lt;=$L49),IF(NETWORKDAYS($K49,BB$5,休日)=1,"○",IF(NETWORKDAYS(BB$5,$L49,休日)=1,"▶","→")),"")))</f>
        <v/>
      </c>
      <c r="BC49" s="116">
        <f>IF(OR($K49="",$L49=""),"",IF(NETWORKDAYS(BC$5,BC$5,休日)=0,"",IF(AND(BC$5&gt;=$K49,BC$5&lt;=$L49),IF(NETWORKDAYS($K49,BC$5,休日)=1,"○",IF(NETWORKDAYS(BC$5,$L49,休日)=1,"▶","→")),"")))</f>
        <v/>
      </c>
      <c r="BD49" s="116">
        <f>IF(OR($K49="",$L49=""),"",IF(NETWORKDAYS(BD$5,BD$5,休日)=0,"",IF(AND(BD$5&gt;=$K49,BD$5&lt;=$L49),IF(NETWORKDAYS($K49,BD$5,休日)=1,"○",IF(NETWORKDAYS(BD$5,$L49,休日)=1,"▶","→")),"")))</f>
        <v/>
      </c>
      <c r="BE49" s="116">
        <f>IF(OR($K49="",$L49=""),"",IF(NETWORKDAYS(BE$5,BE$5,休日)=0,"",IF(AND(BE$5&gt;=$K49,BE$5&lt;=$L49),IF(NETWORKDAYS($K49,BE$5,休日)=1,"○",IF(NETWORKDAYS(BE$5,$L49,休日)=1,"▶","→")),"")))</f>
        <v/>
      </c>
      <c r="BF49" s="116">
        <f>IF(OR($K49="",$L49=""),"",IF(NETWORKDAYS(BF$5,BF$5,休日)=0,"",IF(AND(BF$5&gt;=$K49,BF$5&lt;=$L49),IF(NETWORKDAYS($K49,BF$5,休日)=1,"○",IF(NETWORKDAYS(BF$5,$L49,休日)=1,"▶","→")),"")))</f>
        <v/>
      </c>
      <c r="BG49" s="116">
        <f>IF(OR($K49="",$L49=""),"",IF(NETWORKDAYS(BG$5,BG$5,休日)=0,"",IF(AND(BG$5&gt;=$K49,BG$5&lt;=$L49),IF(NETWORKDAYS($K49,BG$5,休日)=1,"○",IF(NETWORKDAYS(BG$5,$L49,休日)=1,"▶","→")),"")))</f>
        <v/>
      </c>
      <c r="BH49" s="116">
        <f>IF(OR($K49="",$L49=""),"",IF(NETWORKDAYS(BH$5,BH$5,休日)=0,"",IF(AND(BH$5&gt;=$K49,BH$5&lt;=$L49),IF(NETWORKDAYS($K49,BH$5,休日)=1,"○",IF(NETWORKDAYS(BH$5,$L49,休日)=1,"▶","→")),"")))</f>
        <v/>
      </c>
      <c r="BI49" s="116">
        <f>IF(OR($K49="",$L49=""),"",IF(NETWORKDAYS(BI$5,BI$5,休日)=0,"",IF(AND(BI$5&gt;=$K49,BI$5&lt;=$L49),IF(NETWORKDAYS($K49,BI$5,休日)=1,"○",IF(NETWORKDAYS(BI$5,$L49,休日)=1,"▶","→")),"")))</f>
        <v/>
      </c>
      <c r="BJ49" s="116">
        <f>IF(OR($K49="",$L49=""),"",IF(NETWORKDAYS(BJ$5,BJ$5,休日)=0,"",IF(AND(BJ$5&gt;=$K49,BJ$5&lt;=$L49),IF(NETWORKDAYS($K49,BJ$5,休日)=1,"○",IF(NETWORKDAYS(BJ$5,$L49,休日)=1,"▶","→")),"")))</f>
        <v/>
      </c>
      <c r="BK49" s="116">
        <f>IF(OR($K49="",$L49=""),"",IF(NETWORKDAYS(BK$5,BK$5,休日)=0,"",IF(AND(BK$5&gt;=$K49,BK$5&lt;=$L49),IF(NETWORKDAYS($K49,BK$5,休日)=1,"○",IF(NETWORKDAYS(BK$5,$L49,休日)=1,"▶","→")),"")))</f>
        <v/>
      </c>
      <c r="BL49" s="116">
        <f>IF(OR($K49="",$L49=""),"",IF(NETWORKDAYS(BL$5,BL$5,休日)=0,"",IF(AND(BL$5&gt;=$K49,BL$5&lt;=$L49),IF(NETWORKDAYS($K49,BL$5,休日)=1,"○",IF(NETWORKDAYS(BL$5,$L49,休日)=1,"▶","→")),"")))</f>
        <v/>
      </c>
      <c r="BM49" s="116">
        <f>IF(OR($K49="",$L49=""),"",IF(NETWORKDAYS(BM$5,BM$5,休日)=0,"",IF(AND(BM$5&gt;=$K49,BM$5&lt;=$L49),IF(NETWORKDAYS($K49,BM$5,休日)=1,"○",IF(NETWORKDAYS(BM$5,$L49,休日)=1,"▶","→")),"")))</f>
        <v/>
      </c>
      <c r="BN49" s="116">
        <f>IF(OR($K49="",$L49=""),"",IF(NETWORKDAYS(BN$5,BN$5,休日)=0,"",IF(AND(BN$5&gt;=$K49,BN$5&lt;=$L49),IF(NETWORKDAYS($K49,BN$5,休日)=1,"○",IF(NETWORKDAYS(BN$5,$L49,休日)=1,"▶","→")),"")))</f>
        <v/>
      </c>
      <c r="BO49" s="116">
        <f>IF(OR($K49="",$L49=""),"",IF(NETWORKDAYS(BO$5,BO$5,休日)=0,"",IF(AND(BO$5&gt;=$K49,BO$5&lt;=$L49),IF(NETWORKDAYS($K49,BO$5,休日)=1,"○",IF(NETWORKDAYS(BO$5,$L49,休日)=1,"▶","→")),"")))</f>
        <v/>
      </c>
      <c r="BP49" s="116">
        <f>IF(OR($K49="",$L49=""),"",IF(NETWORKDAYS(BP$5,BP$5,休日)=0,"",IF(AND(BP$5&gt;=$K49,BP$5&lt;=$L49),IF(NETWORKDAYS($K49,BP$5,休日)=1,"○",IF(NETWORKDAYS(BP$5,$L49,休日)=1,"▶","→")),"")))</f>
        <v/>
      </c>
      <c r="BQ49" s="116">
        <f>IF(OR($K49="",$L49=""),"",IF(NETWORKDAYS(BQ$5,BQ$5,休日)=0,"",IF(AND(BQ$5&gt;=$K49,BQ$5&lt;=$L49),IF(NETWORKDAYS($K49,BQ$5,休日)=1,"○",IF(NETWORKDAYS(BQ$5,$L49,休日)=1,"▶","→")),"")))</f>
        <v/>
      </c>
      <c r="BR49" s="116">
        <f>IF(OR($K49="",$L49=""),"",IF(NETWORKDAYS(BR$5,BR$5,休日)=0,"",IF(AND(BR$5&gt;=$K49,BR$5&lt;=$L49),IF(NETWORKDAYS($K49,BR$5,休日)=1,"○",IF(NETWORKDAYS(BR$5,$L49,休日)=1,"▶","→")),"")))</f>
        <v/>
      </c>
      <c r="BS49" s="116">
        <f>IF(OR($K49="",$L49=""),"",IF(NETWORKDAYS(BS$5,BS$5,休日)=0,"",IF(AND(BS$5&gt;=$K49,BS$5&lt;=$L49),IF(NETWORKDAYS($K49,BS$5,休日)=1,"○",IF(NETWORKDAYS(BS$5,$L49,休日)=1,"▶","→")),"")))</f>
        <v/>
      </c>
      <c r="BT49" s="116">
        <f>IF(OR($K49="",$L49=""),"",IF(NETWORKDAYS(BT$5,BT$5,休日)=0,"",IF(AND(BT$5&gt;=$K49,BT$5&lt;=$L49),IF(NETWORKDAYS($K49,BT$5,休日)=1,"○",IF(NETWORKDAYS(BT$5,$L49,休日)=1,"▶","→")),"")))</f>
        <v/>
      </c>
      <c r="BU49" s="116">
        <f>IF(OR($K49="",$L49=""),"",IF(NETWORKDAYS(BU$5,BU$5,休日)=0,"",IF(AND(BU$5&gt;=$K49,BU$5&lt;=$L49),IF(NETWORKDAYS($K49,BU$5,休日)=1,"○",IF(NETWORKDAYS(BU$5,$L49,休日)=1,"▶","→")),"")))</f>
        <v/>
      </c>
      <c r="BV49" s="116">
        <f>IF(OR($K49="",$L49=""),"",IF(NETWORKDAYS(BV$5,BV$5,休日)=0,"",IF(AND(BV$5&gt;=$K49,BV$5&lt;=$L49),IF(NETWORKDAYS($K49,BV$5,休日)=1,"○",IF(NETWORKDAYS(BV$5,$L49,休日)=1,"▶","→")),"")))</f>
        <v/>
      </c>
      <c r="BW49" s="116">
        <f>IF(OR($K49="",$L49=""),"",IF(NETWORKDAYS(BW$5,BW$5,休日)=0,"",IF(AND(BW$5&gt;=$K49,BW$5&lt;=$L49),IF(NETWORKDAYS($K49,BW$5,休日)=1,"○",IF(NETWORKDAYS(BW$5,$L49,休日)=1,"▶","→")),"")))</f>
        <v/>
      </c>
      <c r="BX49" s="116">
        <f>IF(OR($K49="",$L49=""),"",IF(NETWORKDAYS(BX$5,BX$5,休日)=0,"",IF(AND(BX$5&gt;=$K49,BX$5&lt;=$L49),IF(NETWORKDAYS($K49,BX$5,休日)=1,"○",IF(NETWORKDAYS(BX$5,$L49,休日)=1,"▶","→")),"")))</f>
        <v/>
      </c>
      <c r="BY49" s="116">
        <f>IF(OR($K49="",$L49=""),"",IF(NETWORKDAYS(BY$5,BY$5,休日)=0,"",IF(AND(BY$5&gt;=$K49,BY$5&lt;=$L49),IF(NETWORKDAYS($K49,BY$5,休日)=1,"○",IF(NETWORKDAYS(BY$5,$L49,休日)=1,"▶","→")),"")))</f>
        <v/>
      </c>
      <c r="BZ49" s="116">
        <f>IF(OR($K49="",$L49=""),"",IF(NETWORKDAYS(BZ$5,BZ$5,休日)=0,"",IF(AND(BZ$5&gt;=$K49,BZ$5&lt;=$L49),IF(NETWORKDAYS($K49,BZ$5,休日)=1,"○",IF(NETWORKDAYS(BZ$5,$L49,休日)=1,"▶","→")),"")))</f>
        <v/>
      </c>
      <c r="CA49" s="116">
        <f>IF(OR($K49="",$L49=""),"",IF(NETWORKDAYS(CA$5,CA$5,休日)=0,"",IF(AND(CA$5&gt;=$K49,CA$5&lt;=$L49),IF(NETWORKDAYS($K49,CA$5,休日)=1,"○",IF(NETWORKDAYS(CA$5,$L49,休日)=1,"▶","→")),"")))</f>
        <v/>
      </c>
      <c r="CB49" s="116">
        <f>IF(OR($K49="",$L49=""),"",IF(NETWORKDAYS(CB$5,CB$5,休日)=0,"",IF(AND(CB$5&gt;=$K49,CB$5&lt;=$L49),IF(NETWORKDAYS($K49,CB$5,休日)=1,"○",IF(NETWORKDAYS(CB$5,$L49,休日)=1,"▶","→")),"")))</f>
        <v/>
      </c>
      <c r="CC49" s="116">
        <f>IF(OR($K49="",$L49=""),"",IF(NETWORKDAYS(CC$5,CC$5,休日)=0,"",IF(AND(CC$5&gt;=$K49,CC$5&lt;=$L49),IF(NETWORKDAYS($K49,CC$5,休日)=1,"○",IF(NETWORKDAYS(CC$5,$L49,休日)=1,"▶","→")),"")))</f>
        <v/>
      </c>
      <c r="CD49" s="116">
        <f>IF(OR($K49="",$L49=""),"",IF(NETWORKDAYS(CD$5,CD$5,休日)=0,"",IF(AND(CD$5&gt;=$K49,CD$5&lt;=$L49),IF(NETWORKDAYS($K49,CD$5,休日)=1,"○",IF(NETWORKDAYS(CD$5,$L49,休日)=1,"▶","→")),"")))</f>
        <v/>
      </c>
      <c r="CE49" s="116">
        <f>IF(OR($K49="",$L49=""),"",IF(NETWORKDAYS(CE$5,CE$5,休日)=0,"",IF(AND(CE$5&gt;=$K49,CE$5&lt;=$L49),IF(NETWORKDAYS($K49,CE$5,休日)=1,"○",IF(NETWORKDAYS(CE$5,$L49,休日)=1,"▶","→")),"")))</f>
        <v/>
      </c>
      <c r="CF49" s="116">
        <f>IF(OR($K49="",$L49=""),"",IF(NETWORKDAYS(CF$5,CF$5,休日)=0,"",IF(AND(CF$5&gt;=$K49,CF$5&lt;=$L49),IF(NETWORKDAYS($K49,CF$5,休日)=1,"○",IF(NETWORKDAYS(CF$5,$L49,休日)=1,"▶","→")),"")))</f>
        <v/>
      </c>
      <c r="CG49" s="116">
        <f>IF(OR($K49="",$L49=""),"",IF(NETWORKDAYS(CG$5,CG$5,休日)=0,"",IF(AND(CG$5&gt;=$K49,CG$5&lt;=$L49),IF(NETWORKDAYS($K49,CG$5,休日)=1,"○",IF(NETWORKDAYS(CG$5,$L49,休日)=1,"▶","→")),"")))</f>
        <v/>
      </c>
      <c r="CH49" s="116">
        <f>IF(OR($K49="",$L49=""),"",IF(NETWORKDAYS(CH$5,CH$5,休日)=0,"",IF(AND(CH$5&gt;=$K49,CH$5&lt;=$L49),IF(NETWORKDAYS($K49,CH$5,休日)=1,"○",IF(NETWORKDAYS(CH$5,$L49,休日)=1,"▶","→")),"")))</f>
        <v/>
      </c>
      <c r="CI49" s="116">
        <f>IF(OR($K49="",$L49=""),"",IF(NETWORKDAYS(CI$5,CI$5,休日)=0,"",IF(AND(CI$5&gt;=$K49,CI$5&lt;=$L49),IF(NETWORKDAYS($K49,CI$5,休日)=1,"○",IF(NETWORKDAYS(CI$5,$L49,休日)=1,"▶","→")),"")))</f>
        <v/>
      </c>
      <c r="CJ49" s="116">
        <f>IF(OR($K49="",$L49=""),"",IF(NETWORKDAYS(CJ$5,CJ$5,休日)=0,"",IF(AND(CJ$5&gt;=$K49,CJ$5&lt;=$L49),IF(NETWORKDAYS($K49,CJ$5,休日)=1,"○",IF(NETWORKDAYS(CJ$5,$L49,休日)=1,"▶","→")),"")))</f>
        <v/>
      </c>
      <c r="CK49" s="116">
        <f>IF(OR($K49="",$L49=""),"",IF(NETWORKDAYS(CK$5,CK$5,休日)=0,"",IF(AND(CK$5&gt;=$K49,CK$5&lt;=$L49),IF(NETWORKDAYS($K49,CK$5,休日)=1,"○",IF(NETWORKDAYS(CK$5,$L49,休日)=1,"▶","→")),"")))</f>
        <v/>
      </c>
      <c r="CL49" s="116">
        <f>IF(OR($K49="",$L49=""),"",IF(NETWORKDAYS(CL$5,CL$5,休日)=0,"",IF(AND(CL$5&gt;=$K49,CL$5&lt;=$L49),IF(NETWORKDAYS($K49,CL$5,休日)=1,"○",IF(NETWORKDAYS(CL$5,$L49,休日)=1,"▶","→")),"")))</f>
        <v/>
      </c>
      <c r="CM49" s="116">
        <f>IF(OR($K49="",$L49=""),"",IF(NETWORKDAYS(CM$5,CM$5,休日)=0,"",IF(AND(CM$5&gt;=$K49,CM$5&lt;=$L49),IF(NETWORKDAYS($K49,CM$5,休日)=1,"○",IF(NETWORKDAYS(CM$5,$L49,休日)=1,"▶","→")),"")))</f>
        <v/>
      </c>
      <c r="CN49" s="116">
        <f>IF(OR($K49="",$L49=""),"",IF(NETWORKDAYS(CN$5,CN$5,休日)=0,"",IF(AND(CN$5&gt;=$K49,CN$5&lt;=$L49),IF(NETWORKDAYS($K49,CN$5,休日)=1,"○",IF(NETWORKDAYS(CN$5,$L49,休日)=1,"▶","→")),"")))</f>
        <v/>
      </c>
      <c r="CO49" s="116">
        <f>IF(OR($K49="",$L49=""),"",IF(NETWORKDAYS(CO$5,CO$5,休日)=0,"",IF(AND(CO$5&gt;=$K49,CO$5&lt;=$L49),IF(NETWORKDAYS($K49,CO$5,休日)=1,"○",IF(NETWORKDAYS(CO$5,$L49,休日)=1,"▶","→")),"")))</f>
        <v/>
      </c>
    </row>
    <row r="50" ht="32" customHeight="1" s="98">
      <c r="A50" s="5" t="n"/>
      <c r="B50" s="100" t="inlineStr">
        <is>
          <t>4.1.4</t>
        </is>
      </c>
      <c r="C50" s="101" t="inlineStr">
        <is>
          <t>単体テスト</t>
        </is>
      </c>
      <c r="D50" s="101" t="inlineStr">
        <is>
          <t>Layer③</t>
        </is>
      </c>
      <c r="E50" s="101" t="inlineStr">
        <is>
          <t>生鮮発注勧告（翌日以降分）</t>
        </is>
      </c>
      <c r="F50" s="101" t="inlineStr">
        <is>
          <t>生鮮発注勧告（翌日以降分）</t>
        </is>
      </c>
      <c r="G50" s="100" t="inlineStr">
        <is>
          <t>新規</t>
        </is>
      </c>
      <c r="H50" s="100" t="inlineStr">
        <is>
          <t>未定</t>
        </is>
      </c>
      <c r="I50" s="113" t="n">
        <v>1</v>
      </c>
      <c r="J50" s="100" t="inlineStr">
        <is>
          <t>－</t>
        </is>
      </c>
      <c r="K50" s="114" t="n">
        <v>46363</v>
      </c>
      <c r="L50" s="114" t="n">
        <v>46381</v>
      </c>
      <c r="M50" s="114" t="n"/>
      <c r="N50" s="114" t="n"/>
      <c r="O50" s="100" t="inlineStr">
        <is>
          <t>未着手</t>
        </is>
      </c>
      <c r="P50" s="115" t="n">
        <v>0</v>
      </c>
      <c r="Q50" s="100" t="inlineStr">
        <is>
          <t>－</t>
        </is>
      </c>
      <c r="R50" s="101" t="inlineStr">
        <is>
          <t>出典は塊として12/7–12/25。IFごとの日付は分割されていない。担当は未定</t>
        </is>
      </c>
      <c r="S50" s="116">
        <f>IF(OR($K50="",$L50=""),"",IF(NETWORKDAYS(S$5,S$5,休日)=0,"",IF(AND(S$5&gt;=$K50,S$5&lt;=$L50),IF(NETWORKDAYS($K50,S$5,休日)=1,"○",IF(NETWORKDAYS(S$5,$L50,休日)=1,"▶","→")),"")))</f>
        <v/>
      </c>
      <c r="T50" s="116">
        <f>IF(OR($K50="",$L50=""),"",IF(NETWORKDAYS(T$5,T$5,休日)=0,"",IF(AND(T$5&gt;=$K50,T$5&lt;=$L50),IF(NETWORKDAYS($K50,T$5,休日)=1,"○",IF(NETWORKDAYS(T$5,$L50,休日)=1,"▶","→")),"")))</f>
        <v/>
      </c>
      <c r="U50" s="116">
        <f>IF(OR($K50="",$L50=""),"",IF(NETWORKDAYS(U$5,U$5,休日)=0,"",IF(AND(U$5&gt;=$K50,U$5&lt;=$L50),IF(NETWORKDAYS($K50,U$5,休日)=1,"○",IF(NETWORKDAYS(U$5,$L50,休日)=1,"▶","→")),"")))</f>
        <v/>
      </c>
      <c r="V50" s="116">
        <f>IF(OR($K50="",$L50=""),"",IF(NETWORKDAYS(V$5,V$5,休日)=0,"",IF(AND(V$5&gt;=$K50,V$5&lt;=$L50),IF(NETWORKDAYS($K50,V$5,休日)=1,"○",IF(NETWORKDAYS(V$5,$L50,休日)=1,"▶","→")),"")))</f>
        <v/>
      </c>
      <c r="W50" s="116">
        <f>IF(OR($K50="",$L50=""),"",IF(NETWORKDAYS(W$5,W$5,休日)=0,"",IF(AND(W$5&gt;=$K50,W$5&lt;=$L50),IF(NETWORKDAYS($K50,W$5,休日)=1,"○",IF(NETWORKDAYS(W$5,$L50,休日)=1,"▶","→")),"")))</f>
        <v/>
      </c>
      <c r="X50" s="116">
        <f>IF(OR($K50="",$L50=""),"",IF(NETWORKDAYS(X$5,X$5,休日)=0,"",IF(AND(X$5&gt;=$K50,X$5&lt;=$L50),IF(NETWORKDAYS($K50,X$5,休日)=1,"○",IF(NETWORKDAYS(X$5,$L50,休日)=1,"▶","→")),"")))</f>
        <v/>
      </c>
      <c r="Y50" s="116">
        <f>IF(OR($K50="",$L50=""),"",IF(NETWORKDAYS(Y$5,Y$5,休日)=0,"",IF(AND(Y$5&gt;=$K50,Y$5&lt;=$L50),IF(NETWORKDAYS($K50,Y$5,休日)=1,"○",IF(NETWORKDAYS(Y$5,$L50,休日)=1,"▶","→")),"")))</f>
        <v/>
      </c>
      <c r="Z50" s="116">
        <f>IF(OR($K50="",$L50=""),"",IF(NETWORKDAYS(Z$5,Z$5,休日)=0,"",IF(AND(Z$5&gt;=$K50,Z$5&lt;=$L50),IF(NETWORKDAYS($K50,Z$5,休日)=1,"○",IF(NETWORKDAYS(Z$5,$L50,休日)=1,"▶","→")),"")))</f>
        <v/>
      </c>
      <c r="AA50" s="116">
        <f>IF(OR($K50="",$L50=""),"",IF(NETWORKDAYS(AA$5,AA$5,休日)=0,"",IF(AND(AA$5&gt;=$K50,AA$5&lt;=$L50),IF(NETWORKDAYS($K50,AA$5,休日)=1,"○",IF(NETWORKDAYS(AA$5,$L50,休日)=1,"▶","→")),"")))</f>
        <v/>
      </c>
      <c r="AB50" s="116">
        <f>IF(OR($K50="",$L50=""),"",IF(NETWORKDAYS(AB$5,AB$5,休日)=0,"",IF(AND(AB$5&gt;=$K50,AB$5&lt;=$L50),IF(NETWORKDAYS($K50,AB$5,休日)=1,"○",IF(NETWORKDAYS(AB$5,$L50,休日)=1,"▶","→")),"")))</f>
        <v/>
      </c>
      <c r="AC50" s="116">
        <f>IF(OR($K50="",$L50=""),"",IF(NETWORKDAYS(AC$5,AC$5,休日)=0,"",IF(AND(AC$5&gt;=$K50,AC$5&lt;=$L50),IF(NETWORKDAYS($K50,AC$5,休日)=1,"○",IF(NETWORKDAYS(AC$5,$L50,休日)=1,"▶","→")),"")))</f>
        <v/>
      </c>
      <c r="AD50" s="116">
        <f>IF(OR($K50="",$L50=""),"",IF(NETWORKDAYS(AD$5,AD$5,休日)=0,"",IF(AND(AD$5&gt;=$K50,AD$5&lt;=$L50),IF(NETWORKDAYS($K50,AD$5,休日)=1,"○",IF(NETWORKDAYS(AD$5,$L50,休日)=1,"▶","→")),"")))</f>
        <v/>
      </c>
      <c r="AE50" s="116">
        <f>IF(OR($K50="",$L50=""),"",IF(NETWORKDAYS(AE$5,AE$5,休日)=0,"",IF(AND(AE$5&gt;=$K50,AE$5&lt;=$L50),IF(NETWORKDAYS($K50,AE$5,休日)=1,"○",IF(NETWORKDAYS(AE$5,$L50,休日)=1,"▶","→")),"")))</f>
        <v/>
      </c>
      <c r="AF50" s="116">
        <f>IF(OR($K50="",$L50=""),"",IF(NETWORKDAYS(AF$5,AF$5,休日)=0,"",IF(AND(AF$5&gt;=$K50,AF$5&lt;=$L50),IF(NETWORKDAYS($K50,AF$5,休日)=1,"○",IF(NETWORKDAYS(AF$5,$L50,休日)=1,"▶","→")),"")))</f>
        <v/>
      </c>
      <c r="AG50" s="116">
        <f>IF(OR($K50="",$L50=""),"",IF(NETWORKDAYS(AG$5,AG$5,休日)=0,"",IF(AND(AG$5&gt;=$K50,AG$5&lt;=$L50),IF(NETWORKDAYS($K50,AG$5,休日)=1,"○",IF(NETWORKDAYS(AG$5,$L50,休日)=1,"▶","→")),"")))</f>
        <v/>
      </c>
      <c r="AH50" s="116">
        <f>IF(OR($K50="",$L50=""),"",IF(NETWORKDAYS(AH$5,AH$5,休日)=0,"",IF(AND(AH$5&gt;=$K50,AH$5&lt;=$L50),IF(NETWORKDAYS($K50,AH$5,休日)=1,"○",IF(NETWORKDAYS(AH$5,$L50,休日)=1,"▶","→")),"")))</f>
        <v/>
      </c>
      <c r="AI50" s="116">
        <f>IF(OR($K50="",$L50=""),"",IF(NETWORKDAYS(AI$5,AI$5,休日)=0,"",IF(AND(AI$5&gt;=$K50,AI$5&lt;=$L50),IF(NETWORKDAYS($K50,AI$5,休日)=1,"○",IF(NETWORKDAYS(AI$5,$L50,休日)=1,"▶","→")),"")))</f>
        <v/>
      </c>
      <c r="AJ50" s="116">
        <f>IF(OR($K50="",$L50=""),"",IF(NETWORKDAYS(AJ$5,AJ$5,休日)=0,"",IF(AND(AJ$5&gt;=$K50,AJ$5&lt;=$L50),IF(NETWORKDAYS($K50,AJ$5,休日)=1,"○",IF(NETWORKDAYS(AJ$5,$L50,休日)=1,"▶","→")),"")))</f>
        <v/>
      </c>
      <c r="AK50" s="116">
        <f>IF(OR($K50="",$L50=""),"",IF(NETWORKDAYS(AK$5,AK$5,休日)=0,"",IF(AND(AK$5&gt;=$K50,AK$5&lt;=$L50),IF(NETWORKDAYS($K50,AK$5,休日)=1,"○",IF(NETWORKDAYS(AK$5,$L50,休日)=1,"▶","→")),"")))</f>
        <v/>
      </c>
      <c r="AL50" s="116">
        <f>IF(OR($K50="",$L50=""),"",IF(NETWORKDAYS(AL$5,AL$5,休日)=0,"",IF(AND(AL$5&gt;=$K50,AL$5&lt;=$L50),IF(NETWORKDAYS($K50,AL$5,休日)=1,"○",IF(NETWORKDAYS(AL$5,$L50,休日)=1,"▶","→")),"")))</f>
        <v/>
      </c>
      <c r="AM50" s="116">
        <f>IF(OR($K50="",$L50=""),"",IF(NETWORKDAYS(AM$5,AM$5,休日)=0,"",IF(AND(AM$5&gt;=$K50,AM$5&lt;=$L50),IF(NETWORKDAYS($K50,AM$5,休日)=1,"○",IF(NETWORKDAYS(AM$5,$L50,休日)=1,"▶","→")),"")))</f>
        <v/>
      </c>
      <c r="AN50" s="116">
        <f>IF(OR($K50="",$L50=""),"",IF(NETWORKDAYS(AN$5,AN$5,休日)=0,"",IF(AND(AN$5&gt;=$K50,AN$5&lt;=$L50),IF(NETWORKDAYS($K50,AN$5,休日)=1,"○",IF(NETWORKDAYS(AN$5,$L50,休日)=1,"▶","→")),"")))</f>
        <v/>
      </c>
      <c r="AO50" s="116">
        <f>IF(OR($K50="",$L50=""),"",IF(NETWORKDAYS(AO$5,AO$5,休日)=0,"",IF(AND(AO$5&gt;=$K50,AO$5&lt;=$L50),IF(NETWORKDAYS($K50,AO$5,休日)=1,"○",IF(NETWORKDAYS(AO$5,$L50,休日)=1,"▶","→")),"")))</f>
        <v/>
      </c>
      <c r="AP50" s="116">
        <f>IF(OR($K50="",$L50=""),"",IF(NETWORKDAYS(AP$5,AP$5,休日)=0,"",IF(AND(AP$5&gt;=$K50,AP$5&lt;=$L50),IF(NETWORKDAYS($K50,AP$5,休日)=1,"○",IF(NETWORKDAYS(AP$5,$L50,休日)=1,"▶","→")),"")))</f>
        <v/>
      </c>
      <c r="AQ50" s="116">
        <f>IF(OR($K50="",$L50=""),"",IF(NETWORKDAYS(AQ$5,AQ$5,休日)=0,"",IF(AND(AQ$5&gt;=$K50,AQ$5&lt;=$L50),IF(NETWORKDAYS($K50,AQ$5,休日)=1,"○",IF(NETWORKDAYS(AQ$5,$L50,休日)=1,"▶","→")),"")))</f>
        <v/>
      </c>
      <c r="AR50" s="116">
        <f>IF(OR($K50="",$L50=""),"",IF(NETWORKDAYS(AR$5,AR$5,休日)=0,"",IF(AND(AR$5&gt;=$K50,AR$5&lt;=$L50),IF(NETWORKDAYS($K50,AR$5,休日)=1,"○",IF(NETWORKDAYS(AR$5,$L50,休日)=1,"▶","→")),"")))</f>
        <v/>
      </c>
      <c r="AS50" s="116">
        <f>IF(OR($K50="",$L50=""),"",IF(NETWORKDAYS(AS$5,AS$5,休日)=0,"",IF(AND(AS$5&gt;=$K50,AS$5&lt;=$L50),IF(NETWORKDAYS($K50,AS$5,休日)=1,"○",IF(NETWORKDAYS(AS$5,$L50,休日)=1,"▶","→")),"")))</f>
        <v/>
      </c>
      <c r="AT50" s="116">
        <f>IF(OR($K50="",$L50=""),"",IF(NETWORKDAYS(AT$5,AT$5,休日)=0,"",IF(AND(AT$5&gt;=$K50,AT$5&lt;=$L50),IF(NETWORKDAYS($K50,AT$5,休日)=1,"○",IF(NETWORKDAYS(AT$5,$L50,休日)=1,"▶","→")),"")))</f>
        <v/>
      </c>
      <c r="AU50" s="116">
        <f>IF(OR($K50="",$L50=""),"",IF(NETWORKDAYS(AU$5,AU$5,休日)=0,"",IF(AND(AU$5&gt;=$K50,AU$5&lt;=$L50),IF(NETWORKDAYS($K50,AU$5,休日)=1,"○",IF(NETWORKDAYS(AU$5,$L50,休日)=1,"▶","→")),"")))</f>
        <v/>
      </c>
      <c r="AV50" s="116">
        <f>IF(OR($K50="",$L50=""),"",IF(NETWORKDAYS(AV$5,AV$5,休日)=0,"",IF(AND(AV$5&gt;=$K50,AV$5&lt;=$L50),IF(NETWORKDAYS($K50,AV$5,休日)=1,"○",IF(NETWORKDAYS(AV$5,$L50,休日)=1,"▶","→")),"")))</f>
        <v/>
      </c>
      <c r="AW50" s="116">
        <f>IF(OR($K50="",$L50=""),"",IF(NETWORKDAYS(AW$5,AW$5,休日)=0,"",IF(AND(AW$5&gt;=$K50,AW$5&lt;=$L50),IF(NETWORKDAYS($K50,AW$5,休日)=1,"○",IF(NETWORKDAYS(AW$5,$L50,休日)=1,"▶","→")),"")))</f>
        <v/>
      </c>
      <c r="AX50" s="116">
        <f>IF(OR($K50="",$L50=""),"",IF(NETWORKDAYS(AX$5,AX$5,休日)=0,"",IF(AND(AX$5&gt;=$K50,AX$5&lt;=$L50),IF(NETWORKDAYS($K50,AX$5,休日)=1,"○",IF(NETWORKDAYS(AX$5,$L50,休日)=1,"▶","→")),"")))</f>
        <v/>
      </c>
      <c r="AY50" s="116">
        <f>IF(OR($K50="",$L50=""),"",IF(NETWORKDAYS(AY$5,AY$5,休日)=0,"",IF(AND(AY$5&gt;=$K50,AY$5&lt;=$L50),IF(NETWORKDAYS($K50,AY$5,休日)=1,"○",IF(NETWORKDAYS(AY$5,$L50,休日)=1,"▶","→")),"")))</f>
        <v/>
      </c>
      <c r="AZ50" s="116">
        <f>IF(OR($K50="",$L50=""),"",IF(NETWORKDAYS(AZ$5,AZ$5,休日)=0,"",IF(AND(AZ$5&gt;=$K50,AZ$5&lt;=$L50),IF(NETWORKDAYS($K50,AZ$5,休日)=1,"○",IF(NETWORKDAYS(AZ$5,$L50,休日)=1,"▶","→")),"")))</f>
        <v/>
      </c>
      <c r="BA50" s="116">
        <f>IF(OR($K50="",$L50=""),"",IF(NETWORKDAYS(BA$5,BA$5,休日)=0,"",IF(AND(BA$5&gt;=$K50,BA$5&lt;=$L50),IF(NETWORKDAYS($K50,BA$5,休日)=1,"○",IF(NETWORKDAYS(BA$5,$L50,休日)=1,"▶","→")),"")))</f>
        <v/>
      </c>
      <c r="BB50" s="116">
        <f>IF(OR($K50="",$L50=""),"",IF(NETWORKDAYS(BB$5,BB$5,休日)=0,"",IF(AND(BB$5&gt;=$K50,BB$5&lt;=$L50),IF(NETWORKDAYS($K50,BB$5,休日)=1,"○",IF(NETWORKDAYS(BB$5,$L50,休日)=1,"▶","→")),"")))</f>
        <v/>
      </c>
      <c r="BC50" s="116">
        <f>IF(OR($K50="",$L50=""),"",IF(NETWORKDAYS(BC$5,BC$5,休日)=0,"",IF(AND(BC$5&gt;=$K50,BC$5&lt;=$L50),IF(NETWORKDAYS($K50,BC$5,休日)=1,"○",IF(NETWORKDAYS(BC$5,$L50,休日)=1,"▶","→")),"")))</f>
        <v/>
      </c>
      <c r="BD50" s="116">
        <f>IF(OR($K50="",$L50=""),"",IF(NETWORKDAYS(BD$5,BD$5,休日)=0,"",IF(AND(BD$5&gt;=$K50,BD$5&lt;=$L50),IF(NETWORKDAYS($K50,BD$5,休日)=1,"○",IF(NETWORKDAYS(BD$5,$L50,休日)=1,"▶","→")),"")))</f>
        <v/>
      </c>
      <c r="BE50" s="116">
        <f>IF(OR($K50="",$L50=""),"",IF(NETWORKDAYS(BE$5,BE$5,休日)=0,"",IF(AND(BE$5&gt;=$K50,BE$5&lt;=$L50),IF(NETWORKDAYS($K50,BE$5,休日)=1,"○",IF(NETWORKDAYS(BE$5,$L50,休日)=1,"▶","→")),"")))</f>
        <v/>
      </c>
      <c r="BF50" s="116">
        <f>IF(OR($K50="",$L50=""),"",IF(NETWORKDAYS(BF$5,BF$5,休日)=0,"",IF(AND(BF$5&gt;=$K50,BF$5&lt;=$L50),IF(NETWORKDAYS($K50,BF$5,休日)=1,"○",IF(NETWORKDAYS(BF$5,$L50,休日)=1,"▶","→")),"")))</f>
        <v/>
      </c>
      <c r="BG50" s="116">
        <f>IF(OR($K50="",$L50=""),"",IF(NETWORKDAYS(BG$5,BG$5,休日)=0,"",IF(AND(BG$5&gt;=$K50,BG$5&lt;=$L50),IF(NETWORKDAYS($K50,BG$5,休日)=1,"○",IF(NETWORKDAYS(BG$5,$L50,休日)=1,"▶","→")),"")))</f>
        <v/>
      </c>
      <c r="BH50" s="116">
        <f>IF(OR($K50="",$L50=""),"",IF(NETWORKDAYS(BH$5,BH$5,休日)=0,"",IF(AND(BH$5&gt;=$K50,BH$5&lt;=$L50),IF(NETWORKDAYS($K50,BH$5,休日)=1,"○",IF(NETWORKDAYS(BH$5,$L50,休日)=1,"▶","→")),"")))</f>
        <v/>
      </c>
      <c r="BI50" s="116">
        <f>IF(OR($K50="",$L50=""),"",IF(NETWORKDAYS(BI$5,BI$5,休日)=0,"",IF(AND(BI$5&gt;=$K50,BI$5&lt;=$L50),IF(NETWORKDAYS($K50,BI$5,休日)=1,"○",IF(NETWORKDAYS(BI$5,$L50,休日)=1,"▶","→")),"")))</f>
        <v/>
      </c>
      <c r="BJ50" s="116">
        <f>IF(OR($K50="",$L50=""),"",IF(NETWORKDAYS(BJ$5,BJ$5,休日)=0,"",IF(AND(BJ$5&gt;=$K50,BJ$5&lt;=$L50),IF(NETWORKDAYS($K50,BJ$5,休日)=1,"○",IF(NETWORKDAYS(BJ$5,$L50,休日)=1,"▶","→")),"")))</f>
        <v/>
      </c>
      <c r="BK50" s="116">
        <f>IF(OR($K50="",$L50=""),"",IF(NETWORKDAYS(BK$5,BK$5,休日)=0,"",IF(AND(BK$5&gt;=$K50,BK$5&lt;=$L50),IF(NETWORKDAYS($K50,BK$5,休日)=1,"○",IF(NETWORKDAYS(BK$5,$L50,休日)=1,"▶","→")),"")))</f>
        <v/>
      </c>
      <c r="BL50" s="116">
        <f>IF(OR($K50="",$L50=""),"",IF(NETWORKDAYS(BL$5,BL$5,休日)=0,"",IF(AND(BL$5&gt;=$K50,BL$5&lt;=$L50),IF(NETWORKDAYS($K50,BL$5,休日)=1,"○",IF(NETWORKDAYS(BL$5,$L50,休日)=1,"▶","→")),"")))</f>
        <v/>
      </c>
      <c r="BM50" s="116">
        <f>IF(OR($K50="",$L50=""),"",IF(NETWORKDAYS(BM$5,BM$5,休日)=0,"",IF(AND(BM$5&gt;=$K50,BM$5&lt;=$L50),IF(NETWORKDAYS($K50,BM$5,休日)=1,"○",IF(NETWORKDAYS(BM$5,$L50,休日)=1,"▶","→")),"")))</f>
        <v/>
      </c>
      <c r="BN50" s="116">
        <f>IF(OR($K50="",$L50=""),"",IF(NETWORKDAYS(BN$5,BN$5,休日)=0,"",IF(AND(BN$5&gt;=$K50,BN$5&lt;=$L50),IF(NETWORKDAYS($K50,BN$5,休日)=1,"○",IF(NETWORKDAYS(BN$5,$L50,休日)=1,"▶","→")),"")))</f>
        <v/>
      </c>
      <c r="BO50" s="116">
        <f>IF(OR($K50="",$L50=""),"",IF(NETWORKDAYS(BO$5,BO$5,休日)=0,"",IF(AND(BO$5&gt;=$K50,BO$5&lt;=$L50),IF(NETWORKDAYS($K50,BO$5,休日)=1,"○",IF(NETWORKDAYS(BO$5,$L50,休日)=1,"▶","→")),"")))</f>
        <v/>
      </c>
      <c r="BP50" s="116">
        <f>IF(OR($K50="",$L50=""),"",IF(NETWORKDAYS(BP$5,BP$5,休日)=0,"",IF(AND(BP$5&gt;=$K50,BP$5&lt;=$L50),IF(NETWORKDAYS($K50,BP$5,休日)=1,"○",IF(NETWORKDAYS(BP$5,$L50,休日)=1,"▶","→")),"")))</f>
        <v/>
      </c>
      <c r="BQ50" s="116">
        <f>IF(OR($K50="",$L50=""),"",IF(NETWORKDAYS(BQ$5,BQ$5,休日)=0,"",IF(AND(BQ$5&gt;=$K50,BQ$5&lt;=$L50),IF(NETWORKDAYS($K50,BQ$5,休日)=1,"○",IF(NETWORKDAYS(BQ$5,$L50,休日)=1,"▶","→")),"")))</f>
        <v/>
      </c>
      <c r="BR50" s="116">
        <f>IF(OR($K50="",$L50=""),"",IF(NETWORKDAYS(BR$5,BR$5,休日)=0,"",IF(AND(BR$5&gt;=$K50,BR$5&lt;=$L50),IF(NETWORKDAYS($K50,BR$5,休日)=1,"○",IF(NETWORKDAYS(BR$5,$L50,休日)=1,"▶","→")),"")))</f>
        <v/>
      </c>
      <c r="BS50" s="116">
        <f>IF(OR($K50="",$L50=""),"",IF(NETWORKDAYS(BS$5,BS$5,休日)=0,"",IF(AND(BS$5&gt;=$K50,BS$5&lt;=$L50),IF(NETWORKDAYS($K50,BS$5,休日)=1,"○",IF(NETWORKDAYS(BS$5,$L50,休日)=1,"▶","→")),"")))</f>
        <v/>
      </c>
      <c r="BT50" s="116">
        <f>IF(OR($K50="",$L50=""),"",IF(NETWORKDAYS(BT$5,BT$5,休日)=0,"",IF(AND(BT$5&gt;=$K50,BT$5&lt;=$L50),IF(NETWORKDAYS($K50,BT$5,休日)=1,"○",IF(NETWORKDAYS(BT$5,$L50,休日)=1,"▶","→")),"")))</f>
        <v/>
      </c>
      <c r="BU50" s="116">
        <f>IF(OR($K50="",$L50=""),"",IF(NETWORKDAYS(BU$5,BU$5,休日)=0,"",IF(AND(BU$5&gt;=$K50,BU$5&lt;=$L50),IF(NETWORKDAYS($K50,BU$5,休日)=1,"○",IF(NETWORKDAYS(BU$5,$L50,休日)=1,"▶","→")),"")))</f>
        <v/>
      </c>
      <c r="BV50" s="116">
        <f>IF(OR($K50="",$L50=""),"",IF(NETWORKDAYS(BV$5,BV$5,休日)=0,"",IF(AND(BV$5&gt;=$K50,BV$5&lt;=$L50),IF(NETWORKDAYS($K50,BV$5,休日)=1,"○",IF(NETWORKDAYS(BV$5,$L50,休日)=1,"▶","→")),"")))</f>
        <v/>
      </c>
      <c r="BW50" s="116">
        <f>IF(OR($K50="",$L50=""),"",IF(NETWORKDAYS(BW$5,BW$5,休日)=0,"",IF(AND(BW$5&gt;=$K50,BW$5&lt;=$L50),IF(NETWORKDAYS($K50,BW$5,休日)=1,"○",IF(NETWORKDAYS(BW$5,$L50,休日)=1,"▶","→")),"")))</f>
        <v/>
      </c>
      <c r="BX50" s="116">
        <f>IF(OR($K50="",$L50=""),"",IF(NETWORKDAYS(BX$5,BX$5,休日)=0,"",IF(AND(BX$5&gt;=$K50,BX$5&lt;=$L50),IF(NETWORKDAYS($K50,BX$5,休日)=1,"○",IF(NETWORKDAYS(BX$5,$L50,休日)=1,"▶","→")),"")))</f>
        <v/>
      </c>
      <c r="BY50" s="116">
        <f>IF(OR($K50="",$L50=""),"",IF(NETWORKDAYS(BY$5,BY$5,休日)=0,"",IF(AND(BY$5&gt;=$K50,BY$5&lt;=$L50),IF(NETWORKDAYS($K50,BY$5,休日)=1,"○",IF(NETWORKDAYS(BY$5,$L50,休日)=1,"▶","→")),"")))</f>
        <v/>
      </c>
      <c r="BZ50" s="116">
        <f>IF(OR($K50="",$L50=""),"",IF(NETWORKDAYS(BZ$5,BZ$5,休日)=0,"",IF(AND(BZ$5&gt;=$K50,BZ$5&lt;=$L50),IF(NETWORKDAYS($K50,BZ$5,休日)=1,"○",IF(NETWORKDAYS(BZ$5,$L50,休日)=1,"▶","→")),"")))</f>
        <v/>
      </c>
      <c r="CA50" s="116">
        <f>IF(OR($K50="",$L50=""),"",IF(NETWORKDAYS(CA$5,CA$5,休日)=0,"",IF(AND(CA$5&gt;=$K50,CA$5&lt;=$L50),IF(NETWORKDAYS($K50,CA$5,休日)=1,"○",IF(NETWORKDAYS(CA$5,$L50,休日)=1,"▶","→")),"")))</f>
        <v/>
      </c>
      <c r="CB50" s="116">
        <f>IF(OR($K50="",$L50=""),"",IF(NETWORKDAYS(CB$5,CB$5,休日)=0,"",IF(AND(CB$5&gt;=$K50,CB$5&lt;=$L50),IF(NETWORKDAYS($K50,CB$5,休日)=1,"○",IF(NETWORKDAYS(CB$5,$L50,休日)=1,"▶","→")),"")))</f>
        <v/>
      </c>
      <c r="CC50" s="116">
        <f>IF(OR($K50="",$L50=""),"",IF(NETWORKDAYS(CC$5,CC$5,休日)=0,"",IF(AND(CC$5&gt;=$K50,CC$5&lt;=$L50),IF(NETWORKDAYS($K50,CC$5,休日)=1,"○",IF(NETWORKDAYS(CC$5,$L50,休日)=1,"▶","→")),"")))</f>
        <v/>
      </c>
      <c r="CD50" s="116">
        <f>IF(OR($K50="",$L50=""),"",IF(NETWORKDAYS(CD$5,CD$5,休日)=0,"",IF(AND(CD$5&gt;=$K50,CD$5&lt;=$L50),IF(NETWORKDAYS($K50,CD$5,休日)=1,"○",IF(NETWORKDAYS(CD$5,$L50,休日)=1,"▶","→")),"")))</f>
        <v/>
      </c>
      <c r="CE50" s="116">
        <f>IF(OR($K50="",$L50=""),"",IF(NETWORKDAYS(CE$5,CE$5,休日)=0,"",IF(AND(CE$5&gt;=$K50,CE$5&lt;=$L50),IF(NETWORKDAYS($K50,CE$5,休日)=1,"○",IF(NETWORKDAYS(CE$5,$L50,休日)=1,"▶","→")),"")))</f>
        <v/>
      </c>
      <c r="CF50" s="116">
        <f>IF(OR($K50="",$L50=""),"",IF(NETWORKDAYS(CF$5,CF$5,休日)=0,"",IF(AND(CF$5&gt;=$K50,CF$5&lt;=$L50),IF(NETWORKDAYS($K50,CF$5,休日)=1,"○",IF(NETWORKDAYS(CF$5,$L50,休日)=1,"▶","→")),"")))</f>
        <v/>
      </c>
      <c r="CG50" s="116">
        <f>IF(OR($K50="",$L50=""),"",IF(NETWORKDAYS(CG$5,CG$5,休日)=0,"",IF(AND(CG$5&gt;=$K50,CG$5&lt;=$L50),IF(NETWORKDAYS($K50,CG$5,休日)=1,"○",IF(NETWORKDAYS(CG$5,$L50,休日)=1,"▶","→")),"")))</f>
        <v/>
      </c>
      <c r="CH50" s="116">
        <f>IF(OR($K50="",$L50=""),"",IF(NETWORKDAYS(CH$5,CH$5,休日)=0,"",IF(AND(CH$5&gt;=$K50,CH$5&lt;=$L50),IF(NETWORKDAYS($K50,CH$5,休日)=1,"○",IF(NETWORKDAYS(CH$5,$L50,休日)=1,"▶","→")),"")))</f>
        <v/>
      </c>
      <c r="CI50" s="116">
        <f>IF(OR($K50="",$L50=""),"",IF(NETWORKDAYS(CI$5,CI$5,休日)=0,"",IF(AND(CI$5&gt;=$K50,CI$5&lt;=$L50),IF(NETWORKDAYS($K50,CI$5,休日)=1,"○",IF(NETWORKDAYS(CI$5,$L50,休日)=1,"▶","→")),"")))</f>
        <v/>
      </c>
      <c r="CJ50" s="116">
        <f>IF(OR($K50="",$L50=""),"",IF(NETWORKDAYS(CJ$5,CJ$5,休日)=0,"",IF(AND(CJ$5&gt;=$K50,CJ$5&lt;=$L50),IF(NETWORKDAYS($K50,CJ$5,休日)=1,"○",IF(NETWORKDAYS(CJ$5,$L50,休日)=1,"▶","→")),"")))</f>
        <v/>
      </c>
      <c r="CK50" s="116">
        <f>IF(OR($K50="",$L50=""),"",IF(NETWORKDAYS(CK$5,CK$5,休日)=0,"",IF(AND(CK$5&gt;=$K50,CK$5&lt;=$L50),IF(NETWORKDAYS($K50,CK$5,休日)=1,"○",IF(NETWORKDAYS(CK$5,$L50,休日)=1,"▶","→")),"")))</f>
        <v/>
      </c>
      <c r="CL50" s="116">
        <f>IF(OR($K50="",$L50=""),"",IF(NETWORKDAYS(CL$5,CL$5,休日)=0,"",IF(AND(CL$5&gt;=$K50,CL$5&lt;=$L50),IF(NETWORKDAYS($K50,CL$5,休日)=1,"○",IF(NETWORKDAYS(CL$5,$L50,休日)=1,"▶","→")),"")))</f>
        <v/>
      </c>
      <c r="CM50" s="116">
        <f>IF(OR($K50="",$L50=""),"",IF(NETWORKDAYS(CM$5,CM$5,休日)=0,"",IF(AND(CM$5&gt;=$K50,CM$5&lt;=$L50),IF(NETWORKDAYS($K50,CM$5,休日)=1,"○",IF(NETWORKDAYS(CM$5,$L50,休日)=1,"▶","→")),"")))</f>
        <v/>
      </c>
      <c r="CN50" s="116">
        <f>IF(OR($K50="",$L50=""),"",IF(NETWORKDAYS(CN$5,CN$5,休日)=0,"",IF(AND(CN$5&gt;=$K50,CN$5&lt;=$L50),IF(NETWORKDAYS($K50,CN$5,休日)=1,"○",IF(NETWORKDAYS(CN$5,$L50,休日)=1,"▶","→")),"")))</f>
        <v/>
      </c>
      <c r="CO50" s="116">
        <f>IF(OR($K50="",$L50=""),"",IF(NETWORKDAYS(CO$5,CO$5,休日)=0,"",IF(AND(CO$5&gt;=$K50,CO$5&lt;=$L50),IF(NETWORKDAYS($K50,CO$5,休日)=1,"○",IF(NETWORKDAYS(CO$5,$L50,休日)=1,"▶","→")),"")))</f>
        <v/>
      </c>
    </row>
    <row r="51" ht="32" customHeight="1" s="98">
      <c r="A51" s="5" t="n"/>
      <c r="B51" s="100" t="inlineStr">
        <is>
          <t>4.1.5</t>
        </is>
      </c>
      <c r="C51" s="101" t="inlineStr">
        <is>
          <t>単体テスト</t>
        </is>
      </c>
      <c r="D51" s="101" t="inlineStr">
        <is>
          <t>Layer①</t>
        </is>
      </c>
      <c r="E51" s="101" t="inlineStr">
        <is>
          <t>発注勧告を生鮮統合発注用に変換</t>
        </is>
      </c>
      <c r="F51" s="101" t="inlineStr">
        <is>
          <t>発注勧告を生鮮統合発注用に変換</t>
        </is>
      </c>
      <c r="G51" s="100" t="inlineStr">
        <is>
          <t>新規</t>
        </is>
      </c>
      <c r="H51" s="100" t="inlineStr">
        <is>
          <t>未定</t>
        </is>
      </c>
      <c r="I51" s="113" t="n">
        <v>4</v>
      </c>
      <c r="J51" s="100" t="inlineStr">
        <is>
          <t>－</t>
        </is>
      </c>
      <c r="K51" s="114" t="n">
        <v>46363</v>
      </c>
      <c r="L51" s="114" t="n">
        <v>46381</v>
      </c>
      <c r="M51" s="114" t="n"/>
      <c r="N51" s="114" t="n"/>
      <c r="O51" s="100" t="inlineStr">
        <is>
          <t>未着手</t>
        </is>
      </c>
      <c r="P51" s="115" t="n">
        <v>0</v>
      </c>
      <c r="Q51" s="100" t="inlineStr">
        <is>
          <t>－</t>
        </is>
      </c>
      <c r="R51" s="101" t="inlineStr">
        <is>
          <t>出典は塊として12/7–12/25。IFごとの日付は分割されていない。担当は未定</t>
        </is>
      </c>
      <c r="S51" s="116">
        <f>IF(OR($K51="",$L51=""),"",IF(NETWORKDAYS(S$5,S$5,休日)=0,"",IF(AND(S$5&gt;=$K51,S$5&lt;=$L51),IF(NETWORKDAYS($K51,S$5,休日)=1,"○",IF(NETWORKDAYS(S$5,$L51,休日)=1,"▶","→")),"")))</f>
        <v/>
      </c>
      <c r="T51" s="116">
        <f>IF(OR($K51="",$L51=""),"",IF(NETWORKDAYS(T$5,T$5,休日)=0,"",IF(AND(T$5&gt;=$K51,T$5&lt;=$L51),IF(NETWORKDAYS($K51,T$5,休日)=1,"○",IF(NETWORKDAYS(T$5,$L51,休日)=1,"▶","→")),"")))</f>
        <v/>
      </c>
      <c r="U51" s="116">
        <f>IF(OR($K51="",$L51=""),"",IF(NETWORKDAYS(U$5,U$5,休日)=0,"",IF(AND(U$5&gt;=$K51,U$5&lt;=$L51),IF(NETWORKDAYS($K51,U$5,休日)=1,"○",IF(NETWORKDAYS(U$5,$L51,休日)=1,"▶","→")),"")))</f>
        <v/>
      </c>
      <c r="V51" s="116">
        <f>IF(OR($K51="",$L51=""),"",IF(NETWORKDAYS(V$5,V$5,休日)=0,"",IF(AND(V$5&gt;=$K51,V$5&lt;=$L51),IF(NETWORKDAYS($K51,V$5,休日)=1,"○",IF(NETWORKDAYS(V$5,$L51,休日)=1,"▶","→")),"")))</f>
        <v/>
      </c>
      <c r="W51" s="116">
        <f>IF(OR($K51="",$L51=""),"",IF(NETWORKDAYS(W$5,W$5,休日)=0,"",IF(AND(W$5&gt;=$K51,W$5&lt;=$L51),IF(NETWORKDAYS($K51,W$5,休日)=1,"○",IF(NETWORKDAYS(W$5,$L51,休日)=1,"▶","→")),"")))</f>
        <v/>
      </c>
      <c r="X51" s="116">
        <f>IF(OR($K51="",$L51=""),"",IF(NETWORKDAYS(X$5,X$5,休日)=0,"",IF(AND(X$5&gt;=$K51,X$5&lt;=$L51),IF(NETWORKDAYS($K51,X$5,休日)=1,"○",IF(NETWORKDAYS(X$5,$L51,休日)=1,"▶","→")),"")))</f>
        <v/>
      </c>
      <c r="Y51" s="116">
        <f>IF(OR($K51="",$L51=""),"",IF(NETWORKDAYS(Y$5,Y$5,休日)=0,"",IF(AND(Y$5&gt;=$K51,Y$5&lt;=$L51),IF(NETWORKDAYS($K51,Y$5,休日)=1,"○",IF(NETWORKDAYS(Y$5,$L51,休日)=1,"▶","→")),"")))</f>
        <v/>
      </c>
      <c r="Z51" s="116">
        <f>IF(OR($K51="",$L51=""),"",IF(NETWORKDAYS(Z$5,Z$5,休日)=0,"",IF(AND(Z$5&gt;=$K51,Z$5&lt;=$L51),IF(NETWORKDAYS($K51,Z$5,休日)=1,"○",IF(NETWORKDAYS(Z$5,$L51,休日)=1,"▶","→")),"")))</f>
        <v/>
      </c>
      <c r="AA51" s="116">
        <f>IF(OR($K51="",$L51=""),"",IF(NETWORKDAYS(AA$5,AA$5,休日)=0,"",IF(AND(AA$5&gt;=$K51,AA$5&lt;=$L51),IF(NETWORKDAYS($K51,AA$5,休日)=1,"○",IF(NETWORKDAYS(AA$5,$L51,休日)=1,"▶","→")),"")))</f>
        <v/>
      </c>
      <c r="AB51" s="116">
        <f>IF(OR($K51="",$L51=""),"",IF(NETWORKDAYS(AB$5,AB$5,休日)=0,"",IF(AND(AB$5&gt;=$K51,AB$5&lt;=$L51),IF(NETWORKDAYS($K51,AB$5,休日)=1,"○",IF(NETWORKDAYS(AB$5,$L51,休日)=1,"▶","→")),"")))</f>
        <v/>
      </c>
      <c r="AC51" s="116">
        <f>IF(OR($K51="",$L51=""),"",IF(NETWORKDAYS(AC$5,AC$5,休日)=0,"",IF(AND(AC$5&gt;=$K51,AC$5&lt;=$L51),IF(NETWORKDAYS($K51,AC$5,休日)=1,"○",IF(NETWORKDAYS(AC$5,$L51,休日)=1,"▶","→")),"")))</f>
        <v/>
      </c>
      <c r="AD51" s="116">
        <f>IF(OR($K51="",$L51=""),"",IF(NETWORKDAYS(AD$5,AD$5,休日)=0,"",IF(AND(AD$5&gt;=$K51,AD$5&lt;=$L51),IF(NETWORKDAYS($K51,AD$5,休日)=1,"○",IF(NETWORKDAYS(AD$5,$L51,休日)=1,"▶","→")),"")))</f>
        <v/>
      </c>
      <c r="AE51" s="116">
        <f>IF(OR($K51="",$L51=""),"",IF(NETWORKDAYS(AE$5,AE$5,休日)=0,"",IF(AND(AE$5&gt;=$K51,AE$5&lt;=$L51),IF(NETWORKDAYS($K51,AE$5,休日)=1,"○",IF(NETWORKDAYS(AE$5,$L51,休日)=1,"▶","→")),"")))</f>
        <v/>
      </c>
      <c r="AF51" s="116">
        <f>IF(OR($K51="",$L51=""),"",IF(NETWORKDAYS(AF$5,AF$5,休日)=0,"",IF(AND(AF$5&gt;=$K51,AF$5&lt;=$L51),IF(NETWORKDAYS($K51,AF$5,休日)=1,"○",IF(NETWORKDAYS(AF$5,$L51,休日)=1,"▶","→")),"")))</f>
        <v/>
      </c>
      <c r="AG51" s="116">
        <f>IF(OR($K51="",$L51=""),"",IF(NETWORKDAYS(AG$5,AG$5,休日)=0,"",IF(AND(AG$5&gt;=$K51,AG$5&lt;=$L51),IF(NETWORKDAYS($K51,AG$5,休日)=1,"○",IF(NETWORKDAYS(AG$5,$L51,休日)=1,"▶","→")),"")))</f>
        <v/>
      </c>
      <c r="AH51" s="116">
        <f>IF(OR($K51="",$L51=""),"",IF(NETWORKDAYS(AH$5,AH$5,休日)=0,"",IF(AND(AH$5&gt;=$K51,AH$5&lt;=$L51),IF(NETWORKDAYS($K51,AH$5,休日)=1,"○",IF(NETWORKDAYS(AH$5,$L51,休日)=1,"▶","→")),"")))</f>
        <v/>
      </c>
      <c r="AI51" s="116">
        <f>IF(OR($K51="",$L51=""),"",IF(NETWORKDAYS(AI$5,AI$5,休日)=0,"",IF(AND(AI$5&gt;=$K51,AI$5&lt;=$L51),IF(NETWORKDAYS($K51,AI$5,休日)=1,"○",IF(NETWORKDAYS(AI$5,$L51,休日)=1,"▶","→")),"")))</f>
        <v/>
      </c>
      <c r="AJ51" s="116">
        <f>IF(OR($K51="",$L51=""),"",IF(NETWORKDAYS(AJ$5,AJ$5,休日)=0,"",IF(AND(AJ$5&gt;=$K51,AJ$5&lt;=$L51),IF(NETWORKDAYS($K51,AJ$5,休日)=1,"○",IF(NETWORKDAYS(AJ$5,$L51,休日)=1,"▶","→")),"")))</f>
        <v/>
      </c>
      <c r="AK51" s="116">
        <f>IF(OR($K51="",$L51=""),"",IF(NETWORKDAYS(AK$5,AK$5,休日)=0,"",IF(AND(AK$5&gt;=$K51,AK$5&lt;=$L51),IF(NETWORKDAYS($K51,AK$5,休日)=1,"○",IF(NETWORKDAYS(AK$5,$L51,休日)=1,"▶","→")),"")))</f>
        <v/>
      </c>
      <c r="AL51" s="116">
        <f>IF(OR($K51="",$L51=""),"",IF(NETWORKDAYS(AL$5,AL$5,休日)=0,"",IF(AND(AL$5&gt;=$K51,AL$5&lt;=$L51),IF(NETWORKDAYS($K51,AL$5,休日)=1,"○",IF(NETWORKDAYS(AL$5,$L51,休日)=1,"▶","→")),"")))</f>
        <v/>
      </c>
      <c r="AM51" s="116">
        <f>IF(OR($K51="",$L51=""),"",IF(NETWORKDAYS(AM$5,AM$5,休日)=0,"",IF(AND(AM$5&gt;=$K51,AM$5&lt;=$L51),IF(NETWORKDAYS($K51,AM$5,休日)=1,"○",IF(NETWORKDAYS(AM$5,$L51,休日)=1,"▶","→")),"")))</f>
        <v/>
      </c>
      <c r="AN51" s="116">
        <f>IF(OR($K51="",$L51=""),"",IF(NETWORKDAYS(AN$5,AN$5,休日)=0,"",IF(AND(AN$5&gt;=$K51,AN$5&lt;=$L51),IF(NETWORKDAYS($K51,AN$5,休日)=1,"○",IF(NETWORKDAYS(AN$5,$L51,休日)=1,"▶","→")),"")))</f>
        <v/>
      </c>
      <c r="AO51" s="116">
        <f>IF(OR($K51="",$L51=""),"",IF(NETWORKDAYS(AO$5,AO$5,休日)=0,"",IF(AND(AO$5&gt;=$K51,AO$5&lt;=$L51),IF(NETWORKDAYS($K51,AO$5,休日)=1,"○",IF(NETWORKDAYS(AO$5,$L51,休日)=1,"▶","→")),"")))</f>
        <v/>
      </c>
      <c r="AP51" s="116">
        <f>IF(OR($K51="",$L51=""),"",IF(NETWORKDAYS(AP$5,AP$5,休日)=0,"",IF(AND(AP$5&gt;=$K51,AP$5&lt;=$L51),IF(NETWORKDAYS($K51,AP$5,休日)=1,"○",IF(NETWORKDAYS(AP$5,$L51,休日)=1,"▶","→")),"")))</f>
        <v/>
      </c>
      <c r="AQ51" s="116">
        <f>IF(OR($K51="",$L51=""),"",IF(NETWORKDAYS(AQ$5,AQ$5,休日)=0,"",IF(AND(AQ$5&gt;=$K51,AQ$5&lt;=$L51),IF(NETWORKDAYS($K51,AQ$5,休日)=1,"○",IF(NETWORKDAYS(AQ$5,$L51,休日)=1,"▶","→")),"")))</f>
        <v/>
      </c>
      <c r="AR51" s="116">
        <f>IF(OR($K51="",$L51=""),"",IF(NETWORKDAYS(AR$5,AR$5,休日)=0,"",IF(AND(AR$5&gt;=$K51,AR$5&lt;=$L51),IF(NETWORKDAYS($K51,AR$5,休日)=1,"○",IF(NETWORKDAYS(AR$5,$L51,休日)=1,"▶","→")),"")))</f>
        <v/>
      </c>
      <c r="AS51" s="116">
        <f>IF(OR($K51="",$L51=""),"",IF(NETWORKDAYS(AS$5,AS$5,休日)=0,"",IF(AND(AS$5&gt;=$K51,AS$5&lt;=$L51),IF(NETWORKDAYS($K51,AS$5,休日)=1,"○",IF(NETWORKDAYS(AS$5,$L51,休日)=1,"▶","→")),"")))</f>
        <v/>
      </c>
      <c r="AT51" s="116">
        <f>IF(OR($K51="",$L51=""),"",IF(NETWORKDAYS(AT$5,AT$5,休日)=0,"",IF(AND(AT$5&gt;=$K51,AT$5&lt;=$L51),IF(NETWORKDAYS($K51,AT$5,休日)=1,"○",IF(NETWORKDAYS(AT$5,$L51,休日)=1,"▶","→")),"")))</f>
        <v/>
      </c>
      <c r="AU51" s="116">
        <f>IF(OR($K51="",$L51=""),"",IF(NETWORKDAYS(AU$5,AU$5,休日)=0,"",IF(AND(AU$5&gt;=$K51,AU$5&lt;=$L51),IF(NETWORKDAYS($K51,AU$5,休日)=1,"○",IF(NETWORKDAYS(AU$5,$L51,休日)=1,"▶","→")),"")))</f>
        <v/>
      </c>
      <c r="AV51" s="116">
        <f>IF(OR($K51="",$L51=""),"",IF(NETWORKDAYS(AV$5,AV$5,休日)=0,"",IF(AND(AV$5&gt;=$K51,AV$5&lt;=$L51),IF(NETWORKDAYS($K51,AV$5,休日)=1,"○",IF(NETWORKDAYS(AV$5,$L51,休日)=1,"▶","→")),"")))</f>
        <v/>
      </c>
      <c r="AW51" s="116">
        <f>IF(OR($K51="",$L51=""),"",IF(NETWORKDAYS(AW$5,AW$5,休日)=0,"",IF(AND(AW$5&gt;=$K51,AW$5&lt;=$L51),IF(NETWORKDAYS($K51,AW$5,休日)=1,"○",IF(NETWORKDAYS(AW$5,$L51,休日)=1,"▶","→")),"")))</f>
        <v/>
      </c>
      <c r="AX51" s="116">
        <f>IF(OR($K51="",$L51=""),"",IF(NETWORKDAYS(AX$5,AX$5,休日)=0,"",IF(AND(AX$5&gt;=$K51,AX$5&lt;=$L51),IF(NETWORKDAYS($K51,AX$5,休日)=1,"○",IF(NETWORKDAYS(AX$5,$L51,休日)=1,"▶","→")),"")))</f>
        <v/>
      </c>
      <c r="AY51" s="116">
        <f>IF(OR($K51="",$L51=""),"",IF(NETWORKDAYS(AY$5,AY$5,休日)=0,"",IF(AND(AY$5&gt;=$K51,AY$5&lt;=$L51),IF(NETWORKDAYS($K51,AY$5,休日)=1,"○",IF(NETWORKDAYS(AY$5,$L51,休日)=1,"▶","→")),"")))</f>
        <v/>
      </c>
      <c r="AZ51" s="116">
        <f>IF(OR($K51="",$L51=""),"",IF(NETWORKDAYS(AZ$5,AZ$5,休日)=0,"",IF(AND(AZ$5&gt;=$K51,AZ$5&lt;=$L51),IF(NETWORKDAYS($K51,AZ$5,休日)=1,"○",IF(NETWORKDAYS(AZ$5,$L51,休日)=1,"▶","→")),"")))</f>
        <v/>
      </c>
      <c r="BA51" s="116">
        <f>IF(OR($K51="",$L51=""),"",IF(NETWORKDAYS(BA$5,BA$5,休日)=0,"",IF(AND(BA$5&gt;=$K51,BA$5&lt;=$L51),IF(NETWORKDAYS($K51,BA$5,休日)=1,"○",IF(NETWORKDAYS(BA$5,$L51,休日)=1,"▶","→")),"")))</f>
        <v/>
      </c>
      <c r="BB51" s="116">
        <f>IF(OR($K51="",$L51=""),"",IF(NETWORKDAYS(BB$5,BB$5,休日)=0,"",IF(AND(BB$5&gt;=$K51,BB$5&lt;=$L51),IF(NETWORKDAYS($K51,BB$5,休日)=1,"○",IF(NETWORKDAYS(BB$5,$L51,休日)=1,"▶","→")),"")))</f>
        <v/>
      </c>
      <c r="BC51" s="116">
        <f>IF(OR($K51="",$L51=""),"",IF(NETWORKDAYS(BC$5,BC$5,休日)=0,"",IF(AND(BC$5&gt;=$K51,BC$5&lt;=$L51),IF(NETWORKDAYS($K51,BC$5,休日)=1,"○",IF(NETWORKDAYS(BC$5,$L51,休日)=1,"▶","→")),"")))</f>
        <v/>
      </c>
      <c r="BD51" s="116">
        <f>IF(OR($K51="",$L51=""),"",IF(NETWORKDAYS(BD$5,BD$5,休日)=0,"",IF(AND(BD$5&gt;=$K51,BD$5&lt;=$L51),IF(NETWORKDAYS($K51,BD$5,休日)=1,"○",IF(NETWORKDAYS(BD$5,$L51,休日)=1,"▶","→")),"")))</f>
        <v/>
      </c>
      <c r="BE51" s="116">
        <f>IF(OR($K51="",$L51=""),"",IF(NETWORKDAYS(BE$5,BE$5,休日)=0,"",IF(AND(BE$5&gt;=$K51,BE$5&lt;=$L51),IF(NETWORKDAYS($K51,BE$5,休日)=1,"○",IF(NETWORKDAYS(BE$5,$L51,休日)=1,"▶","→")),"")))</f>
        <v/>
      </c>
      <c r="BF51" s="116">
        <f>IF(OR($K51="",$L51=""),"",IF(NETWORKDAYS(BF$5,BF$5,休日)=0,"",IF(AND(BF$5&gt;=$K51,BF$5&lt;=$L51),IF(NETWORKDAYS($K51,BF$5,休日)=1,"○",IF(NETWORKDAYS(BF$5,$L51,休日)=1,"▶","→")),"")))</f>
        <v/>
      </c>
      <c r="BG51" s="116">
        <f>IF(OR($K51="",$L51=""),"",IF(NETWORKDAYS(BG$5,BG$5,休日)=0,"",IF(AND(BG$5&gt;=$K51,BG$5&lt;=$L51),IF(NETWORKDAYS($K51,BG$5,休日)=1,"○",IF(NETWORKDAYS(BG$5,$L51,休日)=1,"▶","→")),"")))</f>
        <v/>
      </c>
      <c r="BH51" s="116">
        <f>IF(OR($K51="",$L51=""),"",IF(NETWORKDAYS(BH$5,BH$5,休日)=0,"",IF(AND(BH$5&gt;=$K51,BH$5&lt;=$L51),IF(NETWORKDAYS($K51,BH$5,休日)=1,"○",IF(NETWORKDAYS(BH$5,$L51,休日)=1,"▶","→")),"")))</f>
        <v/>
      </c>
      <c r="BI51" s="116">
        <f>IF(OR($K51="",$L51=""),"",IF(NETWORKDAYS(BI$5,BI$5,休日)=0,"",IF(AND(BI$5&gt;=$K51,BI$5&lt;=$L51),IF(NETWORKDAYS($K51,BI$5,休日)=1,"○",IF(NETWORKDAYS(BI$5,$L51,休日)=1,"▶","→")),"")))</f>
        <v/>
      </c>
      <c r="BJ51" s="116">
        <f>IF(OR($K51="",$L51=""),"",IF(NETWORKDAYS(BJ$5,BJ$5,休日)=0,"",IF(AND(BJ$5&gt;=$K51,BJ$5&lt;=$L51),IF(NETWORKDAYS($K51,BJ$5,休日)=1,"○",IF(NETWORKDAYS(BJ$5,$L51,休日)=1,"▶","→")),"")))</f>
        <v/>
      </c>
      <c r="BK51" s="116">
        <f>IF(OR($K51="",$L51=""),"",IF(NETWORKDAYS(BK$5,BK$5,休日)=0,"",IF(AND(BK$5&gt;=$K51,BK$5&lt;=$L51),IF(NETWORKDAYS($K51,BK$5,休日)=1,"○",IF(NETWORKDAYS(BK$5,$L51,休日)=1,"▶","→")),"")))</f>
        <v/>
      </c>
      <c r="BL51" s="116">
        <f>IF(OR($K51="",$L51=""),"",IF(NETWORKDAYS(BL$5,BL$5,休日)=0,"",IF(AND(BL$5&gt;=$K51,BL$5&lt;=$L51),IF(NETWORKDAYS($K51,BL$5,休日)=1,"○",IF(NETWORKDAYS(BL$5,$L51,休日)=1,"▶","→")),"")))</f>
        <v/>
      </c>
      <c r="BM51" s="116">
        <f>IF(OR($K51="",$L51=""),"",IF(NETWORKDAYS(BM$5,BM$5,休日)=0,"",IF(AND(BM$5&gt;=$K51,BM$5&lt;=$L51),IF(NETWORKDAYS($K51,BM$5,休日)=1,"○",IF(NETWORKDAYS(BM$5,$L51,休日)=1,"▶","→")),"")))</f>
        <v/>
      </c>
      <c r="BN51" s="116">
        <f>IF(OR($K51="",$L51=""),"",IF(NETWORKDAYS(BN$5,BN$5,休日)=0,"",IF(AND(BN$5&gt;=$K51,BN$5&lt;=$L51),IF(NETWORKDAYS($K51,BN$5,休日)=1,"○",IF(NETWORKDAYS(BN$5,$L51,休日)=1,"▶","→")),"")))</f>
        <v/>
      </c>
      <c r="BO51" s="116">
        <f>IF(OR($K51="",$L51=""),"",IF(NETWORKDAYS(BO$5,BO$5,休日)=0,"",IF(AND(BO$5&gt;=$K51,BO$5&lt;=$L51),IF(NETWORKDAYS($K51,BO$5,休日)=1,"○",IF(NETWORKDAYS(BO$5,$L51,休日)=1,"▶","→")),"")))</f>
        <v/>
      </c>
      <c r="BP51" s="116">
        <f>IF(OR($K51="",$L51=""),"",IF(NETWORKDAYS(BP$5,BP$5,休日)=0,"",IF(AND(BP$5&gt;=$K51,BP$5&lt;=$L51),IF(NETWORKDAYS($K51,BP$5,休日)=1,"○",IF(NETWORKDAYS(BP$5,$L51,休日)=1,"▶","→")),"")))</f>
        <v/>
      </c>
      <c r="BQ51" s="116">
        <f>IF(OR($K51="",$L51=""),"",IF(NETWORKDAYS(BQ$5,BQ$5,休日)=0,"",IF(AND(BQ$5&gt;=$K51,BQ$5&lt;=$L51),IF(NETWORKDAYS($K51,BQ$5,休日)=1,"○",IF(NETWORKDAYS(BQ$5,$L51,休日)=1,"▶","→")),"")))</f>
        <v/>
      </c>
      <c r="BR51" s="116">
        <f>IF(OR($K51="",$L51=""),"",IF(NETWORKDAYS(BR$5,BR$5,休日)=0,"",IF(AND(BR$5&gt;=$K51,BR$5&lt;=$L51),IF(NETWORKDAYS($K51,BR$5,休日)=1,"○",IF(NETWORKDAYS(BR$5,$L51,休日)=1,"▶","→")),"")))</f>
        <v/>
      </c>
      <c r="BS51" s="116">
        <f>IF(OR($K51="",$L51=""),"",IF(NETWORKDAYS(BS$5,BS$5,休日)=0,"",IF(AND(BS$5&gt;=$K51,BS$5&lt;=$L51),IF(NETWORKDAYS($K51,BS$5,休日)=1,"○",IF(NETWORKDAYS(BS$5,$L51,休日)=1,"▶","→")),"")))</f>
        <v/>
      </c>
      <c r="BT51" s="116">
        <f>IF(OR($K51="",$L51=""),"",IF(NETWORKDAYS(BT$5,BT$5,休日)=0,"",IF(AND(BT$5&gt;=$K51,BT$5&lt;=$L51),IF(NETWORKDAYS($K51,BT$5,休日)=1,"○",IF(NETWORKDAYS(BT$5,$L51,休日)=1,"▶","→")),"")))</f>
        <v/>
      </c>
      <c r="BU51" s="116">
        <f>IF(OR($K51="",$L51=""),"",IF(NETWORKDAYS(BU$5,BU$5,休日)=0,"",IF(AND(BU$5&gt;=$K51,BU$5&lt;=$L51),IF(NETWORKDAYS($K51,BU$5,休日)=1,"○",IF(NETWORKDAYS(BU$5,$L51,休日)=1,"▶","→")),"")))</f>
        <v/>
      </c>
      <c r="BV51" s="116">
        <f>IF(OR($K51="",$L51=""),"",IF(NETWORKDAYS(BV$5,BV$5,休日)=0,"",IF(AND(BV$5&gt;=$K51,BV$5&lt;=$L51),IF(NETWORKDAYS($K51,BV$5,休日)=1,"○",IF(NETWORKDAYS(BV$5,$L51,休日)=1,"▶","→")),"")))</f>
        <v/>
      </c>
      <c r="BW51" s="116">
        <f>IF(OR($K51="",$L51=""),"",IF(NETWORKDAYS(BW$5,BW$5,休日)=0,"",IF(AND(BW$5&gt;=$K51,BW$5&lt;=$L51),IF(NETWORKDAYS($K51,BW$5,休日)=1,"○",IF(NETWORKDAYS(BW$5,$L51,休日)=1,"▶","→")),"")))</f>
        <v/>
      </c>
      <c r="BX51" s="116">
        <f>IF(OR($K51="",$L51=""),"",IF(NETWORKDAYS(BX$5,BX$5,休日)=0,"",IF(AND(BX$5&gt;=$K51,BX$5&lt;=$L51),IF(NETWORKDAYS($K51,BX$5,休日)=1,"○",IF(NETWORKDAYS(BX$5,$L51,休日)=1,"▶","→")),"")))</f>
        <v/>
      </c>
      <c r="BY51" s="116">
        <f>IF(OR($K51="",$L51=""),"",IF(NETWORKDAYS(BY$5,BY$5,休日)=0,"",IF(AND(BY$5&gt;=$K51,BY$5&lt;=$L51),IF(NETWORKDAYS($K51,BY$5,休日)=1,"○",IF(NETWORKDAYS(BY$5,$L51,休日)=1,"▶","→")),"")))</f>
        <v/>
      </c>
      <c r="BZ51" s="116">
        <f>IF(OR($K51="",$L51=""),"",IF(NETWORKDAYS(BZ$5,BZ$5,休日)=0,"",IF(AND(BZ$5&gt;=$K51,BZ$5&lt;=$L51),IF(NETWORKDAYS($K51,BZ$5,休日)=1,"○",IF(NETWORKDAYS(BZ$5,$L51,休日)=1,"▶","→")),"")))</f>
        <v/>
      </c>
      <c r="CA51" s="116">
        <f>IF(OR($K51="",$L51=""),"",IF(NETWORKDAYS(CA$5,CA$5,休日)=0,"",IF(AND(CA$5&gt;=$K51,CA$5&lt;=$L51),IF(NETWORKDAYS($K51,CA$5,休日)=1,"○",IF(NETWORKDAYS(CA$5,$L51,休日)=1,"▶","→")),"")))</f>
        <v/>
      </c>
      <c r="CB51" s="116">
        <f>IF(OR($K51="",$L51=""),"",IF(NETWORKDAYS(CB$5,CB$5,休日)=0,"",IF(AND(CB$5&gt;=$K51,CB$5&lt;=$L51),IF(NETWORKDAYS($K51,CB$5,休日)=1,"○",IF(NETWORKDAYS(CB$5,$L51,休日)=1,"▶","→")),"")))</f>
        <v/>
      </c>
      <c r="CC51" s="116">
        <f>IF(OR($K51="",$L51=""),"",IF(NETWORKDAYS(CC$5,CC$5,休日)=0,"",IF(AND(CC$5&gt;=$K51,CC$5&lt;=$L51),IF(NETWORKDAYS($K51,CC$5,休日)=1,"○",IF(NETWORKDAYS(CC$5,$L51,休日)=1,"▶","→")),"")))</f>
        <v/>
      </c>
      <c r="CD51" s="116">
        <f>IF(OR($K51="",$L51=""),"",IF(NETWORKDAYS(CD$5,CD$5,休日)=0,"",IF(AND(CD$5&gt;=$K51,CD$5&lt;=$L51),IF(NETWORKDAYS($K51,CD$5,休日)=1,"○",IF(NETWORKDAYS(CD$5,$L51,休日)=1,"▶","→")),"")))</f>
        <v/>
      </c>
      <c r="CE51" s="116">
        <f>IF(OR($K51="",$L51=""),"",IF(NETWORKDAYS(CE$5,CE$5,休日)=0,"",IF(AND(CE$5&gt;=$K51,CE$5&lt;=$L51),IF(NETWORKDAYS($K51,CE$5,休日)=1,"○",IF(NETWORKDAYS(CE$5,$L51,休日)=1,"▶","→")),"")))</f>
        <v/>
      </c>
      <c r="CF51" s="116">
        <f>IF(OR($K51="",$L51=""),"",IF(NETWORKDAYS(CF$5,CF$5,休日)=0,"",IF(AND(CF$5&gt;=$K51,CF$5&lt;=$L51),IF(NETWORKDAYS($K51,CF$5,休日)=1,"○",IF(NETWORKDAYS(CF$5,$L51,休日)=1,"▶","→")),"")))</f>
        <v/>
      </c>
      <c r="CG51" s="116">
        <f>IF(OR($K51="",$L51=""),"",IF(NETWORKDAYS(CG$5,CG$5,休日)=0,"",IF(AND(CG$5&gt;=$K51,CG$5&lt;=$L51),IF(NETWORKDAYS($K51,CG$5,休日)=1,"○",IF(NETWORKDAYS(CG$5,$L51,休日)=1,"▶","→")),"")))</f>
        <v/>
      </c>
      <c r="CH51" s="116">
        <f>IF(OR($K51="",$L51=""),"",IF(NETWORKDAYS(CH$5,CH$5,休日)=0,"",IF(AND(CH$5&gt;=$K51,CH$5&lt;=$L51),IF(NETWORKDAYS($K51,CH$5,休日)=1,"○",IF(NETWORKDAYS(CH$5,$L51,休日)=1,"▶","→")),"")))</f>
        <v/>
      </c>
      <c r="CI51" s="116">
        <f>IF(OR($K51="",$L51=""),"",IF(NETWORKDAYS(CI$5,CI$5,休日)=0,"",IF(AND(CI$5&gt;=$K51,CI$5&lt;=$L51),IF(NETWORKDAYS($K51,CI$5,休日)=1,"○",IF(NETWORKDAYS(CI$5,$L51,休日)=1,"▶","→")),"")))</f>
        <v/>
      </c>
      <c r="CJ51" s="116">
        <f>IF(OR($K51="",$L51=""),"",IF(NETWORKDAYS(CJ$5,CJ$5,休日)=0,"",IF(AND(CJ$5&gt;=$K51,CJ$5&lt;=$L51),IF(NETWORKDAYS($K51,CJ$5,休日)=1,"○",IF(NETWORKDAYS(CJ$5,$L51,休日)=1,"▶","→")),"")))</f>
        <v/>
      </c>
      <c r="CK51" s="116">
        <f>IF(OR($K51="",$L51=""),"",IF(NETWORKDAYS(CK$5,CK$5,休日)=0,"",IF(AND(CK$5&gt;=$K51,CK$5&lt;=$L51),IF(NETWORKDAYS($K51,CK$5,休日)=1,"○",IF(NETWORKDAYS(CK$5,$L51,休日)=1,"▶","→")),"")))</f>
        <v/>
      </c>
      <c r="CL51" s="116">
        <f>IF(OR($K51="",$L51=""),"",IF(NETWORKDAYS(CL$5,CL$5,休日)=0,"",IF(AND(CL$5&gt;=$K51,CL$5&lt;=$L51),IF(NETWORKDAYS($K51,CL$5,休日)=1,"○",IF(NETWORKDAYS(CL$5,$L51,休日)=1,"▶","→")),"")))</f>
        <v/>
      </c>
      <c r="CM51" s="116">
        <f>IF(OR($K51="",$L51=""),"",IF(NETWORKDAYS(CM$5,CM$5,休日)=0,"",IF(AND(CM$5&gt;=$K51,CM$5&lt;=$L51),IF(NETWORKDAYS($K51,CM$5,休日)=1,"○",IF(NETWORKDAYS(CM$5,$L51,休日)=1,"▶","→")),"")))</f>
        <v/>
      </c>
      <c r="CN51" s="116">
        <f>IF(OR($K51="",$L51=""),"",IF(NETWORKDAYS(CN$5,CN$5,休日)=0,"",IF(AND(CN$5&gt;=$K51,CN$5&lt;=$L51),IF(NETWORKDAYS($K51,CN$5,休日)=1,"○",IF(NETWORKDAYS(CN$5,$L51,休日)=1,"▶","→")),"")))</f>
        <v/>
      </c>
      <c r="CO51" s="116">
        <f>IF(OR($K51="",$L51=""),"",IF(NETWORKDAYS(CO$5,CO$5,休日)=0,"",IF(AND(CO$5&gt;=$K51,CO$5&lt;=$L51),IF(NETWORKDAYS($K51,CO$5,休日)=1,"○",IF(NETWORKDAYS(CO$5,$L51,休日)=1,"▶","→")),"")))</f>
        <v/>
      </c>
    </row>
    <row r="52" ht="32" customHeight="1" s="98">
      <c r="A52" s="5" t="n"/>
      <c r="B52" s="100" t="inlineStr">
        <is>
          <t>4.1.6</t>
        </is>
      </c>
      <c r="C52" s="101" t="inlineStr">
        <is>
          <t>単体テスト</t>
        </is>
      </c>
      <c r="D52" s="101" t="inlineStr">
        <is>
          <t>Layer③</t>
        </is>
      </c>
      <c r="E52" s="101" t="inlineStr">
        <is>
          <t>発注勧告を生鮮統合発注用に変換</t>
        </is>
      </c>
      <c r="F52" s="101" t="inlineStr">
        <is>
          <t>発注勧告を生鮮統合発注用に変換</t>
        </is>
      </c>
      <c r="G52" s="100" t="inlineStr">
        <is>
          <t>新規</t>
        </is>
      </c>
      <c r="H52" s="100" t="inlineStr">
        <is>
          <t>未定</t>
        </is>
      </c>
      <c r="I52" s="113" t="n">
        <v>1</v>
      </c>
      <c r="J52" s="100" t="inlineStr">
        <is>
          <t>－</t>
        </is>
      </c>
      <c r="K52" s="114" t="n">
        <v>46363</v>
      </c>
      <c r="L52" s="114" t="n">
        <v>46381</v>
      </c>
      <c r="M52" s="114" t="n"/>
      <c r="N52" s="114" t="n"/>
      <c r="O52" s="100" t="inlineStr">
        <is>
          <t>未着手</t>
        </is>
      </c>
      <c r="P52" s="115" t="n">
        <v>0</v>
      </c>
      <c r="Q52" s="100" t="inlineStr">
        <is>
          <t>－</t>
        </is>
      </c>
      <c r="R52" s="101" t="inlineStr">
        <is>
          <t>出典は塊として12/7–12/25。IFごとの日付は分割されていない。担当は未定</t>
        </is>
      </c>
      <c r="S52" s="116">
        <f>IF(OR($K52="",$L52=""),"",IF(NETWORKDAYS(S$5,S$5,休日)=0,"",IF(AND(S$5&gt;=$K52,S$5&lt;=$L52),IF(NETWORKDAYS($K52,S$5,休日)=1,"○",IF(NETWORKDAYS(S$5,$L52,休日)=1,"▶","→")),"")))</f>
        <v/>
      </c>
      <c r="T52" s="116">
        <f>IF(OR($K52="",$L52=""),"",IF(NETWORKDAYS(T$5,T$5,休日)=0,"",IF(AND(T$5&gt;=$K52,T$5&lt;=$L52),IF(NETWORKDAYS($K52,T$5,休日)=1,"○",IF(NETWORKDAYS(T$5,$L52,休日)=1,"▶","→")),"")))</f>
        <v/>
      </c>
      <c r="U52" s="116">
        <f>IF(OR($K52="",$L52=""),"",IF(NETWORKDAYS(U$5,U$5,休日)=0,"",IF(AND(U$5&gt;=$K52,U$5&lt;=$L52),IF(NETWORKDAYS($K52,U$5,休日)=1,"○",IF(NETWORKDAYS(U$5,$L52,休日)=1,"▶","→")),"")))</f>
        <v/>
      </c>
      <c r="V52" s="116">
        <f>IF(OR($K52="",$L52=""),"",IF(NETWORKDAYS(V$5,V$5,休日)=0,"",IF(AND(V$5&gt;=$K52,V$5&lt;=$L52),IF(NETWORKDAYS($K52,V$5,休日)=1,"○",IF(NETWORKDAYS(V$5,$L52,休日)=1,"▶","→")),"")))</f>
        <v/>
      </c>
      <c r="W52" s="116">
        <f>IF(OR($K52="",$L52=""),"",IF(NETWORKDAYS(W$5,W$5,休日)=0,"",IF(AND(W$5&gt;=$K52,W$5&lt;=$L52),IF(NETWORKDAYS($K52,W$5,休日)=1,"○",IF(NETWORKDAYS(W$5,$L52,休日)=1,"▶","→")),"")))</f>
        <v/>
      </c>
      <c r="X52" s="116">
        <f>IF(OR($K52="",$L52=""),"",IF(NETWORKDAYS(X$5,X$5,休日)=0,"",IF(AND(X$5&gt;=$K52,X$5&lt;=$L52),IF(NETWORKDAYS($K52,X$5,休日)=1,"○",IF(NETWORKDAYS(X$5,$L52,休日)=1,"▶","→")),"")))</f>
        <v/>
      </c>
      <c r="Y52" s="116">
        <f>IF(OR($K52="",$L52=""),"",IF(NETWORKDAYS(Y$5,Y$5,休日)=0,"",IF(AND(Y$5&gt;=$K52,Y$5&lt;=$L52),IF(NETWORKDAYS($K52,Y$5,休日)=1,"○",IF(NETWORKDAYS(Y$5,$L52,休日)=1,"▶","→")),"")))</f>
        <v/>
      </c>
      <c r="Z52" s="116">
        <f>IF(OR($K52="",$L52=""),"",IF(NETWORKDAYS(Z$5,Z$5,休日)=0,"",IF(AND(Z$5&gt;=$K52,Z$5&lt;=$L52),IF(NETWORKDAYS($K52,Z$5,休日)=1,"○",IF(NETWORKDAYS(Z$5,$L52,休日)=1,"▶","→")),"")))</f>
        <v/>
      </c>
      <c r="AA52" s="116">
        <f>IF(OR($K52="",$L52=""),"",IF(NETWORKDAYS(AA$5,AA$5,休日)=0,"",IF(AND(AA$5&gt;=$K52,AA$5&lt;=$L52),IF(NETWORKDAYS($K52,AA$5,休日)=1,"○",IF(NETWORKDAYS(AA$5,$L52,休日)=1,"▶","→")),"")))</f>
        <v/>
      </c>
      <c r="AB52" s="116">
        <f>IF(OR($K52="",$L52=""),"",IF(NETWORKDAYS(AB$5,AB$5,休日)=0,"",IF(AND(AB$5&gt;=$K52,AB$5&lt;=$L52),IF(NETWORKDAYS($K52,AB$5,休日)=1,"○",IF(NETWORKDAYS(AB$5,$L52,休日)=1,"▶","→")),"")))</f>
        <v/>
      </c>
      <c r="AC52" s="116">
        <f>IF(OR($K52="",$L52=""),"",IF(NETWORKDAYS(AC$5,AC$5,休日)=0,"",IF(AND(AC$5&gt;=$K52,AC$5&lt;=$L52),IF(NETWORKDAYS($K52,AC$5,休日)=1,"○",IF(NETWORKDAYS(AC$5,$L52,休日)=1,"▶","→")),"")))</f>
        <v/>
      </c>
      <c r="AD52" s="116">
        <f>IF(OR($K52="",$L52=""),"",IF(NETWORKDAYS(AD$5,AD$5,休日)=0,"",IF(AND(AD$5&gt;=$K52,AD$5&lt;=$L52),IF(NETWORKDAYS($K52,AD$5,休日)=1,"○",IF(NETWORKDAYS(AD$5,$L52,休日)=1,"▶","→")),"")))</f>
        <v/>
      </c>
      <c r="AE52" s="116">
        <f>IF(OR($K52="",$L52=""),"",IF(NETWORKDAYS(AE$5,AE$5,休日)=0,"",IF(AND(AE$5&gt;=$K52,AE$5&lt;=$L52),IF(NETWORKDAYS($K52,AE$5,休日)=1,"○",IF(NETWORKDAYS(AE$5,$L52,休日)=1,"▶","→")),"")))</f>
        <v/>
      </c>
      <c r="AF52" s="116">
        <f>IF(OR($K52="",$L52=""),"",IF(NETWORKDAYS(AF$5,AF$5,休日)=0,"",IF(AND(AF$5&gt;=$K52,AF$5&lt;=$L52),IF(NETWORKDAYS($K52,AF$5,休日)=1,"○",IF(NETWORKDAYS(AF$5,$L52,休日)=1,"▶","→")),"")))</f>
        <v/>
      </c>
      <c r="AG52" s="116">
        <f>IF(OR($K52="",$L52=""),"",IF(NETWORKDAYS(AG$5,AG$5,休日)=0,"",IF(AND(AG$5&gt;=$K52,AG$5&lt;=$L52),IF(NETWORKDAYS($K52,AG$5,休日)=1,"○",IF(NETWORKDAYS(AG$5,$L52,休日)=1,"▶","→")),"")))</f>
        <v/>
      </c>
      <c r="AH52" s="116">
        <f>IF(OR($K52="",$L52=""),"",IF(NETWORKDAYS(AH$5,AH$5,休日)=0,"",IF(AND(AH$5&gt;=$K52,AH$5&lt;=$L52),IF(NETWORKDAYS($K52,AH$5,休日)=1,"○",IF(NETWORKDAYS(AH$5,$L52,休日)=1,"▶","→")),"")))</f>
        <v/>
      </c>
      <c r="AI52" s="116">
        <f>IF(OR($K52="",$L52=""),"",IF(NETWORKDAYS(AI$5,AI$5,休日)=0,"",IF(AND(AI$5&gt;=$K52,AI$5&lt;=$L52),IF(NETWORKDAYS($K52,AI$5,休日)=1,"○",IF(NETWORKDAYS(AI$5,$L52,休日)=1,"▶","→")),"")))</f>
        <v/>
      </c>
      <c r="AJ52" s="116">
        <f>IF(OR($K52="",$L52=""),"",IF(NETWORKDAYS(AJ$5,AJ$5,休日)=0,"",IF(AND(AJ$5&gt;=$K52,AJ$5&lt;=$L52),IF(NETWORKDAYS($K52,AJ$5,休日)=1,"○",IF(NETWORKDAYS(AJ$5,$L52,休日)=1,"▶","→")),"")))</f>
        <v/>
      </c>
      <c r="AK52" s="116">
        <f>IF(OR($K52="",$L52=""),"",IF(NETWORKDAYS(AK$5,AK$5,休日)=0,"",IF(AND(AK$5&gt;=$K52,AK$5&lt;=$L52),IF(NETWORKDAYS($K52,AK$5,休日)=1,"○",IF(NETWORKDAYS(AK$5,$L52,休日)=1,"▶","→")),"")))</f>
        <v/>
      </c>
      <c r="AL52" s="116">
        <f>IF(OR($K52="",$L52=""),"",IF(NETWORKDAYS(AL$5,AL$5,休日)=0,"",IF(AND(AL$5&gt;=$K52,AL$5&lt;=$L52),IF(NETWORKDAYS($K52,AL$5,休日)=1,"○",IF(NETWORKDAYS(AL$5,$L52,休日)=1,"▶","→")),"")))</f>
        <v/>
      </c>
      <c r="AM52" s="116">
        <f>IF(OR($K52="",$L52=""),"",IF(NETWORKDAYS(AM$5,AM$5,休日)=0,"",IF(AND(AM$5&gt;=$K52,AM$5&lt;=$L52),IF(NETWORKDAYS($K52,AM$5,休日)=1,"○",IF(NETWORKDAYS(AM$5,$L52,休日)=1,"▶","→")),"")))</f>
        <v/>
      </c>
      <c r="AN52" s="116">
        <f>IF(OR($K52="",$L52=""),"",IF(NETWORKDAYS(AN$5,AN$5,休日)=0,"",IF(AND(AN$5&gt;=$K52,AN$5&lt;=$L52),IF(NETWORKDAYS($K52,AN$5,休日)=1,"○",IF(NETWORKDAYS(AN$5,$L52,休日)=1,"▶","→")),"")))</f>
        <v/>
      </c>
      <c r="AO52" s="116">
        <f>IF(OR($K52="",$L52=""),"",IF(NETWORKDAYS(AO$5,AO$5,休日)=0,"",IF(AND(AO$5&gt;=$K52,AO$5&lt;=$L52),IF(NETWORKDAYS($K52,AO$5,休日)=1,"○",IF(NETWORKDAYS(AO$5,$L52,休日)=1,"▶","→")),"")))</f>
        <v/>
      </c>
      <c r="AP52" s="116">
        <f>IF(OR($K52="",$L52=""),"",IF(NETWORKDAYS(AP$5,AP$5,休日)=0,"",IF(AND(AP$5&gt;=$K52,AP$5&lt;=$L52),IF(NETWORKDAYS($K52,AP$5,休日)=1,"○",IF(NETWORKDAYS(AP$5,$L52,休日)=1,"▶","→")),"")))</f>
        <v/>
      </c>
      <c r="AQ52" s="116">
        <f>IF(OR($K52="",$L52=""),"",IF(NETWORKDAYS(AQ$5,AQ$5,休日)=0,"",IF(AND(AQ$5&gt;=$K52,AQ$5&lt;=$L52),IF(NETWORKDAYS($K52,AQ$5,休日)=1,"○",IF(NETWORKDAYS(AQ$5,$L52,休日)=1,"▶","→")),"")))</f>
        <v/>
      </c>
      <c r="AR52" s="116">
        <f>IF(OR($K52="",$L52=""),"",IF(NETWORKDAYS(AR$5,AR$5,休日)=0,"",IF(AND(AR$5&gt;=$K52,AR$5&lt;=$L52),IF(NETWORKDAYS($K52,AR$5,休日)=1,"○",IF(NETWORKDAYS(AR$5,$L52,休日)=1,"▶","→")),"")))</f>
        <v/>
      </c>
      <c r="AS52" s="116">
        <f>IF(OR($K52="",$L52=""),"",IF(NETWORKDAYS(AS$5,AS$5,休日)=0,"",IF(AND(AS$5&gt;=$K52,AS$5&lt;=$L52),IF(NETWORKDAYS($K52,AS$5,休日)=1,"○",IF(NETWORKDAYS(AS$5,$L52,休日)=1,"▶","→")),"")))</f>
        <v/>
      </c>
      <c r="AT52" s="116">
        <f>IF(OR($K52="",$L52=""),"",IF(NETWORKDAYS(AT$5,AT$5,休日)=0,"",IF(AND(AT$5&gt;=$K52,AT$5&lt;=$L52),IF(NETWORKDAYS($K52,AT$5,休日)=1,"○",IF(NETWORKDAYS(AT$5,$L52,休日)=1,"▶","→")),"")))</f>
        <v/>
      </c>
      <c r="AU52" s="116">
        <f>IF(OR($K52="",$L52=""),"",IF(NETWORKDAYS(AU$5,AU$5,休日)=0,"",IF(AND(AU$5&gt;=$K52,AU$5&lt;=$L52),IF(NETWORKDAYS($K52,AU$5,休日)=1,"○",IF(NETWORKDAYS(AU$5,$L52,休日)=1,"▶","→")),"")))</f>
        <v/>
      </c>
      <c r="AV52" s="116">
        <f>IF(OR($K52="",$L52=""),"",IF(NETWORKDAYS(AV$5,AV$5,休日)=0,"",IF(AND(AV$5&gt;=$K52,AV$5&lt;=$L52),IF(NETWORKDAYS($K52,AV$5,休日)=1,"○",IF(NETWORKDAYS(AV$5,$L52,休日)=1,"▶","→")),"")))</f>
        <v/>
      </c>
      <c r="AW52" s="116">
        <f>IF(OR($K52="",$L52=""),"",IF(NETWORKDAYS(AW$5,AW$5,休日)=0,"",IF(AND(AW$5&gt;=$K52,AW$5&lt;=$L52),IF(NETWORKDAYS($K52,AW$5,休日)=1,"○",IF(NETWORKDAYS(AW$5,$L52,休日)=1,"▶","→")),"")))</f>
        <v/>
      </c>
      <c r="AX52" s="116">
        <f>IF(OR($K52="",$L52=""),"",IF(NETWORKDAYS(AX$5,AX$5,休日)=0,"",IF(AND(AX$5&gt;=$K52,AX$5&lt;=$L52),IF(NETWORKDAYS($K52,AX$5,休日)=1,"○",IF(NETWORKDAYS(AX$5,$L52,休日)=1,"▶","→")),"")))</f>
        <v/>
      </c>
      <c r="AY52" s="116">
        <f>IF(OR($K52="",$L52=""),"",IF(NETWORKDAYS(AY$5,AY$5,休日)=0,"",IF(AND(AY$5&gt;=$K52,AY$5&lt;=$L52),IF(NETWORKDAYS($K52,AY$5,休日)=1,"○",IF(NETWORKDAYS(AY$5,$L52,休日)=1,"▶","→")),"")))</f>
        <v/>
      </c>
      <c r="AZ52" s="116">
        <f>IF(OR($K52="",$L52=""),"",IF(NETWORKDAYS(AZ$5,AZ$5,休日)=0,"",IF(AND(AZ$5&gt;=$K52,AZ$5&lt;=$L52),IF(NETWORKDAYS($K52,AZ$5,休日)=1,"○",IF(NETWORKDAYS(AZ$5,$L52,休日)=1,"▶","→")),"")))</f>
        <v/>
      </c>
      <c r="BA52" s="116">
        <f>IF(OR($K52="",$L52=""),"",IF(NETWORKDAYS(BA$5,BA$5,休日)=0,"",IF(AND(BA$5&gt;=$K52,BA$5&lt;=$L52),IF(NETWORKDAYS($K52,BA$5,休日)=1,"○",IF(NETWORKDAYS(BA$5,$L52,休日)=1,"▶","→")),"")))</f>
        <v/>
      </c>
      <c r="BB52" s="116">
        <f>IF(OR($K52="",$L52=""),"",IF(NETWORKDAYS(BB$5,BB$5,休日)=0,"",IF(AND(BB$5&gt;=$K52,BB$5&lt;=$L52),IF(NETWORKDAYS($K52,BB$5,休日)=1,"○",IF(NETWORKDAYS(BB$5,$L52,休日)=1,"▶","→")),"")))</f>
        <v/>
      </c>
      <c r="BC52" s="116">
        <f>IF(OR($K52="",$L52=""),"",IF(NETWORKDAYS(BC$5,BC$5,休日)=0,"",IF(AND(BC$5&gt;=$K52,BC$5&lt;=$L52),IF(NETWORKDAYS($K52,BC$5,休日)=1,"○",IF(NETWORKDAYS(BC$5,$L52,休日)=1,"▶","→")),"")))</f>
        <v/>
      </c>
      <c r="BD52" s="116">
        <f>IF(OR($K52="",$L52=""),"",IF(NETWORKDAYS(BD$5,BD$5,休日)=0,"",IF(AND(BD$5&gt;=$K52,BD$5&lt;=$L52),IF(NETWORKDAYS($K52,BD$5,休日)=1,"○",IF(NETWORKDAYS(BD$5,$L52,休日)=1,"▶","→")),"")))</f>
        <v/>
      </c>
      <c r="BE52" s="116">
        <f>IF(OR($K52="",$L52=""),"",IF(NETWORKDAYS(BE$5,BE$5,休日)=0,"",IF(AND(BE$5&gt;=$K52,BE$5&lt;=$L52),IF(NETWORKDAYS($K52,BE$5,休日)=1,"○",IF(NETWORKDAYS(BE$5,$L52,休日)=1,"▶","→")),"")))</f>
        <v/>
      </c>
      <c r="BF52" s="116">
        <f>IF(OR($K52="",$L52=""),"",IF(NETWORKDAYS(BF$5,BF$5,休日)=0,"",IF(AND(BF$5&gt;=$K52,BF$5&lt;=$L52),IF(NETWORKDAYS($K52,BF$5,休日)=1,"○",IF(NETWORKDAYS(BF$5,$L52,休日)=1,"▶","→")),"")))</f>
        <v/>
      </c>
      <c r="BG52" s="116">
        <f>IF(OR($K52="",$L52=""),"",IF(NETWORKDAYS(BG$5,BG$5,休日)=0,"",IF(AND(BG$5&gt;=$K52,BG$5&lt;=$L52),IF(NETWORKDAYS($K52,BG$5,休日)=1,"○",IF(NETWORKDAYS(BG$5,$L52,休日)=1,"▶","→")),"")))</f>
        <v/>
      </c>
      <c r="BH52" s="116">
        <f>IF(OR($K52="",$L52=""),"",IF(NETWORKDAYS(BH$5,BH$5,休日)=0,"",IF(AND(BH$5&gt;=$K52,BH$5&lt;=$L52),IF(NETWORKDAYS($K52,BH$5,休日)=1,"○",IF(NETWORKDAYS(BH$5,$L52,休日)=1,"▶","→")),"")))</f>
        <v/>
      </c>
      <c r="BI52" s="116">
        <f>IF(OR($K52="",$L52=""),"",IF(NETWORKDAYS(BI$5,BI$5,休日)=0,"",IF(AND(BI$5&gt;=$K52,BI$5&lt;=$L52),IF(NETWORKDAYS($K52,BI$5,休日)=1,"○",IF(NETWORKDAYS(BI$5,$L52,休日)=1,"▶","→")),"")))</f>
        <v/>
      </c>
      <c r="BJ52" s="116">
        <f>IF(OR($K52="",$L52=""),"",IF(NETWORKDAYS(BJ$5,BJ$5,休日)=0,"",IF(AND(BJ$5&gt;=$K52,BJ$5&lt;=$L52),IF(NETWORKDAYS($K52,BJ$5,休日)=1,"○",IF(NETWORKDAYS(BJ$5,$L52,休日)=1,"▶","→")),"")))</f>
        <v/>
      </c>
      <c r="BK52" s="116">
        <f>IF(OR($K52="",$L52=""),"",IF(NETWORKDAYS(BK$5,BK$5,休日)=0,"",IF(AND(BK$5&gt;=$K52,BK$5&lt;=$L52),IF(NETWORKDAYS($K52,BK$5,休日)=1,"○",IF(NETWORKDAYS(BK$5,$L52,休日)=1,"▶","→")),"")))</f>
        <v/>
      </c>
      <c r="BL52" s="116">
        <f>IF(OR($K52="",$L52=""),"",IF(NETWORKDAYS(BL$5,BL$5,休日)=0,"",IF(AND(BL$5&gt;=$K52,BL$5&lt;=$L52),IF(NETWORKDAYS($K52,BL$5,休日)=1,"○",IF(NETWORKDAYS(BL$5,$L52,休日)=1,"▶","→")),"")))</f>
        <v/>
      </c>
      <c r="BM52" s="116">
        <f>IF(OR($K52="",$L52=""),"",IF(NETWORKDAYS(BM$5,BM$5,休日)=0,"",IF(AND(BM$5&gt;=$K52,BM$5&lt;=$L52),IF(NETWORKDAYS($K52,BM$5,休日)=1,"○",IF(NETWORKDAYS(BM$5,$L52,休日)=1,"▶","→")),"")))</f>
        <v/>
      </c>
      <c r="BN52" s="116">
        <f>IF(OR($K52="",$L52=""),"",IF(NETWORKDAYS(BN$5,BN$5,休日)=0,"",IF(AND(BN$5&gt;=$K52,BN$5&lt;=$L52),IF(NETWORKDAYS($K52,BN$5,休日)=1,"○",IF(NETWORKDAYS(BN$5,$L52,休日)=1,"▶","→")),"")))</f>
        <v/>
      </c>
      <c r="BO52" s="116">
        <f>IF(OR($K52="",$L52=""),"",IF(NETWORKDAYS(BO$5,BO$5,休日)=0,"",IF(AND(BO$5&gt;=$K52,BO$5&lt;=$L52),IF(NETWORKDAYS($K52,BO$5,休日)=1,"○",IF(NETWORKDAYS(BO$5,$L52,休日)=1,"▶","→")),"")))</f>
        <v/>
      </c>
      <c r="BP52" s="116">
        <f>IF(OR($K52="",$L52=""),"",IF(NETWORKDAYS(BP$5,BP$5,休日)=0,"",IF(AND(BP$5&gt;=$K52,BP$5&lt;=$L52),IF(NETWORKDAYS($K52,BP$5,休日)=1,"○",IF(NETWORKDAYS(BP$5,$L52,休日)=1,"▶","→")),"")))</f>
        <v/>
      </c>
      <c r="BQ52" s="116">
        <f>IF(OR($K52="",$L52=""),"",IF(NETWORKDAYS(BQ$5,BQ$5,休日)=0,"",IF(AND(BQ$5&gt;=$K52,BQ$5&lt;=$L52),IF(NETWORKDAYS($K52,BQ$5,休日)=1,"○",IF(NETWORKDAYS(BQ$5,$L52,休日)=1,"▶","→")),"")))</f>
        <v/>
      </c>
      <c r="BR52" s="116">
        <f>IF(OR($K52="",$L52=""),"",IF(NETWORKDAYS(BR$5,BR$5,休日)=0,"",IF(AND(BR$5&gt;=$K52,BR$5&lt;=$L52),IF(NETWORKDAYS($K52,BR$5,休日)=1,"○",IF(NETWORKDAYS(BR$5,$L52,休日)=1,"▶","→")),"")))</f>
        <v/>
      </c>
      <c r="BS52" s="116">
        <f>IF(OR($K52="",$L52=""),"",IF(NETWORKDAYS(BS$5,BS$5,休日)=0,"",IF(AND(BS$5&gt;=$K52,BS$5&lt;=$L52),IF(NETWORKDAYS($K52,BS$5,休日)=1,"○",IF(NETWORKDAYS(BS$5,$L52,休日)=1,"▶","→")),"")))</f>
        <v/>
      </c>
      <c r="BT52" s="116">
        <f>IF(OR($K52="",$L52=""),"",IF(NETWORKDAYS(BT$5,BT$5,休日)=0,"",IF(AND(BT$5&gt;=$K52,BT$5&lt;=$L52),IF(NETWORKDAYS($K52,BT$5,休日)=1,"○",IF(NETWORKDAYS(BT$5,$L52,休日)=1,"▶","→")),"")))</f>
        <v/>
      </c>
      <c r="BU52" s="116">
        <f>IF(OR($K52="",$L52=""),"",IF(NETWORKDAYS(BU$5,BU$5,休日)=0,"",IF(AND(BU$5&gt;=$K52,BU$5&lt;=$L52),IF(NETWORKDAYS($K52,BU$5,休日)=1,"○",IF(NETWORKDAYS(BU$5,$L52,休日)=1,"▶","→")),"")))</f>
        <v/>
      </c>
      <c r="BV52" s="116">
        <f>IF(OR($K52="",$L52=""),"",IF(NETWORKDAYS(BV$5,BV$5,休日)=0,"",IF(AND(BV$5&gt;=$K52,BV$5&lt;=$L52),IF(NETWORKDAYS($K52,BV$5,休日)=1,"○",IF(NETWORKDAYS(BV$5,$L52,休日)=1,"▶","→")),"")))</f>
        <v/>
      </c>
      <c r="BW52" s="116">
        <f>IF(OR($K52="",$L52=""),"",IF(NETWORKDAYS(BW$5,BW$5,休日)=0,"",IF(AND(BW$5&gt;=$K52,BW$5&lt;=$L52),IF(NETWORKDAYS($K52,BW$5,休日)=1,"○",IF(NETWORKDAYS(BW$5,$L52,休日)=1,"▶","→")),"")))</f>
        <v/>
      </c>
      <c r="BX52" s="116">
        <f>IF(OR($K52="",$L52=""),"",IF(NETWORKDAYS(BX$5,BX$5,休日)=0,"",IF(AND(BX$5&gt;=$K52,BX$5&lt;=$L52),IF(NETWORKDAYS($K52,BX$5,休日)=1,"○",IF(NETWORKDAYS(BX$5,$L52,休日)=1,"▶","→")),"")))</f>
        <v/>
      </c>
      <c r="BY52" s="116">
        <f>IF(OR($K52="",$L52=""),"",IF(NETWORKDAYS(BY$5,BY$5,休日)=0,"",IF(AND(BY$5&gt;=$K52,BY$5&lt;=$L52),IF(NETWORKDAYS($K52,BY$5,休日)=1,"○",IF(NETWORKDAYS(BY$5,$L52,休日)=1,"▶","→")),"")))</f>
        <v/>
      </c>
      <c r="BZ52" s="116">
        <f>IF(OR($K52="",$L52=""),"",IF(NETWORKDAYS(BZ$5,BZ$5,休日)=0,"",IF(AND(BZ$5&gt;=$K52,BZ$5&lt;=$L52),IF(NETWORKDAYS($K52,BZ$5,休日)=1,"○",IF(NETWORKDAYS(BZ$5,$L52,休日)=1,"▶","→")),"")))</f>
        <v/>
      </c>
      <c r="CA52" s="116">
        <f>IF(OR($K52="",$L52=""),"",IF(NETWORKDAYS(CA$5,CA$5,休日)=0,"",IF(AND(CA$5&gt;=$K52,CA$5&lt;=$L52),IF(NETWORKDAYS($K52,CA$5,休日)=1,"○",IF(NETWORKDAYS(CA$5,$L52,休日)=1,"▶","→")),"")))</f>
        <v/>
      </c>
      <c r="CB52" s="116">
        <f>IF(OR($K52="",$L52=""),"",IF(NETWORKDAYS(CB$5,CB$5,休日)=0,"",IF(AND(CB$5&gt;=$K52,CB$5&lt;=$L52),IF(NETWORKDAYS($K52,CB$5,休日)=1,"○",IF(NETWORKDAYS(CB$5,$L52,休日)=1,"▶","→")),"")))</f>
        <v/>
      </c>
      <c r="CC52" s="116">
        <f>IF(OR($K52="",$L52=""),"",IF(NETWORKDAYS(CC$5,CC$5,休日)=0,"",IF(AND(CC$5&gt;=$K52,CC$5&lt;=$L52),IF(NETWORKDAYS($K52,CC$5,休日)=1,"○",IF(NETWORKDAYS(CC$5,$L52,休日)=1,"▶","→")),"")))</f>
        <v/>
      </c>
      <c r="CD52" s="116">
        <f>IF(OR($K52="",$L52=""),"",IF(NETWORKDAYS(CD$5,CD$5,休日)=0,"",IF(AND(CD$5&gt;=$K52,CD$5&lt;=$L52),IF(NETWORKDAYS($K52,CD$5,休日)=1,"○",IF(NETWORKDAYS(CD$5,$L52,休日)=1,"▶","→")),"")))</f>
        <v/>
      </c>
      <c r="CE52" s="116">
        <f>IF(OR($K52="",$L52=""),"",IF(NETWORKDAYS(CE$5,CE$5,休日)=0,"",IF(AND(CE$5&gt;=$K52,CE$5&lt;=$L52),IF(NETWORKDAYS($K52,CE$5,休日)=1,"○",IF(NETWORKDAYS(CE$5,$L52,休日)=1,"▶","→")),"")))</f>
        <v/>
      </c>
      <c r="CF52" s="116">
        <f>IF(OR($K52="",$L52=""),"",IF(NETWORKDAYS(CF$5,CF$5,休日)=0,"",IF(AND(CF$5&gt;=$K52,CF$5&lt;=$L52),IF(NETWORKDAYS($K52,CF$5,休日)=1,"○",IF(NETWORKDAYS(CF$5,$L52,休日)=1,"▶","→")),"")))</f>
        <v/>
      </c>
      <c r="CG52" s="116">
        <f>IF(OR($K52="",$L52=""),"",IF(NETWORKDAYS(CG$5,CG$5,休日)=0,"",IF(AND(CG$5&gt;=$K52,CG$5&lt;=$L52),IF(NETWORKDAYS($K52,CG$5,休日)=1,"○",IF(NETWORKDAYS(CG$5,$L52,休日)=1,"▶","→")),"")))</f>
        <v/>
      </c>
      <c r="CH52" s="116">
        <f>IF(OR($K52="",$L52=""),"",IF(NETWORKDAYS(CH$5,CH$5,休日)=0,"",IF(AND(CH$5&gt;=$K52,CH$5&lt;=$L52),IF(NETWORKDAYS($K52,CH$5,休日)=1,"○",IF(NETWORKDAYS(CH$5,$L52,休日)=1,"▶","→")),"")))</f>
        <v/>
      </c>
      <c r="CI52" s="116">
        <f>IF(OR($K52="",$L52=""),"",IF(NETWORKDAYS(CI$5,CI$5,休日)=0,"",IF(AND(CI$5&gt;=$K52,CI$5&lt;=$L52),IF(NETWORKDAYS($K52,CI$5,休日)=1,"○",IF(NETWORKDAYS(CI$5,$L52,休日)=1,"▶","→")),"")))</f>
        <v/>
      </c>
      <c r="CJ52" s="116">
        <f>IF(OR($K52="",$L52=""),"",IF(NETWORKDAYS(CJ$5,CJ$5,休日)=0,"",IF(AND(CJ$5&gt;=$K52,CJ$5&lt;=$L52),IF(NETWORKDAYS($K52,CJ$5,休日)=1,"○",IF(NETWORKDAYS(CJ$5,$L52,休日)=1,"▶","→")),"")))</f>
        <v/>
      </c>
      <c r="CK52" s="116">
        <f>IF(OR($K52="",$L52=""),"",IF(NETWORKDAYS(CK$5,CK$5,休日)=0,"",IF(AND(CK$5&gt;=$K52,CK$5&lt;=$L52),IF(NETWORKDAYS($K52,CK$5,休日)=1,"○",IF(NETWORKDAYS(CK$5,$L52,休日)=1,"▶","→")),"")))</f>
        <v/>
      </c>
      <c r="CL52" s="116">
        <f>IF(OR($K52="",$L52=""),"",IF(NETWORKDAYS(CL$5,CL$5,休日)=0,"",IF(AND(CL$5&gt;=$K52,CL$5&lt;=$L52),IF(NETWORKDAYS($K52,CL$5,休日)=1,"○",IF(NETWORKDAYS(CL$5,$L52,休日)=1,"▶","→")),"")))</f>
        <v/>
      </c>
      <c r="CM52" s="116">
        <f>IF(OR($K52="",$L52=""),"",IF(NETWORKDAYS(CM$5,CM$5,休日)=0,"",IF(AND(CM$5&gt;=$K52,CM$5&lt;=$L52),IF(NETWORKDAYS($K52,CM$5,休日)=1,"○",IF(NETWORKDAYS(CM$5,$L52,休日)=1,"▶","→")),"")))</f>
        <v/>
      </c>
      <c r="CN52" s="116">
        <f>IF(OR($K52="",$L52=""),"",IF(NETWORKDAYS(CN$5,CN$5,休日)=0,"",IF(AND(CN$5&gt;=$K52,CN$5&lt;=$L52),IF(NETWORKDAYS($K52,CN$5,休日)=1,"○",IF(NETWORKDAYS(CN$5,$L52,休日)=1,"▶","→")),"")))</f>
        <v/>
      </c>
      <c r="CO52" s="116">
        <f>IF(OR($K52="",$L52=""),"",IF(NETWORKDAYS(CO$5,CO$5,休日)=0,"",IF(AND(CO$5&gt;=$K52,CO$5&lt;=$L52),IF(NETWORKDAYS($K52,CO$5,休日)=1,"○",IF(NETWORKDAYS(CO$5,$L52,休日)=1,"▶","→")),"")))</f>
        <v/>
      </c>
    </row>
    <row r="53" ht="32" customHeight="1" s="98">
      <c r="A53" s="5" t="n"/>
      <c r="B53" s="100" t="inlineStr">
        <is>
          <t>4.1.7</t>
        </is>
      </c>
      <c r="C53" s="101" t="inlineStr">
        <is>
          <t>単体テスト</t>
        </is>
      </c>
      <c r="D53" s="101" t="inlineStr">
        <is>
          <t>Layer①</t>
        </is>
      </c>
      <c r="E53" s="101" t="inlineStr">
        <is>
          <t>生鮮入荷実績</t>
        </is>
      </c>
      <c r="F53" s="101" t="inlineStr">
        <is>
          <t>生鮮入荷実績</t>
        </is>
      </c>
      <c r="G53" s="100" t="inlineStr">
        <is>
          <t>差分</t>
        </is>
      </c>
      <c r="H53" s="100" t="inlineStr">
        <is>
          <t>未定</t>
        </is>
      </c>
      <c r="I53" s="113" t="n">
        <v>3</v>
      </c>
      <c r="J53" s="100" t="inlineStr">
        <is>
          <t>－</t>
        </is>
      </c>
      <c r="K53" s="114" t="n">
        <v>46363</v>
      </c>
      <c r="L53" s="114" t="n">
        <v>46381</v>
      </c>
      <c r="M53" s="114" t="n"/>
      <c r="N53" s="114" t="n"/>
      <c r="O53" s="100" t="inlineStr">
        <is>
          <t>未着手</t>
        </is>
      </c>
      <c r="P53" s="115" t="n">
        <v>0</v>
      </c>
      <c r="Q53" s="100" t="inlineStr">
        <is>
          <t>－</t>
        </is>
      </c>
      <c r="R53" s="101" t="inlineStr">
        <is>
          <t>出典は塊として12/7–12/25。IFごとの日付は分割されていない。担当は未定</t>
        </is>
      </c>
      <c r="S53" s="116">
        <f>IF(OR($K53="",$L53=""),"",IF(NETWORKDAYS(S$5,S$5,休日)=0,"",IF(AND(S$5&gt;=$K53,S$5&lt;=$L53),IF(NETWORKDAYS($K53,S$5,休日)=1,"○",IF(NETWORKDAYS(S$5,$L53,休日)=1,"▶","→")),"")))</f>
        <v/>
      </c>
      <c r="T53" s="116">
        <f>IF(OR($K53="",$L53=""),"",IF(NETWORKDAYS(T$5,T$5,休日)=0,"",IF(AND(T$5&gt;=$K53,T$5&lt;=$L53),IF(NETWORKDAYS($K53,T$5,休日)=1,"○",IF(NETWORKDAYS(T$5,$L53,休日)=1,"▶","→")),"")))</f>
        <v/>
      </c>
      <c r="U53" s="116">
        <f>IF(OR($K53="",$L53=""),"",IF(NETWORKDAYS(U$5,U$5,休日)=0,"",IF(AND(U$5&gt;=$K53,U$5&lt;=$L53),IF(NETWORKDAYS($K53,U$5,休日)=1,"○",IF(NETWORKDAYS(U$5,$L53,休日)=1,"▶","→")),"")))</f>
        <v/>
      </c>
      <c r="V53" s="116">
        <f>IF(OR($K53="",$L53=""),"",IF(NETWORKDAYS(V$5,V$5,休日)=0,"",IF(AND(V$5&gt;=$K53,V$5&lt;=$L53),IF(NETWORKDAYS($K53,V$5,休日)=1,"○",IF(NETWORKDAYS(V$5,$L53,休日)=1,"▶","→")),"")))</f>
        <v/>
      </c>
      <c r="W53" s="116">
        <f>IF(OR($K53="",$L53=""),"",IF(NETWORKDAYS(W$5,W$5,休日)=0,"",IF(AND(W$5&gt;=$K53,W$5&lt;=$L53),IF(NETWORKDAYS($K53,W$5,休日)=1,"○",IF(NETWORKDAYS(W$5,$L53,休日)=1,"▶","→")),"")))</f>
        <v/>
      </c>
      <c r="X53" s="116">
        <f>IF(OR($K53="",$L53=""),"",IF(NETWORKDAYS(X$5,X$5,休日)=0,"",IF(AND(X$5&gt;=$K53,X$5&lt;=$L53),IF(NETWORKDAYS($K53,X$5,休日)=1,"○",IF(NETWORKDAYS(X$5,$L53,休日)=1,"▶","→")),"")))</f>
        <v/>
      </c>
      <c r="Y53" s="116">
        <f>IF(OR($K53="",$L53=""),"",IF(NETWORKDAYS(Y$5,Y$5,休日)=0,"",IF(AND(Y$5&gt;=$K53,Y$5&lt;=$L53),IF(NETWORKDAYS($K53,Y$5,休日)=1,"○",IF(NETWORKDAYS(Y$5,$L53,休日)=1,"▶","→")),"")))</f>
        <v/>
      </c>
      <c r="Z53" s="116">
        <f>IF(OR($K53="",$L53=""),"",IF(NETWORKDAYS(Z$5,Z$5,休日)=0,"",IF(AND(Z$5&gt;=$K53,Z$5&lt;=$L53),IF(NETWORKDAYS($K53,Z$5,休日)=1,"○",IF(NETWORKDAYS(Z$5,$L53,休日)=1,"▶","→")),"")))</f>
        <v/>
      </c>
      <c r="AA53" s="116">
        <f>IF(OR($K53="",$L53=""),"",IF(NETWORKDAYS(AA$5,AA$5,休日)=0,"",IF(AND(AA$5&gt;=$K53,AA$5&lt;=$L53),IF(NETWORKDAYS($K53,AA$5,休日)=1,"○",IF(NETWORKDAYS(AA$5,$L53,休日)=1,"▶","→")),"")))</f>
        <v/>
      </c>
      <c r="AB53" s="116">
        <f>IF(OR($K53="",$L53=""),"",IF(NETWORKDAYS(AB$5,AB$5,休日)=0,"",IF(AND(AB$5&gt;=$K53,AB$5&lt;=$L53),IF(NETWORKDAYS($K53,AB$5,休日)=1,"○",IF(NETWORKDAYS(AB$5,$L53,休日)=1,"▶","→")),"")))</f>
        <v/>
      </c>
      <c r="AC53" s="116">
        <f>IF(OR($K53="",$L53=""),"",IF(NETWORKDAYS(AC$5,AC$5,休日)=0,"",IF(AND(AC$5&gt;=$K53,AC$5&lt;=$L53),IF(NETWORKDAYS($K53,AC$5,休日)=1,"○",IF(NETWORKDAYS(AC$5,$L53,休日)=1,"▶","→")),"")))</f>
        <v/>
      </c>
      <c r="AD53" s="116">
        <f>IF(OR($K53="",$L53=""),"",IF(NETWORKDAYS(AD$5,AD$5,休日)=0,"",IF(AND(AD$5&gt;=$K53,AD$5&lt;=$L53),IF(NETWORKDAYS($K53,AD$5,休日)=1,"○",IF(NETWORKDAYS(AD$5,$L53,休日)=1,"▶","→")),"")))</f>
        <v/>
      </c>
      <c r="AE53" s="116">
        <f>IF(OR($K53="",$L53=""),"",IF(NETWORKDAYS(AE$5,AE$5,休日)=0,"",IF(AND(AE$5&gt;=$K53,AE$5&lt;=$L53),IF(NETWORKDAYS($K53,AE$5,休日)=1,"○",IF(NETWORKDAYS(AE$5,$L53,休日)=1,"▶","→")),"")))</f>
        <v/>
      </c>
      <c r="AF53" s="116">
        <f>IF(OR($K53="",$L53=""),"",IF(NETWORKDAYS(AF$5,AF$5,休日)=0,"",IF(AND(AF$5&gt;=$K53,AF$5&lt;=$L53),IF(NETWORKDAYS($K53,AF$5,休日)=1,"○",IF(NETWORKDAYS(AF$5,$L53,休日)=1,"▶","→")),"")))</f>
        <v/>
      </c>
      <c r="AG53" s="116">
        <f>IF(OR($K53="",$L53=""),"",IF(NETWORKDAYS(AG$5,AG$5,休日)=0,"",IF(AND(AG$5&gt;=$K53,AG$5&lt;=$L53),IF(NETWORKDAYS($K53,AG$5,休日)=1,"○",IF(NETWORKDAYS(AG$5,$L53,休日)=1,"▶","→")),"")))</f>
        <v/>
      </c>
      <c r="AH53" s="116">
        <f>IF(OR($K53="",$L53=""),"",IF(NETWORKDAYS(AH$5,AH$5,休日)=0,"",IF(AND(AH$5&gt;=$K53,AH$5&lt;=$L53),IF(NETWORKDAYS($K53,AH$5,休日)=1,"○",IF(NETWORKDAYS(AH$5,$L53,休日)=1,"▶","→")),"")))</f>
        <v/>
      </c>
      <c r="AI53" s="116">
        <f>IF(OR($K53="",$L53=""),"",IF(NETWORKDAYS(AI$5,AI$5,休日)=0,"",IF(AND(AI$5&gt;=$K53,AI$5&lt;=$L53),IF(NETWORKDAYS($K53,AI$5,休日)=1,"○",IF(NETWORKDAYS(AI$5,$L53,休日)=1,"▶","→")),"")))</f>
        <v/>
      </c>
      <c r="AJ53" s="116">
        <f>IF(OR($K53="",$L53=""),"",IF(NETWORKDAYS(AJ$5,AJ$5,休日)=0,"",IF(AND(AJ$5&gt;=$K53,AJ$5&lt;=$L53),IF(NETWORKDAYS($K53,AJ$5,休日)=1,"○",IF(NETWORKDAYS(AJ$5,$L53,休日)=1,"▶","→")),"")))</f>
        <v/>
      </c>
      <c r="AK53" s="116">
        <f>IF(OR($K53="",$L53=""),"",IF(NETWORKDAYS(AK$5,AK$5,休日)=0,"",IF(AND(AK$5&gt;=$K53,AK$5&lt;=$L53),IF(NETWORKDAYS($K53,AK$5,休日)=1,"○",IF(NETWORKDAYS(AK$5,$L53,休日)=1,"▶","→")),"")))</f>
        <v/>
      </c>
      <c r="AL53" s="116">
        <f>IF(OR($K53="",$L53=""),"",IF(NETWORKDAYS(AL$5,AL$5,休日)=0,"",IF(AND(AL$5&gt;=$K53,AL$5&lt;=$L53),IF(NETWORKDAYS($K53,AL$5,休日)=1,"○",IF(NETWORKDAYS(AL$5,$L53,休日)=1,"▶","→")),"")))</f>
        <v/>
      </c>
      <c r="AM53" s="116">
        <f>IF(OR($K53="",$L53=""),"",IF(NETWORKDAYS(AM$5,AM$5,休日)=0,"",IF(AND(AM$5&gt;=$K53,AM$5&lt;=$L53),IF(NETWORKDAYS($K53,AM$5,休日)=1,"○",IF(NETWORKDAYS(AM$5,$L53,休日)=1,"▶","→")),"")))</f>
        <v/>
      </c>
      <c r="AN53" s="116">
        <f>IF(OR($K53="",$L53=""),"",IF(NETWORKDAYS(AN$5,AN$5,休日)=0,"",IF(AND(AN$5&gt;=$K53,AN$5&lt;=$L53),IF(NETWORKDAYS($K53,AN$5,休日)=1,"○",IF(NETWORKDAYS(AN$5,$L53,休日)=1,"▶","→")),"")))</f>
        <v/>
      </c>
      <c r="AO53" s="116">
        <f>IF(OR($K53="",$L53=""),"",IF(NETWORKDAYS(AO$5,AO$5,休日)=0,"",IF(AND(AO$5&gt;=$K53,AO$5&lt;=$L53),IF(NETWORKDAYS($K53,AO$5,休日)=1,"○",IF(NETWORKDAYS(AO$5,$L53,休日)=1,"▶","→")),"")))</f>
        <v/>
      </c>
      <c r="AP53" s="116">
        <f>IF(OR($K53="",$L53=""),"",IF(NETWORKDAYS(AP$5,AP$5,休日)=0,"",IF(AND(AP$5&gt;=$K53,AP$5&lt;=$L53),IF(NETWORKDAYS($K53,AP$5,休日)=1,"○",IF(NETWORKDAYS(AP$5,$L53,休日)=1,"▶","→")),"")))</f>
        <v/>
      </c>
      <c r="AQ53" s="116">
        <f>IF(OR($K53="",$L53=""),"",IF(NETWORKDAYS(AQ$5,AQ$5,休日)=0,"",IF(AND(AQ$5&gt;=$K53,AQ$5&lt;=$L53),IF(NETWORKDAYS($K53,AQ$5,休日)=1,"○",IF(NETWORKDAYS(AQ$5,$L53,休日)=1,"▶","→")),"")))</f>
        <v/>
      </c>
      <c r="AR53" s="116">
        <f>IF(OR($K53="",$L53=""),"",IF(NETWORKDAYS(AR$5,AR$5,休日)=0,"",IF(AND(AR$5&gt;=$K53,AR$5&lt;=$L53),IF(NETWORKDAYS($K53,AR$5,休日)=1,"○",IF(NETWORKDAYS(AR$5,$L53,休日)=1,"▶","→")),"")))</f>
        <v/>
      </c>
      <c r="AS53" s="116">
        <f>IF(OR($K53="",$L53=""),"",IF(NETWORKDAYS(AS$5,AS$5,休日)=0,"",IF(AND(AS$5&gt;=$K53,AS$5&lt;=$L53),IF(NETWORKDAYS($K53,AS$5,休日)=1,"○",IF(NETWORKDAYS(AS$5,$L53,休日)=1,"▶","→")),"")))</f>
        <v/>
      </c>
      <c r="AT53" s="116">
        <f>IF(OR($K53="",$L53=""),"",IF(NETWORKDAYS(AT$5,AT$5,休日)=0,"",IF(AND(AT$5&gt;=$K53,AT$5&lt;=$L53),IF(NETWORKDAYS($K53,AT$5,休日)=1,"○",IF(NETWORKDAYS(AT$5,$L53,休日)=1,"▶","→")),"")))</f>
        <v/>
      </c>
      <c r="AU53" s="116">
        <f>IF(OR($K53="",$L53=""),"",IF(NETWORKDAYS(AU$5,AU$5,休日)=0,"",IF(AND(AU$5&gt;=$K53,AU$5&lt;=$L53),IF(NETWORKDAYS($K53,AU$5,休日)=1,"○",IF(NETWORKDAYS(AU$5,$L53,休日)=1,"▶","→")),"")))</f>
        <v/>
      </c>
      <c r="AV53" s="116">
        <f>IF(OR($K53="",$L53=""),"",IF(NETWORKDAYS(AV$5,AV$5,休日)=0,"",IF(AND(AV$5&gt;=$K53,AV$5&lt;=$L53),IF(NETWORKDAYS($K53,AV$5,休日)=1,"○",IF(NETWORKDAYS(AV$5,$L53,休日)=1,"▶","→")),"")))</f>
        <v/>
      </c>
      <c r="AW53" s="116">
        <f>IF(OR($K53="",$L53=""),"",IF(NETWORKDAYS(AW$5,AW$5,休日)=0,"",IF(AND(AW$5&gt;=$K53,AW$5&lt;=$L53),IF(NETWORKDAYS($K53,AW$5,休日)=1,"○",IF(NETWORKDAYS(AW$5,$L53,休日)=1,"▶","→")),"")))</f>
        <v/>
      </c>
      <c r="AX53" s="116">
        <f>IF(OR($K53="",$L53=""),"",IF(NETWORKDAYS(AX$5,AX$5,休日)=0,"",IF(AND(AX$5&gt;=$K53,AX$5&lt;=$L53),IF(NETWORKDAYS($K53,AX$5,休日)=1,"○",IF(NETWORKDAYS(AX$5,$L53,休日)=1,"▶","→")),"")))</f>
        <v/>
      </c>
      <c r="AY53" s="116">
        <f>IF(OR($K53="",$L53=""),"",IF(NETWORKDAYS(AY$5,AY$5,休日)=0,"",IF(AND(AY$5&gt;=$K53,AY$5&lt;=$L53),IF(NETWORKDAYS($K53,AY$5,休日)=1,"○",IF(NETWORKDAYS(AY$5,$L53,休日)=1,"▶","→")),"")))</f>
        <v/>
      </c>
      <c r="AZ53" s="116">
        <f>IF(OR($K53="",$L53=""),"",IF(NETWORKDAYS(AZ$5,AZ$5,休日)=0,"",IF(AND(AZ$5&gt;=$K53,AZ$5&lt;=$L53),IF(NETWORKDAYS($K53,AZ$5,休日)=1,"○",IF(NETWORKDAYS(AZ$5,$L53,休日)=1,"▶","→")),"")))</f>
        <v/>
      </c>
      <c r="BA53" s="116">
        <f>IF(OR($K53="",$L53=""),"",IF(NETWORKDAYS(BA$5,BA$5,休日)=0,"",IF(AND(BA$5&gt;=$K53,BA$5&lt;=$L53),IF(NETWORKDAYS($K53,BA$5,休日)=1,"○",IF(NETWORKDAYS(BA$5,$L53,休日)=1,"▶","→")),"")))</f>
        <v/>
      </c>
      <c r="BB53" s="116">
        <f>IF(OR($K53="",$L53=""),"",IF(NETWORKDAYS(BB$5,BB$5,休日)=0,"",IF(AND(BB$5&gt;=$K53,BB$5&lt;=$L53),IF(NETWORKDAYS($K53,BB$5,休日)=1,"○",IF(NETWORKDAYS(BB$5,$L53,休日)=1,"▶","→")),"")))</f>
        <v/>
      </c>
      <c r="BC53" s="116">
        <f>IF(OR($K53="",$L53=""),"",IF(NETWORKDAYS(BC$5,BC$5,休日)=0,"",IF(AND(BC$5&gt;=$K53,BC$5&lt;=$L53),IF(NETWORKDAYS($K53,BC$5,休日)=1,"○",IF(NETWORKDAYS(BC$5,$L53,休日)=1,"▶","→")),"")))</f>
        <v/>
      </c>
      <c r="BD53" s="116">
        <f>IF(OR($K53="",$L53=""),"",IF(NETWORKDAYS(BD$5,BD$5,休日)=0,"",IF(AND(BD$5&gt;=$K53,BD$5&lt;=$L53),IF(NETWORKDAYS($K53,BD$5,休日)=1,"○",IF(NETWORKDAYS(BD$5,$L53,休日)=1,"▶","→")),"")))</f>
        <v/>
      </c>
      <c r="BE53" s="116">
        <f>IF(OR($K53="",$L53=""),"",IF(NETWORKDAYS(BE$5,BE$5,休日)=0,"",IF(AND(BE$5&gt;=$K53,BE$5&lt;=$L53),IF(NETWORKDAYS($K53,BE$5,休日)=1,"○",IF(NETWORKDAYS(BE$5,$L53,休日)=1,"▶","→")),"")))</f>
        <v/>
      </c>
      <c r="BF53" s="116">
        <f>IF(OR($K53="",$L53=""),"",IF(NETWORKDAYS(BF$5,BF$5,休日)=0,"",IF(AND(BF$5&gt;=$K53,BF$5&lt;=$L53),IF(NETWORKDAYS($K53,BF$5,休日)=1,"○",IF(NETWORKDAYS(BF$5,$L53,休日)=1,"▶","→")),"")))</f>
        <v/>
      </c>
      <c r="BG53" s="116">
        <f>IF(OR($K53="",$L53=""),"",IF(NETWORKDAYS(BG$5,BG$5,休日)=0,"",IF(AND(BG$5&gt;=$K53,BG$5&lt;=$L53),IF(NETWORKDAYS($K53,BG$5,休日)=1,"○",IF(NETWORKDAYS(BG$5,$L53,休日)=1,"▶","→")),"")))</f>
        <v/>
      </c>
      <c r="BH53" s="116">
        <f>IF(OR($K53="",$L53=""),"",IF(NETWORKDAYS(BH$5,BH$5,休日)=0,"",IF(AND(BH$5&gt;=$K53,BH$5&lt;=$L53),IF(NETWORKDAYS($K53,BH$5,休日)=1,"○",IF(NETWORKDAYS(BH$5,$L53,休日)=1,"▶","→")),"")))</f>
        <v/>
      </c>
      <c r="BI53" s="116">
        <f>IF(OR($K53="",$L53=""),"",IF(NETWORKDAYS(BI$5,BI$5,休日)=0,"",IF(AND(BI$5&gt;=$K53,BI$5&lt;=$L53),IF(NETWORKDAYS($K53,BI$5,休日)=1,"○",IF(NETWORKDAYS(BI$5,$L53,休日)=1,"▶","→")),"")))</f>
        <v/>
      </c>
      <c r="BJ53" s="116">
        <f>IF(OR($K53="",$L53=""),"",IF(NETWORKDAYS(BJ$5,BJ$5,休日)=0,"",IF(AND(BJ$5&gt;=$K53,BJ$5&lt;=$L53),IF(NETWORKDAYS($K53,BJ$5,休日)=1,"○",IF(NETWORKDAYS(BJ$5,$L53,休日)=1,"▶","→")),"")))</f>
        <v/>
      </c>
      <c r="BK53" s="116">
        <f>IF(OR($K53="",$L53=""),"",IF(NETWORKDAYS(BK$5,BK$5,休日)=0,"",IF(AND(BK$5&gt;=$K53,BK$5&lt;=$L53),IF(NETWORKDAYS($K53,BK$5,休日)=1,"○",IF(NETWORKDAYS(BK$5,$L53,休日)=1,"▶","→")),"")))</f>
        <v/>
      </c>
      <c r="BL53" s="116">
        <f>IF(OR($K53="",$L53=""),"",IF(NETWORKDAYS(BL$5,BL$5,休日)=0,"",IF(AND(BL$5&gt;=$K53,BL$5&lt;=$L53),IF(NETWORKDAYS($K53,BL$5,休日)=1,"○",IF(NETWORKDAYS(BL$5,$L53,休日)=1,"▶","→")),"")))</f>
        <v/>
      </c>
      <c r="BM53" s="116">
        <f>IF(OR($K53="",$L53=""),"",IF(NETWORKDAYS(BM$5,BM$5,休日)=0,"",IF(AND(BM$5&gt;=$K53,BM$5&lt;=$L53),IF(NETWORKDAYS($K53,BM$5,休日)=1,"○",IF(NETWORKDAYS(BM$5,$L53,休日)=1,"▶","→")),"")))</f>
        <v/>
      </c>
      <c r="BN53" s="116">
        <f>IF(OR($K53="",$L53=""),"",IF(NETWORKDAYS(BN$5,BN$5,休日)=0,"",IF(AND(BN$5&gt;=$K53,BN$5&lt;=$L53),IF(NETWORKDAYS($K53,BN$5,休日)=1,"○",IF(NETWORKDAYS(BN$5,$L53,休日)=1,"▶","→")),"")))</f>
        <v/>
      </c>
      <c r="BO53" s="116">
        <f>IF(OR($K53="",$L53=""),"",IF(NETWORKDAYS(BO$5,BO$5,休日)=0,"",IF(AND(BO$5&gt;=$K53,BO$5&lt;=$L53),IF(NETWORKDAYS($K53,BO$5,休日)=1,"○",IF(NETWORKDAYS(BO$5,$L53,休日)=1,"▶","→")),"")))</f>
        <v/>
      </c>
      <c r="BP53" s="116">
        <f>IF(OR($K53="",$L53=""),"",IF(NETWORKDAYS(BP$5,BP$5,休日)=0,"",IF(AND(BP$5&gt;=$K53,BP$5&lt;=$L53),IF(NETWORKDAYS($K53,BP$5,休日)=1,"○",IF(NETWORKDAYS(BP$5,$L53,休日)=1,"▶","→")),"")))</f>
        <v/>
      </c>
      <c r="BQ53" s="116">
        <f>IF(OR($K53="",$L53=""),"",IF(NETWORKDAYS(BQ$5,BQ$5,休日)=0,"",IF(AND(BQ$5&gt;=$K53,BQ$5&lt;=$L53),IF(NETWORKDAYS($K53,BQ$5,休日)=1,"○",IF(NETWORKDAYS(BQ$5,$L53,休日)=1,"▶","→")),"")))</f>
        <v/>
      </c>
      <c r="BR53" s="116">
        <f>IF(OR($K53="",$L53=""),"",IF(NETWORKDAYS(BR$5,BR$5,休日)=0,"",IF(AND(BR$5&gt;=$K53,BR$5&lt;=$L53),IF(NETWORKDAYS($K53,BR$5,休日)=1,"○",IF(NETWORKDAYS(BR$5,$L53,休日)=1,"▶","→")),"")))</f>
        <v/>
      </c>
      <c r="BS53" s="116">
        <f>IF(OR($K53="",$L53=""),"",IF(NETWORKDAYS(BS$5,BS$5,休日)=0,"",IF(AND(BS$5&gt;=$K53,BS$5&lt;=$L53),IF(NETWORKDAYS($K53,BS$5,休日)=1,"○",IF(NETWORKDAYS(BS$5,$L53,休日)=1,"▶","→")),"")))</f>
        <v/>
      </c>
      <c r="BT53" s="116">
        <f>IF(OR($K53="",$L53=""),"",IF(NETWORKDAYS(BT$5,BT$5,休日)=0,"",IF(AND(BT$5&gt;=$K53,BT$5&lt;=$L53),IF(NETWORKDAYS($K53,BT$5,休日)=1,"○",IF(NETWORKDAYS(BT$5,$L53,休日)=1,"▶","→")),"")))</f>
        <v/>
      </c>
      <c r="BU53" s="116">
        <f>IF(OR($K53="",$L53=""),"",IF(NETWORKDAYS(BU$5,BU$5,休日)=0,"",IF(AND(BU$5&gt;=$K53,BU$5&lt;=$L53),IF(NETWORKDAYS($K53,BU$5,休日)=1,"○",IF(NETWORKDAYS(BU$5,$L53,休日)=1,"▶","→")),"")))</f>
        <v/>
      </c>
      <c r="BV53" s="116">
        <f>IF(OR($K53="",$L53=""),"",IF(NETWORKDAYS(BV$5,BV$5,休日)=0,"",IF(AND(BV$5&gt;=$K53,BV$5&lt;=$L53),IF(NETWORKDAYS($K53,BV$5,休日)=1,"○",IF(NETWORKDAYS(BV$5,$L53,休日)=1,"▶","→")),"")))</f>
        <v/>
      </c>
      <c r="BW53" s="116">
        <f>IF(OR($K53="",$L53=""),"",IF(NETWORKDAYS(BW$5,BW$5,休日)=0,"",IF(AND(BW$5&gt;=$K53,BW$5&lt;=$L53),IF(NETWORKDAYS($K53,BW$5,休日)=1,"○",IF(NETWORKDAYS(BW$5,$L53,休日)=1,"▶","→")),"")))</f>
        <v/>
      </c>
      <c r="BX53" s="116">
        <f>IF(OR($K53="",$L53=""),"",IF(NETWORKDAYS(BX$5,BX$5,休日)=0,"",IF(AND(BX$5&gt;=$K53,BX$5&lt;=$L53),IF(NETWORKDAYS($K53,BX$5,休日)=1,"○",IF(NETWORKDAYS(BX$5,$L53,休日)=1,"▶","→")),"")))</f>
        <v/>
      </c>
      <c r="BY53" s="116">
        <f>IF(OR($K53="",$L53=""),"",IF(NETWORKDAYS(BY$5,BY$5,休日)=0,"",IF(AND(BY$5&gt;=$K53,BY$5&lt;=$L53),IF(NETWORKDAYS($K53,BY$5,休日)=1,"○",IF(NETWORKDAYS(BY$5,$L53,休日)=1,"▶","→")),"")))</f>
        <v/>
      </c>
      <c r="BZ53" s="116">
        <f>IF(OR($K53="",$L53=""),"",IF(NETWORKDAYS(BZ$5,BZ$5,休日)=0,"",IF(AND(BZ$5&gt;=$K53,BZ$5&lt;=$L53),IF(NETWORKDAYS($K53,BZ$5,休日)=1,"○",IF(NETWORKDAYS(BZ$5,$L53,休日)=1,"▶","→")),"")))</f>
        <v/>
      </c>
      <c r="CA53" s="116">
        <f>IF(OR($K53="",$L53=""),"",IF(NETWORKDAYS(CA$5,CA$5,休日)=0,"",IF(AND(CA$5&gt;=$K53,CA$5&lt;=$L53),IF(NETWORKDAYS($K53,CA$5,休日)=1,"○",IF(NETWORKDAYS(CA$5,$L53,休日)=1,"▶","→")),"")))</f>
        <v/>
      </c>
      <c r="CB53" s="116">
        <f>IF(OR($K53="",$L53=""),"",IF(NETWORKDAYS(CB$5,CB$5,休日)=0,"",IF(AND(CB$5&gt;=$K53,CB$5&lt;=$L53),IF(NETWORKDAYS($K53,CB$5,休日)=1,"○",IF(NETWORKDAYS(CB$5,$L53,休日)=1,"▶","→")),"")))</f>
        <v/>
      </c>
      <c r="CC53" s="116">
        <f>IF(OR($K53="",$L53=""),"",IF(NETWORKDAYS(CC$5,CC$5,休日)=0,"",IF(AND(CC$5&gt;=$K53,CC$5&lt;=$L53),IF(NETWORKDAYS($K53,CC$5,休日)=1,"○",IF(NETWORKDAYS(CC$5,$L53,休日)=1,"▶","→")),"")))</f>
        <v/>
      </c>
      <c r="CD53" s="116">
        <f>IF(OR($K53="",$L53=""),"",IF(NETWORKDAYS(CD$5,CD$5,休日)=0,"",IF(AND(CD$5&gt;=$K53,CD$5&lt;=$L53),IF(NETWORKDAYS($K53,CD$5,休日)=1,"○",IF(NETWORKDAYS(CD$5,$L53,休日)=1,"▶","→")),"")))</f>
        <v/>
      </c>
      <c r="CE53" s="116">
        <f>IF(OR($K53="",$L53=""),"",IF(NETWORKDAYS(CE$5,CE$5,休日)=0,"",IF(AND(CE$5&gt;=$K53,CE$5&lt;=$L53),IF(NETWORKDAYS($K53,CE$5,休日)=1,"○",IF(NETWORKDAYS(CE$5,$L53,休日)=1,"▶","→")),"")))</f>
        <v/>
      </c>
      <c r="CF53" s="116">
        <f>IF(OR($K53="",$L53=""),"",IF(NETWORKDAYS(CF$5,CF$5,休日)=0,"",IF(AND(CF$5&gt;=$K53,CF$5&lt;=$L53),IF(NETWORKDAYS($K53,CF$5,休日)=1,"○",IF(NETWORKDAYS(CF$5,$L53,休日)=1,"▶","→")),"")))</f>
        <v/>
      </c>
      <c r="CG53" s="116">
        <f>IF(OR($K53="",$L53=""),"",IF(NETWORKDAYS(CG$5,CG$5,休日)=0,"",IF(AND(CG$5&gt;=$K53,CG$5&lt;=$L53),IF(NETWORKDAYS($K53,CG$5,休日)=1,"○",IF(NETWORKDAYS(CG$5,$L53,休日)=1,"▶","→")),"")))</f>
        <v/>
      </c>
      <c r="CH53" s="116">
        <f>IF(OR($K53="",$L53=""),"",IF(NETWORKDAYS(CH$5,CH$5,休日)=0,"",IF(AND(CH$5&gt;=$K53,CH$5&lt;=$L53),IF(NETWORKDAYS($K53,CH$5,休日)=1,"○",IF(NETWORKDAYS(CH$5,$L53,休日)=1,"▶","→")),"")))</f>
        <v/>
      </c>
      <c r="CI53" s="116">
        <f>IF(OR($K53="",$L53=""),"",IF(NETWORKDAYS(CI$5,CI$5,休日)=0,"",IF(AND(CI$5&gt;=$K53,CI$5&lt;=$L53),IF(NETWORKDAYS($K53,CI$5,休日)=1,"○",IF(NETWORKDAYS(CI$5,$L53,休日)=1,"▶","→")),"")))</f>
        <v/>
      </c>
      <c r="CJ53" s="116">
        <f>IF(OR($K53="",$L53=""),"",IF(NETWORKDAYS(CJ$5,CJ$5,休日)=0,"",IF(AND(CJ$5&gt;=$K53,CJ$5&lt;=$L53),IF(NETWORKDAYS($K53,CJ$5,休日)=1,"○",IF(NETWORKDAYS(CJ$5,$L53,休日)=1,"▶","→")),"")))</f>
        <v/>
      </c>
      <c r="CK53" s="116">
        <f>IF(OR($K53="",$L53=""),"",IF(NETWORKDAYS(CK$5,CK$5,休日)=0,"",IF(AND(CK$5&gt;=$K53,CK$5&lt;=$L53),IF(NETWORKDAYS($K53,CK$5,休日)=1,"○",IF(NETWORKDAYS(CK$5,$L53,休日)=1,"▶","→")),"")))</f>
        <v/>
      </c>
      <c r="CL53" s="116">
        <f>IF(OR($K53="",$L53=""),"",IF(NETWORKDAYS(CL$5,CL$5,休日)=0,"",IF(AND(CL$5&gt;=$K53,CL$5&lt;=$L53),IF(NETWORKDAYS($K53,CL$5,休日)=1,"○",IF(NETWORKDAYS(CL$5,$L53,休日)=1,"▶","→")),"")))</f>
        <v/>
      </c>
      <c r="CM53" s="116">
        <f>IF(OR($K53="",$L53=""),"",IF(NETWORKDAYS(CM$5,CM$5,休日)=0,"",IF(AND(CM$5&gt;=$K53,CM$5&lt;=$L53),IF(NETWORKDAYS($K53,CM$5,休日)=1,"○",IF(NETWORKDAYS(CM$5,$L53,休日)=1,"▶","→")),"")))</f>
        <v/>
      </c>
      <c r="CN53" s="116">
        <f>IF(OR($K53="",$L53=""),"",IF(NETWORKDAYS(CN$5,CN$5,休日)=0,"",IF(AND(CN$5&gt;=$K53,CN$5&lt;=$L53),IF(NETWORKDAYS($K53,CN$5,休日)=1,"○",IF(NETWORKDAYS(CN$5,$L53,休日)=1,"▶","→")),"")))</f>
        <v/>
      </c>
      <c r="CO53" s="116">
        <f>IF(OR($K53="",$L53=""),"",IF(NETWORKDAYS(CO$5,CO$5,休日)=0,"",IF(AND(CO$5&gt;=$K53,CO$5&lt;=$L53),IF(NETWORKDAYS($K53,CO$5,休日)=1,"○",IF(NETWORKDAYS(CO$5,$L53,休日)=1,"▶","→")),"")))</f>
        <v/>
      </c>
    </row>
    <row r="54" ht="32" customHeight="1" s="98">
      <c r="A54" s="5" t="n"/>
      <c r="B54" s="100" t="inlineStr">
        <is>
          <t>4.1.8</t>
        </is>
      </c>
      <c r="C54" s="101" t="inlineStr">
        <is>
          <t>単体テスト</t>
        </is>
      </c>
      <c r="D54" s="101" t="inlineStr">
        <is>
          <t>Layer③</t>
        </is>
      </c>
      <c r="E54" s="101" t="inlineStr">
        <is>
          <t>生鮮入荷実績</t>
        </is>
      </c>
      <c r="F54" s="101" t="inlineStr">
        <is>
          <t>生鮮入荷実績</t>
        </is>
      </c>
      <c r="G54" s="100" t="inlineStr">
        <is>
          <t>差分</t>
        </is>
      </c>
      <c r="H54" s="100" t="inlineStr">
        <is>
          <t>未定</t>
        </is>
      </c>
      <c r="I54" s="113" t="n">
        <v>1</v>
      </c>
      <c r="J54" s="100" t="inlineStr">
        <is>
          <t>－</t>
        </is>
      </c>
      <c r="K54" s="114" t="n">
        <v>46363</v>
      </c>
      <c r="L54" s="114" t="n">
        <v>46381</v>
      </c>
      <c r="M54" s="114" t="n"/>
      <c r="N54" s="114" t="n"/>
      <c r="O54" s="100" t="inlineStr">
        <is>
          <t>未着手</t>
        </is>
      </c>
      <c r="P54" s="115" t="n">
        <v>0</v>
      </c>
      <c r="Q54" s="100" t="inlineStr">
        <is>
          <t>－</t>
        </is>
      </c>
      <c r="R54" s="101" t="inlineStr">
        <is>
          <t>出典は塊として12/7–12/25。IFごとの日付は分割されていない。担当は未定</t>
        </is>
      </c>
      <c r="S54" s="116">
        <f>IF(OR($K54="",$L54=""),"",IF(NETWORKDAYS(S$5,S$5,休日)=0,"",IF(AND(S$5&gt;=$K54,S$5&lt;=$L54),IF(NETWORKDAYS($K54,S$5,休日)=1,"○",IF(NETWORKDAYS(S$5,$L54,休日)=1,"▶","→")),"")))</f>
        <v/>
      </c>
      <c r="T54" s="116">
        <f>IF(OR($K54="",$L54=""),"",IF(NETWORKDAYS(T$5,T$5,休日)=0,"",IF(AND(T$5&gt;=$K54,T$5&lt;=$L54),IF(NETWORKDAYS($K54,T$5,休日)=1,"○",IF(NETWORKDAYS(T$5,$L54,休日)=1,"▶","→")),"")))</f>
        <v/>
      </c>
      <c r="U54" s="116">
        <f>IF(OR($K54="",$L54=""),"",IF(NETWORKDAYS(U$5,U$5,休日)=0,"",IF(AND(U$5&gt;=$K54,U$5&lt;=$L54),IF(NETWORKDAYS($K54,U$5,休日)=1,"○",IF(NETWORKDAYS(U$5,$L54,休日)=1,"▶","→")),"")))</f>
        <v/>
      </c>
      <c r="V54" s="116">
        <f>IF(OR($K54="",$L54=""),"",IF(NETWORKDAYS(V$5,V$5,休日)=0,"",IF(AND(V$5&gt;=$K54,V$5&lt;=$L54),IF(NETWORKDAYS($K54,V$5,休日)=1,"○",IF(NETWORKDAYS(V$5,$L54,休日)=1,"▶","→")),"")))</f>
        <v/>
      </c>
      <c r="W54" s="116">
        <f>IF(OR($K54="",$L54=""),"",IF(NETWORKDAYS(W$5,W$5,休日)=0,"",IF(AND(W$5&gt;=$K54,W$5&lt;=$L54),IF(NETWORKDAYS($K54,W$5,休日)=1,"○",IF(NETWORKDAYS(W$5,$L54,休日)=1,"▶","→")),"")))</f>
        <v/>
      </c>
      <c r="X54" s="116">
        <f>IF(OR($K54="",$L54=""),"",IF(NETWORKDAYS(X$5,X$5,休日)=0,"",IF(AND(X$5&gt;=$K54,X$5&lt;=$L54),IF(NETWORKDAYS($K54,X$5,休日)=1,"○",IF(NETWORKDAYS(X$5,$L54,休日)=1,"▶","→")),"")))</f>
        <v/>
      </c>
      <c r="Y54" s="116">
        <f>IF(OR($K54="",$L54=""),"",IF(NETWORKDAYS(Y$5,Y$5,休日)=0,"",IF(AND(Y$5&gt;=$K54,Y$5&lt;=$L54),IF(NETWORKDAYS($K54,Y$5,休日)=1,"○",IF(NETWORKDAYS(Y$5,$L54,休日)=1,"▶","→")),"")))</f>
        <v/>
      </c>
      <c r="Z54" s="116">
        <f>IF(OR($K54="",$L54=""),"",IF(NETWORKDAYS(Z$5,Z$5,休日)=0,"",IF(AND(Z$5&gt;=$K54,Z$5&lt;=$L54),IF(NETWORKDAYS($K54,Z$5,休日)=1,"○",IF(NETWORKDAYS(Z$5,$L54,休日)=1,"▶","→")),"")))</f>
        <v/>
      </c>
      <c r="AA54" s="116">
        <f>IF(OR($K54="",$L54=""),"",IF(NETWORKDAYS(AA$5,AA$5,休日)=0,"",IF(AND(AA$5&gt;=$K54,AA$5&lt;=$L54),IF(NETWORKDAYS($K54,AA$5,休日)=1,"○",IF(NETWORKDAYS(AA$5,$L54,休日)=1,"▶","→")),"")))</f>
        <v/>
      </c>
      <c r="AB54" s="116">
        <f>IF(OR($K54="",$L54=""),"",IF(NETWORKDAYS(AB$5,AB$5,休日)=0,"",IF(AND(AB$5&gt;=$K54,AB$5&lt;=$L54),IF(NETWORKDAYS($K54,AB$5,休日)=1,"○",IF(NETWORKDAYS(AB$5,$L54,休日)=1,"▶","→")),"")))</f>
        <v/>
      </c>
      <c r="AC54" s="116">
        <f>IF(OR($K54="",$L54=""),"",IF(NETWORKDAYS(AC$5,AC$5,休日)=0,"",IF(AND(AC$5&gt;=$K54,AC$5&lt;=$L54),IF(NETWORKDAYS($K54,AC$5,休日)=1,"○",IF(NETWORKDAYS(AC$5,$L54,休日)=1,"▶","→")),"")))</f>
        <v/>
      </c>
      <c r="AD54" s="116">
        <f>IF(OR($K54="",$L54=""),"",IF(NETWORKDAYS(AD$5,AD$5,休日)=0,"",IF(AND(AD$5&gt;=$K54,AD$5&lt;=$L54),IF(NETWORKDAYS($K54,AD$5,休日)=1,"○",IF(NETWORKDAYS(AD$5,$L54,休日)=1,"▶","→")),"")))</f>
        <v/>
      </c>
      <c r="AE54" s="116">
        <f>IF(OR($K54="",$L54=""),"",IF(NETWORKDAYS(AE$5,AE$5,休日)=0,"",IF(AND(AE$5&gt;=$K54,AE$5&lt;=$L54),IF(NETWORKDAYS($K54,AE$5,休日)=1,"○",IF(NETWORKDAYS(AE$5,$L54,休日)=1,"▶","→")),"")))</f>
        <v/>
      </c>
      <c r="AF54" s="116">
        <f>IF(OR($K54="",$L54=""),"",IF(NETWORKDAYS(AF$5,AF$5,休日)=0,"",IF(AND(AF$5&gt;=$K54,AF$5&lt;=$L54),IF(NETWORKDAYS($K54,AF$5,休日)=1,"○",IF(NETWORKDAYS(AF$5,$L54,休日)=1,"▶","→")),"")))</f>
        <v/>
      </c>
      <c r="AG54" s="116">
        <f>IF(OR($K54="",$L54=""),"",IF(NETWORKDAYS(AG$5,AG$5,休日)=0,"",IF(AND(AG$5&gt;=$K54,AG$5&lt;=$L54),IF(NETWORKDAYS($K54,AG$5,休日)=1,"○",IF(NETWORKDAYS(AG$5,$L54,休日)=1,"▶","→")),"")))</f>
        <v/>
      </c>
      <c r="AH54" s="116">
        <f>IF(OR($K54="",$L54=""),"",IF(NETWORKDAYS(AH$5,AH$5,休日)=0,"",IF(AND(AH$5&gt;=$K54,AH$5&lt;=$L54),IF(NETWORKDAYS($K54,AH$5,休日)=1,"○",IF(NETWORKDAYS(AH$5,$L54,休日)=1,"▶","→")),"")))</f>
        <v/>
      </c>
      <c r="AI54" s="116">
        <f>IF(OR($K54="",$L54=""),"",IF(NETWORKDAYS(AI$5,AI$5,休日)=0,"",IF(AND(AI$5&gt;=$K54,AI$5&lt;=$L54),IF(NETWORKDAYS($K54,AI$5,休日)=1,"○",IF(NETWORKDAYS(AI$5,$L54,休日)=1,"▶","→")),"")))</f>
        <v/>
      </c>
      <c r="AJ54" s="116">
        <f>IF(OR($K54="",$L54=""),"",IF(NETWORKDAYS(AJ$5,AJ$5,休日)=0,"",IF(AND(AJ$5&gt;=$K54,AJ$5&lt;=$L54),IF(NETWORKDAYS($K54,AJ$5,休日)=1,"○",IF(NETWORKDAYS(AJ$5,$L54,休日)=1,"▶","→")),"")))</f>
        <v/>
      </c>
      <c r="AK54" s="116">
        <f>IF(OR($K54="",$L54=""),"",IF(NETWORKDAYS(AK$5,AK$5,休日)=0,"",IF(AND(AK$5&gt;=$K54,AK$5&lt;=$L54),IF(NETWORKDAYS($K54,AK$5,休日)=1,"○",IF(NETWORKDAYS(AK$5,$L54,休日)=1,"▶","→")),"")))</f>
        <v/>
      </c>
      <c r="AL54" s="116">
        <f>IF(OR($K54="",$L54=""),"",IF(NETWORKDAYS(AL$5,AL$5,休日)=0,"",IF(AND(AL$5&gt;=$K54,AL$5&lt;=$L54),IF(NETWORKDAYS($K54,AL$5,休日)=1,"○",IF(NETWORKDAYS(AL$5,$L54,休日)=1,"▶","→")),"")))</f>
        <v/>
      </c>
      <c r="AM54" s="116">
        <f>IF(OR($K54="",$L54=""),"",IF(NETWORKDAYS(AM$5,AM$5,休日)=0,"",IF(AND(AM$5&gt;=$K54,AM$5&lt;=$L54),IF(NETWORKDAYS($K54,AM$5,休日)=1,"○",IF(NETWORKDAYS(AM$5,$L54,休日)=1,"▶","→")),"")))</f>
        <v/>
      </c>
      <c r="AN54" s="116">
        <f>IF(OR($K54="",$L54=""),"",IF(NETWORKDAYS(AN$5,AN$5,休日)=0,"",IF(AND(AN$5&gt;=$K54,AN$5&lt;=$L54),IF(NETWORKDAYS($K54,AN$5,休日)=1,"○",IF(NETWORKDAYS(AN$5,$L54,休日)=1,"▶","→")),"")))</f>
        <v/>
      </c>
      <c r="AO54" s="116">
        <f>IF(OR($K54="",$L54=""),"",IF(NETWORKDAYS(AO$5,AO$5,休日)=0,"",IF(AND(AO$5&gt;=$K54,AO$5&lt;=$L54),IF(NETWORKDAYS($K54,AO$5,休日)=1,"○",IF(NETWORKDAYS(AO$5,$L54,休日)=1,"▶","→")),"")))</f>
        <v/>
      </c>
      <c r="AP54" s="116">
        <f>IF(OR($K54="",$L54=""),"",IF(NETWORKDAYS(AP$5,AP$5,休日)=0,"",IF(AND(AP$5&gt;=$K54,AP$5&lt;=$L54),IF(NETWORKDAYS($K54,AP$5,休日)=1,"○",IF(NETWORKDAYS(AP$5,$L54,休日)=1,"▶","→")),"")))</f>
        <v/>
      </c>
      <c r="AQ54" s="116">
        <f>IF(OR($K54="",$L54=""),"",IF(NETWORKDAYS(AQ$5,AQ$5,休日)=0,"",IF(AND(AQ$5&gt;=$K54,AQ$5&lt;=$L54),IF(NETWORKDAYS($K54,AQ$5,休日)=1,"○",IF(NETWORKDAYS(AQ$5,$L54,休日)=1,"▶","→")),"")))</f>
        <v/>
      </c>
      <c r="AR54" s="116">
        <f>IF(OR($K54="",$L54=""),"",IF(NETWORKDAYS(AR$5,AR$5,休日)=0,"",IF(AND(AR$5&gt;=$K54,AR$5&lt;=$L54),IF(NETWORKDAYS($K54,AR$5,休日)=1,"○",IF(NETWORKDAYS(AR$5,$L54,休日)=1,"▶","→")),"")))</f>
        <v/>
      </c>
      <c r="AS54" s="116">
        <f>IF(OR($K54="",$L54=""),"",IF(NETWORKDAYS(AS$5,AS$5,休日)=0,"",IF(AND(AS$5&gt;=$K54,AS$5&lt;=$L54),IF(NETWORKDAYS($K54,AS$5,休日)=1,"○",IF(NETWORKDAYS(AS$5,$L54,休日)=1,"▶","→")),"")))</f>
        <v/>
      </c>
      <c r="AT54" s="116">
        <f>IF(OR($K54="",$L54=""),"",IF(NETWORKDAYS(AT$5,AT$5,休日)=0,"",IF(AND(AT$5&gt;=$K54,AT$5&lt;=$L54),IF(NETWORKDAYS($K54,AT$5,休日)=1,"○",IF(NETWORKDAYS(AT$5,$L54,休日)=1,"▶","→")),"")))</f>
        <v/>
      </c>
      <c r="AU54" s="116">
        <f>IF(OR($K54="",$L54=""),"",IF(NETWORKDAYS(AU$5,AU$5,休日)=0,"",IF(AND(AU$5&gt;=$K54,AU$5&lt;=$L54),IF(NETWORKDAYS($K54,AU$5,休日)=1,"○",IF(NETWORKDAYS(AU$5,$L54,休日)=1,"▶","→")),"")))</f>
        <v/>
      </c>
      <c r="AV54" s="116">
        <f>IF(OR($K54="",$L54=""),"",IF(NETWORKDAYS(AV$5,AV$5,休日)=0,"",IF(AND(AV$5&gt;=$K54,AV$5&lt;=$L54),IF(NETWORKDAYS($K54,AV$5,休日)=1,"○",IF(NETWORKDAYS(AV$5,$L54,休日)=1,"▶","→")),"")))</f>
        <v/>
      </c>
      <c r="AW54" s="116">
        <f>IF(OR($K54="",$L54=""),"",IF(NETWORKDAYS(AW$5,AW$5,休日)=0,"",IF(AND(AW$5&gt;=$K54,AW$5&lt;=$L54),IF(NETWORKDAYS($K54,AW$5,休日)=1,"○",IF(NETWORKDAYS(AW$5,$L54,休日)=1,"▶","→")),"")))</f>
        <v/>
      </c>
      <c r="AX54" s="116">
        <f>IF(OR($K54="",$L54=""),"",IF(NETWORKDAYS(AX$5,AX$5,休日)=0,"",IF(AND(AX$5&gt;=$K54,AX$5&lt;=$L54),IF(NETWORKDAYS($K54,AX$5,休日)=1,"○",IF(NETWORKDAYS(AX$5,$L54,休日)=1,"▶","→")),"")))</f>
        <v/>
      </c>
      <c r="AY54" s="116">
        <f>IF(OR($K54="",$L54=""),"",IF(NETWORKDAYS(AY$5,AY$5,休日)=0,"",IF(AND(AY$5&gt;=$K54,AY$5&lt;=$L54),IF(NETWORKDAYS($K54,AY$5,休日)=1,"○",IF(NETWORKDAYS(AY$5,$L54,休日)=1,"▶","→")),"")))</f>
        <v/>
      </c>
      <c r="AZ54" s="116">
        <f>IF(OR($K54="",$L54=""),"",IF(NETWORKDAYS(AZ$5,AZ$5,休日)=0,"",IF(AND(AZ$5&gt;=$K54,AZ$5&lt;=$L54),IF(NETWORKDAYS($K54,AZ$5,休日)=1,"○",IF(NETWORKDAYS(AZ$5,$L54,休日)=1,"▶","→")),"")))</f>
        <v/>
      </c>
      <c r="BA54" s="116">
        <f>IF(OR($K54="",$L54=""),"",IF(NETWORKDAYS(BA$5,BA$5,休日)=0,"",IF(AND(BA$5&gt;=$K54,BA$5&lt;=$L54),IF(NETWORKDAYS($K54,BA$5,休日)=1,"○",IF(NETWORKDAYS(BA$5,$L54,休日)=1,"▶","→")),"")))</f>
        <v/>
      </c>
      <c r="BB54" s="116">
        <f>IF(OR($K54="",$L54=""),"",IF(NETWORKDAYS(BB$5,BB$5,休日)=0,"",IF(AND(BB$5&gt;=$K54,BB$5&lt;=$L54),IF(NETWORKDAYS($K54,BB$5,休日)=1,"○",IF(NETWORKDAYS(BB$5,$L54,休日)=1,"▶","→")),"")))</f>
        <v/>
      </c>
      <c r="BC54" s="116">
        <f>IF(OR($K54="",$L54=""),"",IF(NETWORKDAYS(BC$5,BC$5,休日)=0,"",IF(AND(BC$5&gt;=$K54,BC$5&lt;=$L54),IF(NETWORKDAYS($K54,BC$5,休日)=1,"○",IF(NETWORKDAYS(BC$5,$L54,休日)=1,"▶","→")),"")))</f>
        <v/>
      </c>
      <c r="BD54" s="116">
        <f>IF(OR($K54="",$L54=""),"",IF(NETWORKDAYS(BD$5,BD$5,休日)=0,"",IF(AND(BD$5&gt;=$K54,BD$5&lt;=$L54),IF(NETWORKDAYS($K54,BD$5,休日)=1,"○",IF(NETWORKDAYS(BD$5,$L54,休日)=1,"▶","→")),"")))</f>
        <v/>
      </c>
      <c r="BE54" s="116">
        <f>IF(OR($K54="",$L54=""),"",IF(NETWORKDAYS(BE$5,BE$5,休日)=0,"",IF(AND(BE$5&gt;=$K54,BE$5&lt;=$L54),IF(NETWORKDAYS($K54,BE$5,休日)=1,"○",IF(NETWORKDAYS(BE$5,$L54,休日)=1,"▶","→")),"")))</f>
        <v/>
      </c>
      <c r="BF54" s="116">
        <f>IF(OR($K54="",$L54=""),"",IF(NETWORKDAYS(BF$5,BF$5,休日)=0,"",IF(AND(BF$5&gt;=$K54,BF$5&lt;=$L54),IF(NETWORKDAYS($K54,BF$5,休日)=1,"○",IF(NETWORKDAYS(BF$5,$L54,休日)=1,"▶","→")),"")))</f>
        <v/>
      </c>
      <c r="BG54" s="116">
        <f>IF(OR($K54="",$L54=""),"",IF(NETWORKDAYS(BG$5,BG$5,休日)=0,"",IF(AND(BG$5&gt;=$K54,BG$5&lt;=$L54),IF(NETWORKDAYS($K54,BG$5,休日)=1,"○",IF(NETWORKDAYS(BG$5,$L54,休日)=1,"▶","→")),"")))</f>
        <v/>
      </c>
      <c r="BH54" s="116">
        <f>IF(OR($K54="",$L54=""),"",IF(NETWORKDAYS(BH$5,BH$5,休日)=0,"",IF(AND(BH$5&gt;=$K54,BH$5&lt;=$L54),IF(NETWORKDAYS($K54,BH$5,休日)=1,"○",IF(NETWORKDAYS(BH$5,$L54,休日)=1,"▶","→")),"")))</f>
        <v/>
      </c>
      <c r="BI54" s="116">
        <f>IF(OR($K54="",$L54=""),"",IF(NETWORKDAYS(BI$5,BI$5,休日)=0,"",IF(AND(BI$5&gt;=$K54,BI$5&lt;=$L54),IF(NETWORKDAYS($K54,BI$5,休日)=1,"○",IF(NETWORKDAYS(BI$5,$L54,休日)=1,"▶","→")),"")))</f>
        <v/>
      </c>
      <c r="BJ54" s="116">
        <f>IF(OR($K54="",$L54=""),"",IF(NETWORKDAYS(BJ$5,BJ$5,休日)=0,"",IF(AND(BJ$5&gt;=$K54,BJ$5&lt;=$L54),IF(NETWORKDAYS($K54,BJ$5,休日)=1,"○",IF(NETWORKDAYS(BJ$5,$L54,休日)=1,"▶","→")),"")))</f>
        <v/>
      </c>
      <c r="BK54" s="116">
        <f>IF(OR($K54="",$L54=""),"",IF(NETWORKDAYS(BK$5,BK$5,休日)=0,"",IF(AND(BK$5&gt;=$K54,BK$5&lt;=$L54),IF(NETWORKDAYS($K54,BK$5,休日)=1,"○",IF(NETWORKDAYS(BK$5,$L54,休日)=1,"▶","→")),"")))</f>
        <v/>
      </c>
      <c r="BL54" s="116">
        <f>IF(OR($K54="",$L54=""),"",IF(NETWORKDAYS(BL$5,BL$5,休日)=0,"",IF(AND(BL$5&gt;=$K54,BL$5&lt;=$L54),IF(NETWORKDAYS($K54,BL$5,休日)=1,"○",IF(NETWORKDAYS(BL$5,$L54,休日)=1,"▶","→")),"")))</f>
        <v/>
      </c>
      <c r="BM54" s="116">
        <f>IF(OR($K54="",$L54=""),"",IF(NETWORKDAYS(BM$5,BM$5,休日)=0,"",IF(AND(BM$5&gt;=$K54,BM$5&lt;=$L54),IF(NETWORKDAYS($K54,BM$5,休日)=1,"○",IF(NETWORKDAYS(BM$5,$L54,休日)=1,"▶","→")),"")))</f>
        <v/>
      </c>
      <c r="BN54" s="116">
        <f>IF(OR($K54="",$L54=""),"",IF(NETWORKDAYS(BN$5,BN$5,休日)=0,"",IF(AND(BN$5&gt;=$K54,BN$5&lt;=$L54),IF(NETWORKDAYS($K54,BN$5,休日)=1,"○",IF(NETWORKDAYS(BN$5,$L54,休日)=1,"▶","→")),"")))</f>
        <v/>
      </c>
      <c r="BO54" s="116">
        <f>IF(OR($K54="",$L54=""),"",IF(NETWORKDAYS(BO$5,BO$5,休日)=0,"",IF(AND(BO$5&gt;=$K54,BO$5&lt;=$L54),IF(NETWORKDAYS($K54,BO$5,休日)=1,"○",IF(NETWORKDAYS(BO$5,$L54,休日)=1,"▶","→")),"")))</f>
        <v/>
      </c>
      <c r="BP54" s="116">
        <f>IF(OR($K54="",$L54=""),"",IF(NETWORKDAYS(BP$5,BP$5,休日)=0,"",IF(AND(BP$5&gt;=$K54,BP$5&lt;=$L54),IF(NETWORKDAYS($K54,BP$5,休日)=1,"○",IF(NETWORKDAYS(BP$5,$L54,休日)=1,"▶","→")),"")))</f>
        <v/>
      </c>
      <c r="BQ54" s="116">
        <f>IF(OR($K54="",$L54=""),"",IF(NETWORKDAYS(BQ$5,BQ$5,休日)=0,"",IF(AND(BQ$5&gt;=$K54,BQ$5&lt;=$L54),IF(NETWORKDAYS($K54,BQ$5,休日)=1,"○",IF(NETWORKDAYS(BQ$5,$L54,休日)=1,"▶","→")),"")))</f>
        <v/>
      </c>
      <c r="BR54" s="116">
        <f>IF(OR($K54="",$L54=""),"",IF(NETWORKDAYS(BR$5,BR$5,休日)=0,"",IF(AND(BR$5&gt;=$K54,BR$5&lt;=$L54),IF(NETWORKDAYS($K54,BR$5,休日)=1,"○",IF(NETWORKDAYS(BR$5,$L54,休日)=1,"▶","→")),"")))</f>
        <v/>
      </c>
      <c r="BS54" s="116">
        <f>IF(OR($K54="",$L54=""),"",IF(NETWORKDAYS(BS$5,BS$5,休日)=0,"",IF(AND(BS$5&gt;=$K54,BS$5&lt;=$L54),IF(NETWORKDAYS($K54,BS$5,休日)=1,"○",IF(NETWORKDAYS(BS$5,$L54,休日)=1,"▶","→")),"")))</f>
        <v/>
      </c>
      <c r="BT54" s="116">
        <f>IF(OR($K54="",$L54=""),"",IF(NETWORKDAYS(BT$5,BT$5,休日)=0,"",IF(AND(BT$5&gt;=$K54,BT$5&lt;=$L54),IF(NETWORKDAYS($K54,BT$5,休日)=1,"○",IF(NETWORKDAYS(BT$5,$L54,休日)=1,"▶","→")),"")))</f>
        <v/>
      </c>
      <c r="BU54" s="116">
        <f>IF(OR($K54="",$L54=""),"",IF(NETWORKDAYS(BU$5,BU$5,休日)=0,"",IF(AND(BU$5&gt;=$K54,BU$5&lt;=$L54),IF(NETWORKDAYS($K54,BU$5,休日)=1,"○",IF(NETWORKDAYS(BU$5,$L54,休日)=1,"▶","→")),"")))</f>
        <v/>
      </c>
      <c r="BV54" s="116">
        <f>IF(OR($K54="",$L54=""),"",IF(NETWORKDAYS(BV$5,BV$5,休日)=0,"",IF(AND(BV$5&gt;=$K54,BV$5&lt;=$L54),IF(NETWORKDAYS($K54,BV$5,休日)=1,"○",IF(NETWORKDAYS(BV$5,$L54,休日)=1,"▶","→")),"")))</f>
        <v/>
      </c>
      <c r="BW54" s="116">
        <f>IF(OR($K54="",$L54=""),"",IF(NETWORKDAYS(BW$5,BW$5,休日)=0,"",IF(AND(BW$5&gt;=$K54,BW$5&lt;=$L54),IF(NETWORKDAYS($K54,BW$5,休日)=1,"○",IF(NETWORKDAYS(BW$5,$L54,休日)=1,"▶","→")),"")))</f>
        <v/>
      </c>
      <c r="BX54" s="116">
        <f>IF(OR($K54="",$L54=""),"",IF(NETWORKDAYS(BX$5,BX$5,休日)=0,"",IF(AND(BX$5&gt;=$K54,BX$5&lt;=$L54),IF(NETWORKDAYS($K54,BX$5,休日)=1,"○",IF(NETWORKDAYS(BX$5,$L54,休日)=1,"▶","→")),"")))</f>
        <v/>
      </c>
      <c r="BY54" s="116">
        <f>IF(OR($K54="",$L54=""),"",IF(NETWORKDAYS(BY$5,BY$5,休日)=0,"",IF(AND(BY$5&gt;=$K54,BY$5&lt;=$L54),IF(NETWORKDAYS($K54,BY$5,休日)=1,"○",IF(NETWORKDAYS(BY$5,$L54,休日)=1,"▶","→")),"")))</f>
        <v/>
      </c>
      <c r="BZ54" s="116">
        <f>IF(OR($K54="",$L54=""),"",IF(NETWORKDAYS(BZ$5,BZ$5,休日)=0,"",IF(AND(BZ$5&gt;=$K54,BZ$5&lt;=$L54),IF(NETWORKDAYS($K54,BZ$5,休日)=1,"○",IF(NETWORKDAYS(BZ$5,$L54,休日)=1,"▶","→")),"")))</f>
        <v/>
      </c>
      <c r="CA54" s="116">
        <f>IF(OR($K54="",$L54=""),"",IF(NETWORKDAYS(CA$5,CA$5,休日)=0,"",IF(AND(CA$5&gt;=$K54,CA$5&lt;=$L54),IF(NETWORKDAYS($K54,CA$5,休日)=1,"○",IF(NETWORKDAYS(CA$5,$L54,休日)=1,"▶","→")),"")))</f>
        <v/>
      </c>
      <c r="CB54" s="116">
        <f>IF(OR($K54="",$L54=""),"",IF(NETWORKDAYS(CB$5,CB$5,休日)=0,"",IF(AND(CB$5&gt;=$K54,CB$5&lt;=$L54),IF(NETWORKDAYS($K54,CB$5,休日)=1,"○",IF(NETWORKDAYS(CB$5,$L54,休日)=1,"▶","→")),"")))</f>
        <v/>
      </c>
      <c r="CC54" s="116">
        <f>IF(OR($K54="",$L54=""),"",IF(NETWORKDAYS(CC$5,CC$5,休日)=0,"",IF(AND(CC$5&gt;=$K54,CC$5&lt;=$L54),IF(NETWORKDAYS($K54,CC$5,休日)=1,"○",IF(NETWORKDAYS(CC$5,$L54,休日)=1,"▶","→")),"")))</f>
        <v/>
      </c>
      <c r="CD54" s="116">
        <f>IF(OR($K54="",$L54=""),"",IF(NETWORKDAYS(CD$5,CD$5,休日)=0,"",IF(AND(CD$5&gt;=$K54,CD$5&lt;=$L54),IF(NETWORKDAYS($K54,CD$5,休日)=1,"○",IF(NETWORKDAYS(CD$5,$L54,休日)=1,"▶","→")),"")))</f>
        <v/>
      </c>
      <c r="CE54" s="116">
        <f>IF(OR($K54="",$L54=""),"",IF(NETWORKDAYS(CE$5,CE$5,休日)=0,"",IF(AND(CE$5&gt;=$K54,CE$5&lt;=$L54),IF(NETWORKDAYS($K54,CE$5,休日)=1,"○",IF(NETWORKDAYS(CE$5,$L54,休日)=1,"▶","→")),"")))</f>
        <v/>
      </c>
      <c r="CF54" s="116">
        <f>IF(OR($K54="",$L54=""),"",IF(NETWORKDAYS(CF$5,CF$5,休日)=0,"",IF(AND(CF$5&gt;=$K54,CF$5&lt;=$L54),IF(NETWORKDAYS($K54,CF$5,休日)=1,"○",IF(NETWORKDAYS(CF$5,$L54,休日)=1,"▶","→")),"")))</f>
        <v/>
      </c>
      <c r="CG54" s="116">
        <f>IF(OR($K54="",$L54=""),"",IF(NETWORKDAYS(CG$5,CG$5,休日)=0,"",IF(AND(CG$5&gt;=$K54,CG$5&lt;=$L54),IF(NETWORKDAYS($K54,CG$5,休日)=1,"○",IF(NETWORKDAYS(CG$5,$L54,休日)=1,"▶","→")),"")))</f>
        <v/>
      </c>
      <c r="CH54" s="116">
        <f>IF(OR($K54="",$L54=""),"",IF(NETWORKDAYS(CH$5,CH$5,休日)=0,"",IF(AND(CH$5&gt;=$K54,CH$5&lt;=$L54),IF(NETWORKDAYS($K54,CH$5,休日)=1,"○",IF(NETWORKDAYS(CH$5,$L54,休日)=1,"▶","→")),"")))</f>
        <v/>
      </c>
      <c r="CI54" s="116">
        <f>IF(OR($K54="",$L54=""),"",IF(NETWORKDAYS(CI$5,CI$5,休日)=0,"",IF(AND(CI$5&gt;=$K54,CI$5&lt;=$L54),IF(NETWORKDAYS($K54,CI$5,休日)=1,"○",IF(NETWORKDAYS(CI$5,$L54,休日)=1,"▶","→")),"")))</f>
        <v/>
      </c>
      <c r="CJ54" s="116">
        <f>IF(OR($K54="",$L54=""),"",IF(NETWORKDAYS(CJ$5,CJ$5,休日)=0,"",IF(AND(CJ$5&gt;=$K54,CJ$5&lt;=$L54),IF(NETWORKDAYS($K54,CJ$5,休日)=1,"○",IF(NETWORKDAYS(CJ$5,$L54,休日)=1,"▶","→")),"")))</f>
        <v/>
      </c>
      <c r="CK54" s="116">
        <f>IF(OR($K54="",$L54=""),"",IF(NETWORKDAYS(CK$5,CK$5,休日)=0,"",IF(AND(CK$5&gt;=$K54,CK$5&lt;=$L54),IF(NETWORKDAYS($K54,CK$5,休日)=1,"○",IF(NETWORKDAYS(CK$5,$L54,休日)=1,"▶","→")),"")))</f>
        <v/>
      </c>
      <c r="CL54" s="116">
        <f>IF(OR($K54="",$L54=""),"",IF(NETWORKDAYS(CL$5,CL$5,休日)=0,"",IF(AND(CL$5&gt;=$K54,CL$5&lt;=$L54),IF(NETWORKDAYS($K54,CL$5,休日)=1,"○",IF(NETWORKDAYS(CL$5,$L54,休日)=1,"▶","→")),"")))</f>
        <v/>
      </c>
      <c r="CM54" s="116">
        <f>IF(OR($K54="",$L54=""),"",IF(NETWORKDAYS(CM$5,CM$5,休日)=0,"",IF(AND(CM$5&gt;=$K54,CM$5&lt;=$L54),IF(NETWORKDAYS($K54,CM$5,休日)=1,"○",IF(NETWORKDAYS(CM$5,$L54,休日)=1,"▶","→")),"")))</f>
        <v/>
      </c>
      <c r="CN54" s="116">
        <f>IF(OR($K54="",$L54=""),"",IF(NETWORKDAYS(CN$5,CN$5,休日)=0,"",IF(AND(CN$5&gt;=$K54,CN$5&lt;=$L54),IF(NETWORKDAYS($K54,CN$5,休日)=1,"○",IF(NETWORKDAYS(CN$5,$L54,休日)=1,"▶","→")),"")))</f>
        <v/>
      </c>
      <c r="CO54" s="116">
        <f>IF(OR($K54="",$L54=""),"",IF(NETWORKDAYS(CO$5,CO$5,休日)=0,"",IF(AND(CO$5&gt;=$K54,CO$5&lt;=$L54),IF(NETWORKDAYS($K54,CO$5,休日)=1,"○",IF(NETWORKDAYS(CO$5,$L54,休日)=1,"▶","→")),"")))</f>
        <v/>
      </c>
    </row>
    <row r="55" ht="32" customHeight="1" s="98">
      <c r="A55" s="5" t="n"/>
      <c r="B55" s="100" t="inlineStr">
        <is>
          <t>4.1.9</t>
        </is>
      </c>
      <c r="C55" s="101" t="inlineStr">
        <is>
          <t>単体テスト</t>
        </is>
      </c>
      <c r="D55" s="101" t="inlineStr">
        <is>
          <t>Layer①</t>
        </is>
      </c>
      <c r="E55" s="101" t="inlineStr">
        <is>
          <t>生鮮入荷予定</t>
        </is>
      </c>
      <c r="F55" s="101" t="inlineStr">
        <is>
          <t>生鮮入荷予定</t>
        </is>
      </c>
      <c r="G55" s="100" t="inlineStr">
        <is>
          <t>差分</t>
        </is>
      </c>
      <c r="H55" s="100" t="inlineStr">
        <is>
          <t>未定</t>
        </is>
      </c>
      <c r="I55" s="113" t="n">
        <v>3.5</v>
      </c>
      <c r="J55" s="100" t="inlineStr">
        <is>
          <t>－</t>
        </is>
      </c>
      <c r="K55" s="114" t="n">
        <v>46363</v>
      </c>
      <c r="L55" s="114" t="n">
        <v>46381</v>
      </c>
      <c r="M55" s="114" t="n"/>
      <c r="N55" s="114" t="n"/>
      <c r="O55" s="100" t="inlineStr">
        <is>
          <t>未着手</t>
        </is>
      </c>
      <c r="P55" s="115" t="n">
        <v>0</v>
      </c>
      <c r="Q55" s="100" t="inlineStr">
        <is>
          <t>－</t>
        </is>
      </c>
      <c r="R55" s="101" t="inlineStr">
        <is>
          <t>出典は塊として12/7–12/25。IFごとの日付は分割されていない。担当は未定</t>
        </is>
      </c>
      <c r="S55" s="116">
        <f>IF(OR($K55="",$L55=""),"",IF(NETWORKDAYS(S$5,S$5,休日)=0,"",IF(AND(S$5&gt;=$K55,S$5&lt;=$L55),IF(NETWORKDAYS($K55,S$5,休日)=1,"○",IF(NETWORKDAYS(S$5,$L55,休日)=1,"▶","→")),"")))</f>
        <v/>
      </c>
      <c r="T55" s="116">
        <f>IF(OR($K55="",$L55=""),"",IF(NETWORKDAYS(T$5,T$5,休日)=0,"",IF(AND(T$5&gt;=$K55,T$5&lt;=$L55),IF(NETWORKDAYS($K55,T$5,休日)=1,"○",IF(NETWORKDAYS(T$5,$L55,休日)=1,"▶","→")),"")))</f>
        <v/>
      </c>
      <c r="U55" s="116">
        <f>IF(OR($K55="",$L55=""),"",IF(NETWORKDAYS(U$5,U$5,休日)=0,"",IF(AND(U$5&gt;=$K55,U$5&lt;=$L55),IF(NETWORKDAYS($K55,U$5,休日)=1,"○",IF(NETWORKDAYS(U$5,$L55,休日)=1,"▶","→")),"")))</f>
        <v/>
      </c>
      <c r="V55" s="116">
        <f>IF(OR($K55="",$L55=""),"",IF(NETWORKDAYS(V$5,V$5,休日)=0,"",IF(AND(V$5&gt;=$K55,V$5&lt;=$L55),IF(NETWORKDAYS($K55,V$5,休日)=1,"○",IF(NETWORKDAYS(V$5,$L55,休日)=1,"▶","→")),"")))</f>
        <v/>
      </c>
      <c r="W55" s="116">
        <f>IF(OR($K55="",$L55=""),"",IF(NETWORKDAYS(W$5,W$5,休日)=0,"",IF(AND(W$5&gt;=$K55,W$5&lt;=$L55),IF(NETWORKDAYS($K55,W$5,休日)=1,"○",IF(NETWORKDAYS(W$5,$L55,休日)=1,"▶","→")),"")))</f>
        <v/>
      </c>
      <c r="X55" s="116">
        <f>IF(OR($K55="",$L55=""),"",IF(NETWORKDAYS(X$5,X$5,休日)=0,"",IF(AND(X$5&gt;=$K55,X$5&lt;=$L55),IF(NETWORKDAYS($K55,X$5,休日)=1,"○",IF(NETWORKDAYS(X$5,$L55,休日)=1,"▶","→")),"")))</f>
        <v/>
      </c>
      <c r="Y55" s="116">
        <f>IF(OR($K55="",$L55=""),"",IF(NETWORKDAYS(Y$5,Y$5,休日)=0,"",IF(AND(Y$5&gt;=$K55,Y$5&lt;=$L55),IF(NETWORKDAYS($K55,Y$5,休日)=1,"○",IF(NETWORKDAYS(Y$5,$L55,休日)=1,"▶","→")),"")))</f>
        <v/>
      </c>
      <c r="Z55" s="116">
        <f>IF(OR($K55="",$L55=""),"",IF(NETWORKDAYS(Z$5,Z$5,休日)=0,"",IF(AND(Z$5&gt;=$K55,Z$5&lt;=$L55),IF(NETWORKDAYS($K55,Z$5,休日)=1,"○",IF(NETWORKDAYS(Z$5,$L55,休日)=1,"▶","→")),"")))</f>
        <v/>
      </c>
      <c r="AA55" s="116">
        <f>IF(OR($K55="",$L55=""),"",IF(NETWORKDAYS(AA$5,AA$5,休日)=0,"",IF(AND(AA$5&gt;=$K55,AA$5&lt;=$L55),IF(NETWORKDAYS($K55,AA$5,休日)=1,"○",IF(NETWORKDAYS(AA$5,$L55,休日)=1,"▶","→")),"")))</f>
        <v/>
      </c>
      <c r="AB55" s="116">
        <f>IF(OR($K55="",$L55=""),"",IF(NETWORKDAYS(AB$5,AB$5,休日)=0,"",IF(AND(AB$5&gt;=$K55,AB$5&lt;=$L55),IF(NETWORKDAYS($K55,AB$5,休日)=1,"○",IF(NETWORKDAYS(AB$5,$L55,休日)=1,"▶","→")),"")))</f>
        <v/>
      </c>
      <c r="AC55" s="116">
        <f>IF(OR($K55="",$L55=""),"",IF(NETWORKDAYS(AC$5,AC$5,休日)=0,"",IF(AND(AC$5&gt;=$K55,AC$5&lt;=$L55),IF(NETWORKDAYS($K55,AC$5,休日)=1,"○",IF(NETWORKDAYS(AC$5,$L55,休日)=1,"▶","→")),"")))</f>
        <v/>
      </c>
      <c r="AD55" s="116">
        <f>IF(OR($K55="",$L55=""),"",IF(NETWORKDAYS(AD$5,AD$5,休日)=0,"",IF(AND(AD$5&gt;=$K55,AD$5&lt;=$L55),IF(NETWORKDAYS($K55,AD$5,休日)=1,"○",IF(NETWORKDAYS(AD$5,$L55,休日)=1,"▶","→")),"")))</f>
        <v/>
      </c>
      <c r="AE55" s="116">
        <f>IF(OR($K55="",$L55=""),"",IF(NETWORKDAYS(AE$5,AE$5,休日)=0,"",IF(AND(AE$5&gt;=$K55,AE$5&lt;=$L55),IF(NETWORKDAYS($K55,AE$5,休日)=1,"○",IF(NETWORKDAYS(AE$5,$L55,休日)=1,"▶","→")),"")))</f>
        <v/>
      </c>
      <c r="AF55" s="116">
        <f>IF(OR($K55="",$L55=""),"",IF(NETWORKDAYS(AF$5,AF$5,休日)=0,"",IF(AND(AF$5&gt;=$K55,AF$5&lt;=$L55),IF(NETWORKDAYS($K55,AF$5,休日)=1,"○",IF(NETWORKDAYS(AF$5,$L55,休日)=1,"▶","→")),"")))</f>
        <v/>
      </c>
      <c r="AG55" s="116">
        <f>IF(OR($K55="",$L55=""),"",IF(NETWORKDAYS(AG$5,AG$5,休日)=0,"",IF(AND(AG$5&gt;=$K55,AG$5&lt;=$L55),IF(NETWORKDAYS($K55,AG$5,休日)=1,"○",IF(NETWORKDAYS(AG$5,$L55,休日)=1,"▶","→")),"")))</f>
        <v/>
      </c>
      <c r="AH55" s="116">
        <f>IF(OR($K55="",$L55=""),"",IF(NETWORKDAYS(AH$5,AH$5,休日)=0,"",IF(AND(AH$5&gt;=$K55,AH$5&lt;=$L55),IF(NETWORKDAYS($K55,AH$5,休日)=1,"○",IF(NETWORKDAYS(AH$5,$L55,休日)=1,"▶","→")),"")))</f>
        <v/>
      </c>
      <c r="AI55" s="116">
        <f>IF(OR($K55="",$L55=""),"",IF(NETWORKDAYS(AI$5,AI$5,休日)=0,"",IF(AND(AI$5&gt;=$K55,AI$5&lt;=$L55),IF(NETWORKDAYS($K55,AI$5,休日)=1,"○",IF(NETWORKDAYS(AI$5,$L55,休日)=1,"▶","→")),"")))</f>
        <v/>
      </c>
      <c r="AJ55" s="116">
        <f>IF(OR($K55="",$L55=""),"",IF(NETWORKDAYS(AJ$5,AJ$5,休日)=0,"",IF(AND(AJ$5&gt;=$K55,AJ$5&lt;=$L55),IF(NETWORKDAYS($K55,AJ$5,休日)=1,"○",IF(NETWORKDAYS(AJ$5,$L55,休日)=1,"▶","→")),"")))</f>
        <v/>
      </c>
      <c r="AK55" s="116">
        <f>IF(OR($K55="",$L55=""),"",IF(NETWORKDAYS(AK$5,AK$5,休日)=0,"",IF(AND(AK$5&gt;=$K55,AK$5&lt;=$L55),IF(NETWORKDAYS($K55,AK$5,休日)=1,"○",IF(NETWORKDAYS(AK$5,$L55,休日)=1,"▶","→")),"")))</f>
        <v/>
      </c>
      <c r="AL55" s="116">
        <f>IF(OR($K55="",$L55=""),"",IF(NETWORKDAYS(AL$5,AL$5,休日)=0,"",IF(AND(AL$5&gt;=$K55,AL$5&lt;=$L55),IF(NETWORKDAYS($K55,AL$5,休日)=1,"○",IF(NETWORKDAYS(AL$5,$L55,休日)=1,"▶","→")),"")))</f>
        <v/>
      </c>
      <c r="AM55" s="116">
        <f>IF(OR($K55="",$L55=""),"",IF(NETWORKDAYS(AM$5,AM$5,休日)=0,"",IF(AND(AM$5&gt;=$K55,AM$5&lt;=$L55),IF(NETWORKDAYS($K55,AM$5,休日)=1,"○",IF(NETWORKDAYS(AM$5,$L55,休日)=1,"▶","→")),"")))</f>
        <v/>
      </c>
      <c r="AN55" s="116">
        <f>IF(OR($K55="",$L55=""),"",IF(NETWORKDAYS(AN$5,AN$5,休日)=0,"",IF(AND(AN$5&gt;=$K55,AN$5&lt;=$L55),IF(NETWORKDAYS($K55,AN$5,休日)=1,"○",IF(NETWORKDAYS(AN$5,$L55,休日)=1,"▶","→")),"")))</f>
        <v/>
      </c>
      <c r="AO55" s="116">
        <f>IF(OR($K55="",$L55=""),"",IF(NETWORKDAYS(AO$5,AO$5,休日)=0,"",IF(AND(AO$5&gt;=$K55,AO$5&lt;=$L55),IF(NETWORKDAYS($K55,AO$5,休日)=1,"○",IF(NETWORKDAYS(AO$5,$L55,休日)=1,"▶","→")),"")))</f>
        <v/>
      </c>
      <c r="AP55" s="116">
        <f>IF(OR($K55="",$L55=""),"",IF(NETWORKDAYS(AP$5,AP$5,休日)=0,"",IF(AND(AP$5&gt;=$K55,AP$5&lt;=$L55),IF(NETWORKDAYS($K55,AP$5,休日)=1,"○",IF(NETWORKDAYS(AP$5,$L55,休日)=1,"▶","→")),"")))</f>
        <v/>
      </c>
      <c r="AQ55" s="116">
        <f>IF(OR($K55="",$L55=""),"",IF(NETWORKDAYS(AQ$5,AQ$5,休日)=0,"",IF(AND(AQ$5&gt;=$K55,AQ$5&lt;=$L55),IF(NETWORKDAYS($K55,AQ$5,休日)=1,"○",IF(NETWORKDAYS(AQ$5,$L55,休日)=1,"▶","→")),"")))</f>
        <v/>
      </c>
      <c r="AR55" s="116">
        <f>IF(OR($K55="",$L55=""),"",IF(NETWORKDAYS(AR$5,AR$5,休日)=0,"",IF(AND(AR$5&gt;=$K55,AR$5&lt;=$L55),IF(NETWORKDAYS($K55,AR$5,休日)=1,"○",IF(NETWORKDAYS(AR$5,$L55,休日)=1,"▶","→")),"")))</f>
        <v/>
      </c>
      <c r="AS55" s="116">
        <f>IF(OR($K55="",$L55=""),"",IF(NETWORKDAYS(AS$5,AS$5,休日)=0,"",IF(AND(AS$5&gt;=$K55,AS$5&lt;=$L55),IF(NETWORKDAYS($K55,AS$5,休日)=1,"○",IF(NETWORKDAYS(AS$5,$L55,休日)=1,"▶","→")),"")))</f>
        <v/>
      </c>
      <c r="AT55" s="116">
        <f>IF(OR($K55="",$L55=""),"",IF(NETWORKDAYS(AT$5,AT$5,休日)=0,"",IF(AND(AT$5&gt;=$K55,AT$5&lt;=$L55),IF(NETWORKDAYS($K55,AT$5,休日)=1,"○",IF(NETWORKDAYS(AT$5,$L55,休日)=1,"▶","→")),"")))</f>
        <v/>
      </c>
      <c r="AU55" s="116">
        <f>IF(OR($K55="",$L55=""),"",IF(NETWORKDAYS(AU$5,AU$5,休日)=0,"",IF(AND(AU$5&gt;=$K55,AU$5&lt;=$L55),IF(NETWORKDAYS($K55,AU$5,休日)=1,"○",IF(NETWORKDAYS(AU$5,$L55,休日)=1,"▶","→")),"")))</f>
        <v/>
      </c>
      <c r="AV55" s="116">
        <f>IF(OR($K55="",$L55=""),"",IF(NETWORKDAYS(AV$5,AV$5,休日)=0,"",IF(AND(AV$5&gt;=$K55,AV$5&lt;=$L55),IF(NETWORKDAYS($K55,AV$5,休日)=1,"○",IF(NETWORKDAYS(AV$5,$L55,休日)=1,"▶","→")),"")))</f>
        <v/>
      </c>
      <c r="AW55" s="116">
        <f>IF(OR($K55="",$L55=""),"",IF(NETWORKDAYS(AW$5,AW$5,休日)=0,"",IF(AND(AW$5&gt;=$K55,AW$5&lt;=$L55),IF(NETWORKDAYS($K55,AW$5,休日)=1,"○",IF(NETWORKDAYS(AW$5,$L55,休日)=1,"▶","→")),"")))</f>
        <v/>
      </c>
      <c r="AX55" s="116">
        <f>IF(OR($K55="",$L55=""),"",IF(NETWORKDAYS(AX$5,AX$5,休日)=0,"",IF(AND(AX$5&gt;=$K55,AX$5&lt;=$L55),IF(NETWORKDAYS($K55,AX$5,休日)=1,"○",IF(NETWORKDAYS(AX$5,$L55,休日)=1,"▶","→")),"")))</f>
        <v/>
      </c>
      <c r="AY55" s="116">
        <f>IF(OR($K55="",$L55=""),"",IF(NETWORKDAYS(AY$5,AY$5,休日)=0,"",IF(AND(AY$5&gt;=$K55,AY$5&lt;=$L55),IF(NETWORKDAYS($K55,AY$5,休日)=1,"○",IF(NETWORKDAYS(AY$5,$L55,休日)=1,"▶","→")),"")))</f>
        <v/>
      </c>
      <c r="AZ55" s="116">
        <f>IF(OR($K55="",$L55=""),"",IF(NETWORKDAYS(AZ$5,AZ$5,休日)=0,"",IF(AND(AZ$5&gt;=$K55,AZ$5&lt;=$L55),IF(NETWORKDAYS($K55,AZ$5,休日)=1,"○",IF(NETWORKDAYS(AZ$5,$L55,休日)=1,"▶","→")),"")))</f>
        <v/>
      </c>
      <c r="BA55" s="116">
        <f>IF(OR($K55="",$L55=""),"",IF(NETWORKDAYS(BA$5,BA$5,休日)=0,"",IF(AND(BA$5&gt;=$K55,BA$5&lt;=$L55),IF(NETWORKDAYS($K55,BA$5,休日)=1,"○",IF(NETWORKDAYS(BA$5,$L55,休日)=1,"▶","→")),"")))</f>
        <v/>
      </c>
      <c r="BB55" s="116">
        <f>IF(OR($K55="",$L55=""),"",IF(NETWORKDAYS(BB$5,BB$5,休日)=0,"",IF(AND(BB$5&gt;=$K55,BB$5&lt;=$L55),IF(NETWORKDAYS($K55,BB$5,休日)=1,"○",IF(NETWORKDAYS(BB$5,$L55,休日)=1,"▶","→")),"")))</f>
        <v/>
      </c>
      <c r="BC55" s="116">
        <f>IF(OR($K55="",$L55=""),"",IF(NETWORKDAYS(BC$5,BC$5,休日)=0,"",IF(AND(BC$5&gt;=$K55,BC$5&lt;=$L55),IF(NETWORKDAYS($K55,BC$5,休日)=1,"○",IF(NETWORKDAYS(BC$5,$L55,休日)=1,"▶","→")),"")))</f>
        <v/>
      </c>
      <c r="BD55" s="116">
        <f>IF(OR($K55="",$L55=""),"",IF(NETWORKDAYS(BD$5,BD$5,休日)=0,"",IF(AND(BD$5&gt;=$K55,BD$5&lt;=$L55),IF(NETWORKDAYS($K55,BD$5,休日)=1,"○",IF(NETWORKDAYS(BD$5,$L55,休日)=1,"▶","→")),"")))</f>
        <v/>
      </c>
      <c r="BE55" s="116">
        <f>IF(OR($K55="",$L55=""),"",IF(NETWORKDAYS(BE$5,BE$5,休日)=0,"",IF(AND(BE$5&gt;=$K55,BE$5&lt;=$L55),IF(NETWORKDAYS($K55,BE$5,休日)=1,"○",IF(NETWORKDAYS(BE$5,$L55,休日)=1,"▶","→")),"")))</f>
        <v/>
      </c>
      <c r="BF55" s="116">
        <f>IF(OR($K55="",$L55=""),"",IF(NETWORKDAYS(BF$5,BF$5,休日)=0,"",IF(AND(BF$5&gt;=$K55,BF$5&lt;=$L55),IF(NETWORKDAYS($K55,BF$5,休日)=1,"○",IF(NETWORKDAYS(BF$5,$L55,休日)=1,"▶","→")),"")))</f>
        <v/>
      </c>
      <c r="BG55" s="116">
        <f>IF(OR($K55="",$L55=""),"",IF(NETWORKDAYS(BG$5,BG$5,休日)=0,"",IF(AND(BG$5&gt;=$K55,BG$5&lt;=$L55),IF(NETWORKDAYS($K55,BG$5,休日)=1,"○",IF(NETWORKDAYS(BG$5,$L55,休日)=1,"▶","→")),"")))</f>
        <v/>
      </c>
      <c r="BH55" s="116">
        <f>IF(OR($K55="",$L55=""),"",IF(NETWORKDAYS(BH$5,BH$5,休日)=0,"",IF(AND(BH$5&gt;=$K55,BH$5&lt;=$L55),IF(NETWORKDAYS($K55,BH$5,休日)=1,"○",IF(NETWORKDAYS(BH$5,$L55,休日)=1,"▶","→")),"")))</f>
        <v/>
      </c>
      <c r="BI55" s="116">
        <f>IF(OR($K55="",$L55=""),"",IF(NETWORKDAYS(BI$5,BI$5,休日)=0,"",IF(AND(BI$5&gt;=$K55,BI$5&lt;=$L55),IF(NETWORKDAYS($K55,BI$5,休日)=1,"○",IF(NETWORKDAYS(BI$5,$L55,休日)=1,"▶","→")),"")))</f>
        <v/>
      </c>
      <c r="BJ55" s="116">
        <f>IF(OR($K55="",$L55=""),"",IF(NETWORKDAYS(BJ$5,BJ$5,休日)=0,"",IF(AND(BJ$5&gt;=$K55,BJ$5&lt;=$L55),IF(NETWORKDAYS($K55,BJ$5,休日)=1,"○",IF(NETWORKDAYS(BJ$5,$L55,休日)=1,"▶","→")),"")))</f>
        <v/>
      </c>
      <c r="BK55" s="116">
        <f>IF(OR($K55="",$L55=""),"",IF(NETWORKDAYS(BK$5,BK$5,休日)=0,"",IF(AND(BK$5&gt;=$K55,BK$5&lt;=$L55),IF(NETWORKDAYS($K55,BK$5,休日)=1,"○",IF(NETWORKDAYS(BK$5,$L55,休日)=1,"▶","→")),"")))</f>
        <v/>
      </c>
      <c r="BL55" s="116">
        <f>IF(OR($K55="",$L55=""),"",IF(NETWORKDAYS(BL$5,BL$5,休日)=0,"",IF(AND(BL$5&gt;=$K55,BL$5&lt;=$L55),IF(NETWORKDAYS($K55,BL$5,休日)=1,"○",IF(NETWORKDAYS(BL$5,$L55,休日)=1,"▶","→")),"")))</f>
        <v/>
      </c>
      <c r="BM55" s="116">
        <f>IF(OR($K55="",$L55=""),"",IF(NETWORKDAYS(BM$5,BM$5,休日)=0,"",IF(AND(BM$5&gt;=$K55,BM$5&lt;=$L55),IF(NETWORKDAYS($K55,BM$5,休日)=1,"○",IF(NETWORKDAYS(BM$5,$L55,休日)=1,"▶","→")),"")))</f>
        <v/>
      </c>
      <c r="BN55" s="116">
        <f>IF(OR($K55="",$L55=""),"",IF(NETWORKDAYS(BN$5,BN$5,休日)=0,"",IF(AND(BN$5&gt;=$K55,BN$5&lt;=$L55),IF(NETWORKDAYS($K55,BN$5,休日)=1,"○",IF(NETWORKDAYS(BN$5,$L55,休日)=1,"▶","→")),"")))</f>
        <v/>
      </c>
      <c r="BO55" s="116">
        <f>IF(OR($K55="",$L55=""),"",IF(NETWORKDAYS(BO$5,BO$5,休日)=0,"",IF(AND(BO$5&gt;=$K55,BO$5&lt;=$L55),IF(NETWORKDAYS($K55,BO$5,休日)=1,"○",IF(NETWORKDAYS(BO$5,$L55,休日)=1,"▶","→")),"")))</f>
        <v/>
      </c>
      <c r="BP55" s="116">
        <f>IF(OR($K55="",$L55=""),"",IF(NETWORKDAYS(BP$5,BP$5,休日)=0,"",IF(AND(BP$5&gt;=$K55,BP$5&lt;=$L55),IF(NETWORKDAYS($K55,BP$5,休日)=1,"○",IF(NETWORKDAYS(BP$5,$L55,休日)=1,"▶","→")),"")))</f>
        <v/>
      </c>
      <c r="BQ55" s="116">
        <f>IF(OR($K55="",$L55=""),"",IF(NETWORKDAYS(BQ$5,BQ$5,休日)=0,"",IF(AND(BQ$5&gt;=$K55,BQ$5&lt;=$L55),IF(NETWORKDAYS($K55,BQ$5,休日)=1,"○",IF(NETWORKDAYS(BQ$5,$L55,休日)=1,"▶","→")),"")))</f>
        <v/>
      </c>
      <c r="BR55" s="116">
        <f>IF(OR($K55="",$L55=""),"",IF(NETWORKDAYS(BR$5,BR$5,休日)=0,"",IF(AND(BR$5&gt;=$K55,BR$5&lt;=$L55),IF(NETWORKDAYS($K55,BR$5,休日)=1,"○",IF(NETWORKDAYS(BR$5,$L55,休日)=1,"▶","→")),"")))</f>
        <v/>
      </c>
      <c r="BS55" s="116">
        <f>IF(OR($K55="",$L55=""),"",IF(NETWORKDAYS(BS$5,BS$5,休日)=0,"",IF(AND(BS$5&gt;=$K55,BS$5&lt;=$L55),IF(NETWORKDAYS($K55,BS$5,休日)=1,"○",IF(NETWORKDAYS(BS$5,$L55,休日)=1,"▶","→")),"")))</f>
        <v/>
      </c>
      <c r="BT55" s="116">
        <f>IF(OR($K55="",$L55=""),"",IF(NETWORKDAYS(BT$5,BT$5,休日)=0,"",IF(AND(BT$5&gt;=$K55,BT$5&lt;=$L55),IF(NETWORKDAYS($K55,BT$5,休日)=1,"○",IF(NETWORKDAYS(BT$5,$L55,休日)=1,"▶","→")),"")))</f>
        <v/>
      </c>
      <c r="BU55" s="116">
        <f>IF(OR($K55="",$L55=""),"",IF(NETWORKDAYS(BU$5,BU$5,休日)=0,"",IF(AND(BU$5&gt;=$K55,BU$5&lt;=$L55),IF(NETWORKDAYS($K55,BU$5,休日)=1,"○",IF(NETWORKDAYS(BU$5,$L55,休日)=1,"▶","→")),"")))</f>
        <v/>
      </c>
      <c r="BV55" s="116">
        <f>IF(OR($K55="",$L55=""),"",IF(NETWORKDAYS(BV$5,BV$5,休日)=0,"",IF(AND(BV$5&gt;=$K55,BV$5&lt;=$L55),IF(NETWORKDAYS($K55,BV$5,休日)=1,"○",IF(NETWORKDAYS(BV$5,$L55,休日)=1,"▶","→")),"")))</f>
        <v/>
      </c>
      <c r="BW55" s="116">
        <f>IF(OR($K55="",$L55=""),"",IF(NETWORKDAYS(BW$5,BW$5,休日)=0,"",IF(AND(BW$5&gt;=$K55,BW$5&lt;=$L55),IF(NETWORKDAYS($K55,BW$5,休日)=1,"○",IF(NETWORKDAYS(BW$5,$L55,休日)=1,"▶","→")),"")))</f>
        <v/>
      </c>
      <c r="BX55" s="116">
        <f>IF(OR($K55="",$L55=""),"",IF(NETWORKDAYS(BX$5,BX$5,休日)=0,"",IF(AND(BX$5&gt;=$K55,BX$5&lt;=$L55),IF(NETWORKDAYS($K55,BX$5,休日)=1,"○",IF(NETWORKDAYS(BX$5,$L55,休日)=1,"▶","→")),"")))</f>
        <v/>
      </c>
      <c r="BY55" s="116">
        <f>IF(OR($K55="",$L55=""),"",IF(NETWORKDAYS(BY$5,BY$5,休日)=0,"",IF(AND(BY$5&gt;=$K55,BY$5&lt;=$L55),IF(NETWORKDAYS($K55,BY$5,休日)=1,"○",IF(NETWORKDAYS(BY$5,$L55,休日)=1,"▶","→")),"")))</f>
        <v/>
      </c>
      <c r="BZ55" s="116">
        <f>IF(OR($K55="",$L55=""),"",IF(NETWORKDAYS(BZ$5,BZ$5,休日)=0,"",IF(AND(BZ$5&gt;=$K55,BZ$5&lt;=$L55),IF(NETWORKDAYS($K55,BZ$5,休日)=1,"○",IF(NETWORKDAYS(BZ$5,$L55,休日)=1,"▶","→")),"")))</f>
        <v/>
      </c>
      <c r="CA55" s="116">
        <f>IF(OR($K55="",$L55=""),"",IF(NETWORKDAYS(CA$5,CA$5,休日)=0,"",IF(AND(CA$5&gt;=$K55,CA$5&lt;=$L55),IF(NETWORKDAYS($K55,CA$5,休日)=1,"○",IF(NETWORKDAYS(CA$5,$L55,休日)=1,"▶","→")),"")))</f>
        <v/>
      </c>
      <c r="CB55" s="116">
        <f>IF(OR($K55="",$L55=""),"",IF(NETWORKDAYS(CB$5,CB$5,休日)=0,"",IF(AND(CB$5&gt;=$K55,CB$5&lt;=$L55),IF(NETWORKDAYS($K55,CB$5,休日)=1,"○",IF(NETWORKDAYS(CB$5,$L55,休日)=1,"▶","→")),"")))</f>
        <v/>
      </c>
      <c r="CC55" s="116">
        <f>IF(OR($K55="",$L55=""),"",IF(NETWORKDAYS(CC$5,CC$5,休日)=0,"",IF(AND(CC$5&gt;=$K55,CC$5&lt;=$L55),IF(NETWORKDAYS($K55,CC$5,休日)=1,"○",IF(NETWORKDAYS(CC$5,$L55,休日)=1,"▶","→")),"")))</f>
        <v/>
      </c>
      <c r="CD55" s="116">
        <f>IF(OR($K55="",$L55=""),"",IF(NETWORKDAYS(CD$5,CD$5,休日)=0,"",IF(AND(CD$5&gt;=$K55,CD$5&lt;=$L55),IF(NETWORKDAYS($K55,CD$5,休日)=1,"○",IF(NETWORKDAYS(CD$5,$L55,休日)=1,"▶","→")),"")))</f>
        <v/>
      </c>
      <c r="CE55" s="116">
        <f>IF(OR($K55="",$L55=""),"",IF(NETWORKDAYS(CE$5,CE$5,休日)=0,"",IF(AND(CE$5&gt;=$K55,CE$5&lt;=$L55),IF(NETWORKDAYS($K55,CE$5,休日)=1,"○",IF(NETWORKDAYS(CE$5,$L55,休日)=1,"▶","→")),"")))</f>
        <v/>
      </c>
      <c r="CF55" s="116">
        <f>IF(OR($K55="",$L55=""),"",IF(NETWORKDAYS(CF$5,CF$5,休日)=0,"",IF(AND(CF$5&gt;=$K55,CF$5&lt;=$L55),IF(NETWORKDAYS($K55,CF$5,休日)=1,"○",IF(NETWORKDAYS(CF$5,$L55,休日)=1,"▶","→")),"")))</f>
        <v/>
      </c>
      <c r="CG55" s="116">
        <f>IF(OR($K55="",$L55=""),"",IF(NETWORKDAYS(CG$5,CG$5,休日)=0,"",IF(AND(CG$5&gt;=$K55,CG$5&lt;=$L55),IF(NETWORKDAYS($K55,CG$5,休日)=1,"○",IF(NETWORKDAYS(CG$5,$L55,休日)=1,"▶","→")),"")))</f>
        <v/>
      </c>
      <c r="CH55" s="116">
        <f>IF(OR($K55="",$L55=""),"",IF(NETWORKDAYS(CH$5,CH$5,休日)=0,"",IF(AND(CH$5&gt;=$K55,CH$5&lt;=$L55),IF(NETWORKDAYS($K55,CH$5,休日)=1,"○",IF(NETWORKDAYS(CH$5,$L55,休日)=1,"▶","→")),"")))</f>
        <v/>
      </c>
      <c r="CI55" s="116">
        <f>IF(OR($K55="",$L55=""),"",IF(NETWORKDAYS(CI$5,CI$5,休日)=0,"",IF(AND(CI$5&gt;=$K55,CI$5&lt;=$L55),IF(NETWORKDAYS($K55,CI$5,休日)=1,"○",IF(NETWORKDAYS(CI$5,$L55,休日)=1,"▶","→")),"")))</f>
        <v/>
      </c>
      <c r="CJ55" s="116">
        <f>IF(OR($K55="",$L55=""),"",IF(NETWORKDAYS(CJ$5,CJ$5,休日)=0,"",IF(AND(CJ$5&gt;=$K55,CJ$5&lt;=$L55),IF(NETWORKDAYS($K55,CJ$5,休日)=1,"○",IF(NETWORKDAYS(CJ$5,$L55,休日)=1,"▶","→")),"")))</f>
        <v/>
      </c>
      <c r="CK55" s="116">
        <f>IF(OR($K55="",$L55=""),"",IF(NETWORKDAYS(CK$5,CK$5,休日)=0,"",IF(AND(CK$5&gt;=$K55,CK$5&lt;=$L55),IF(NETWORKDAYS($K55,CK$5,休日)=1,"○",IF(NETWORKDAYS(CK$5,$L55,休日)=1,"▶","→")),"")))</f>
        <v/>
      </c>
      <c r="CL55" s="116">
        <f>IF(OR($K55="",$L55=""),"",IF(NETWORKDAYS(CL$5,CL$5,休日)=0,"",IF(AND(CL$5&gt;=$K55,CL$5&lt;=$L55),IF(NETWORKDAYS($K55,CL$5,休日)=1,"○",IF(NETWORKDAYS(CL$5,$L55,休日)=1,"▶","→")),"")))</f>
        <v/>
      </c>
      <c r="CM55" s="116">
        <f>IF(OR($K55="",$L55=""),"",IF(NETWORKDAYS(CM$5,CM$5,休日)=0,"",IF(AND(CM$5&gt;=$K55,CM$5&lt;=$L55),IF(NETWORKDAYS($K55,CM$5,休日)=1,"○",IF(NETWORKDAYS(CM$5,$L55,休日)=1,"▶","→")),"")))</f>
        <v/>
      </c>
      <c r="CN55" s="116">
        <f>IF(OR($K55="",$L55=""),"",IF(NETWORKDAYS(CN$5,CN$5,休日)=0,"",IF(AND(CN$5&gt;=$K55,CN$5&lt;=$L55),IF(NETWORKDAYS($K55,CN$5,休日)=1,"○",IF(NETWORKDAYS(CN$5,$L55,休日)=1,"▶","→")),"")))</f>
        <v/>
      </c>
      <c r="CO55" s="116">
        <f>IF(OR($K55="",$L55=""),"",IF(NETWORKDAYS(CO$5,CO$5,休日)=0,"",IF(AND(CO$5&gt;=$K55,CO$5&lt;=$L55),IF(NETWORKDAYS($K55,CO$5,休日)=1,"○",IF(NETWORKDAYS(CO$5,$L55,休日)=1,"▶","→")),"")))</f>
        <v/>
      </c>
    </row>
    <row r="56" ht="32" customHeight="1" s="98">
      <c r="A56" s="5" t="n"/>
      <c r="B56" s="100" t="inlineStr">
        <is>
          <t>4.1.10</t>
        </is>
      </c>
      <c r="C56" s="101" t="inlineStr">
        <is>
          <t>単体テスト</t>
        </is>
      </c>
      <c r="D56" s="101" t="inlineStr">
        <is>
          <t>Layer③</t>
        </is>
      </c>
      <c r="E56" s="101" t="inlineStr">
        <is>
          <t>生鮮入荷予定</t>
        </is>
      </c>
      <c r="F56" s="101" t="inlineStr">
        <is>
          <t>生鮮入荷予定</t>
        </is>
      </c>
      <c r="G56" s="100" t="inlineStr">
        <is>
          <t>差分</t>
        </is>
      </c>
      <c r="H56" s="100" t="inlineStr">
        <is>
          <t>未定</t>
        </is>
      </c>
      <c r="I56" s="113" t="n">
        <v>1</v>
      </c>
      <c r="J56" s="100" t="inlineStr">
        <is>
          <t>－</t>
        </is>
      </c>
      <c r="K56" s="114" t="n">
        <v>46363</v>
      </c>
      <c r="L56" s="114" t="n">
        <v>46381</v>
      </c>
      <c r="M56" s="114" t="n"/>
      <c r="N56" s="114" t="n"/>
      <c r="O56" s="100" t="inlineStr">
        <is>
          <t>未着手</t>
        </is>
      </c>
      <c r="P56" s="115" t="n">
        <v>0</v>
      </c>
      <c r="Q56" s="100" t="inlineStr">
        <is>
          <t>－</t>
        </is>
      </c>
      <c r="R56" s="101" t="inlineStr">
        <is>
          <t>出典は塊として12/7–12/25。IFごとの日付は分割されていない。担当は未定</t>
        </is>
      </c>
      <c r="S56" s="116">
        <f>IF(OR($K56="",$L56=""),"",IF(NETWORKDAYS(S$5,S$5,休日)=0,"",IF(AND(S$5&gt;=$K56,S$5&lt;=$L56),IF(NETWORKDAYS($K56,S$5,休日)=1,"○",IF(NETWORKDAYS(S$5,$L56,休日)=1,"▶","→")),"")))</f>
        <v/>
      </c>
      <c r="T56" s="116">
        <f>IF(OR($K56="",$L56=""),"",IF(NETWORKDAYS(T$5,T$5,休日)=0,"",IF(AND(T$5&gt;=$K56,T$5&lt;=$L56),IF(NETWORKDAYS($K56,T$5,休日)=1,"○",IF(NETWORKDAYS(T$5,$L56,休日)=1,"▶","→")),"")))</f>
        <v/>
      </c>
      <c r="U56" s="116">
        <f>IF(OR($K56="",$L56=""),"",IF(NETWORKDAYS(U$5,U$5,休日)=0,"",IF(AND(U$5&gt;=$K56,U$5&lt;=$L56),IF(NETWORKDAYS($K56,U$5,休日)=1,"○",IF(NETWORKDAYS(U$5,$L56,休日)=1,"▶","→")),"")))</f>
        <v/>
      </c>
      <c r="V56" s="116">
        <f>IF(OR($K56="",$L56=""),"",IF(NETWORKDAYS(V$5,V$5,休日)=0,"",IF(AND(V$5&gt;=$K56,V$5&lt;=$L56),IF(NETWORKDAYS($K56,V$5,休日)=1,"○",IF(NETWORKDAYS(V$5,$L56,休日)=1,"▶","→")),"")))</f>
        <v/>
      </c>
      <c r="W56" s="116">
        <f>IF(OR($K56="",$L56=""),"",IF(NETWORKDAYS(W$5,W$5,休日)=0,"",IF(AND(W$5&gt;=$K56,W$5&lt;=$L56),IF(NETWORKDAYS($K56,W$5,休日)=1,"○",IF(NETWORKDAYS(W$5,$L56,休日)=1,"▶","→")),"")))</f>
        <v/>
      </c>
      <c r="X56" s="116">
        <f>IF(OR($K56="",$L56=""),"",IF(NETWORKDAYS(X$5,X$5,休日)=0,"",IF(AND(X$5&gt;=$K56,X$5&lt;=$L56),IF(NETWORKDAYS($K56,X$5,休日)=1,"○",IF(NETWORKDAYS(X$5,$L56,休日)=1,"▶","→")),"")))</f>
        <v/>
      </c>
      <c r="Y56" s="116">
        <f>IF(OR($K56="",$L56=""),"",IF(NETWORKDAYS(Y$5,Y$5,休日)=0,"",IF(AND(Y$5&gt;=$K56,Y$5&lt;=$L56),IF(NETWORKDAYS($K56,Y$5,休日)=1,"○",IF(NETWORKDAYS(Y$5,$L56,休日)=1,"▶","→")),"")))</f>
        <v/>
      </c>
      <c r="Z56" s="116">
        <f>IF(OR($K56="",$L56=""),"",IF(NETWORKDAYS(Z$5,Z$5,休日)=0,"",IF(AND(Z$5&gt;=$K56,Z$5&lt;=$L56),IF(NETWORKDAYS($K56,Z$5,休日)=1,"○",IF(NETWORKDAYS(Z$5,$L56,休日)=1,"▶","→")),"")))</f>
        <v/>
      </c>
      <c r="AA56" s="116">
        <f>IF(OR($K56="",$L56=""),"",IF(NETWORKDAYS(AA$5,AA$5,休日)=0,"",IF(AND(AA$5&gt;=$K56,AA$5&lt;=$L56),IF(NETWORKDAYS($K56,AA$5,休日)=1,"○",IF(NETWORKDAYS(AA$5,$L56,休日)=1,"▶","→")),"")))</f>
        <v/>
      </c>
      <c r="AB56" s="116">
        <f>IF(OR($K56="",$L56=""),"",IF(NETWORKDAYS(AB$5,AB$5,休日)=0,"",IF(AND(AB$5&gt;=$K56,AB$5&lt;=$L56),IF(NETWORKDAYS($K56,AB$5,休日)=1,"○",IF(NETWORKDAYS(AB$5,$L56,休日)=1,"▶","→")),"")))</f>
        <v/>
      </c>
      <c r="AC56" s="116">
        <f>IF(OR($K56="",$L56=""),"",IF(NETWORKDAYS(AC$5,AC$5,休日)=0,"",IF(AND(AC$5&gt;=$K56,AC$5&lt;=$L56),IF(NETWORKDAYS($K56,AC$5,休日)=1,"○",IF(NETWORKDAYS(AC$5,$L56,休日)=1,"▶","→")),"")))</f>
        <v/>
      </c>
      <c r="AD56" s="116">
        <f>IF(OR($K56="",$L56=""),"",IF(NETWORKDAYS(AD$5,AD$5,休日)=0,"",IF(AND(AD$5&gt;=$K56,AD$5&lt;=$L56),IF(NETWORKDAYS($K56,AD$5,休日)=1,"○",IF(NETWORKDAYS(AD$5,$L56,休日)=1,"▶","→")),"")))</f>
        <v/>
      </c>
      <c r="AE56" s="116">
        <f>IF(OR($K56="",$L56=""),"",IF(NETWORKDAYS(AE$5,AE$5,休日)=0,"",IF(AND(AE$5&gt;=$K56,AE$5&lt;=$L56),IF(NETWORKDAYS($K56,AE$5,休日)=1,"○",IF(NETWORKDAYS(AE$5,$L56,休日)=1,"▶","→")),"")))</f>
        <v/>
      </c>
      <c r="AF56" s="116">
        <f>IF(OR($K56="",$L56=""),"",IF(NETWORKDAYS(AF$5,AF$5,休日)=0,"",IF(AND(AF$5&gt;=$K56,AF$5&lt;=$L56),IF(NETWORKDAYS($K56,AF$5,休日)=1,"○",IF(NETWORKDAYS(AF$5,$L56,休日)=1,"▶","→")),"")))</f>
        <v/>
      </c>
      <c r="AG56" s="116">
        <f>IF(OR($K56="",$L56=""),"",IF(NETWORKDAYS(AG$5,AG$5,休日)=0,"",IF(AND(AG$5&gt;=$K56,AG$5&lt;=$L56),IF(NETWORKDAYS($K56,AG$5,休日)=1,"○",IF(NETWORKDAYS(AG$5,$L56,休日)=1,"▶","→")),"")))</f>
        <v/>
      </c>
      <c r="AH56" s="116">
        <f>IF(OR($K56="",$L56=""),"",IF(NETWORKDAYS(AH$5,AH$5,休日)=0,"",IF(AND(AH$5&gt;=$K56,AH$5&lt;=$L56),IF(NETWORKDAYS($K56,AH$5,休日)=1,"○",IF(NETWORKDAYS(AH$5,$L56,休日)=1,"▶","→")),"")))</f>
        <v/>
      </c>
      <c r="AI56" s="116">
        <f>IF(OR($K56="",$L56=""),"",IF(NETWORKDAYS(AI$5,AI$5,休日)=0,"",IF(AND(AI$5&gt;=$K56,AI$5&lt;=$L56),IF(NETWORKDAYS($K56,AI$5,休日)=1,"○",IF(NETWORKDAYS(AI$5,$L56,休日)=1,"▶","→")),"")))</f>
        <v/>
      </c>
      <c r="AJ56" s="116">
        <f>IF(OR($K56="",$L56=""),"",IF(NETWORKDAYS(AJ$5,AJ$5,休日)=0,"",IF(AND(AJ$5&gt;=$K56,AJ$5&lt;=$L56),IF(NETWORKDAYS($K56,AJ$5,休日)=1,"○",IF(NETWORKDAYS(AJ$5,$L56,休日)=1,"▶","→")),"")))</f>
        <v/>
      </c>
      <c r="AK56" s="116">
        <f>IF(OR($K56="",$L56=""),"",IF(NETWORKDAYS(AK$5,AK$5,休日)=0,"",IF(AND(AK$5&gt;=$K56,AK$5&lt;=$L56),IF(NETWORKDAYS($K56,AK$5,休日)=1,"○",IF(NETWORKDAYS(AK$5,$L56,休日)=1,"▶","→")),"")))</f>
        <v/>
      </c>
      <c r="AL56" s="116">
        <f>IF(OR($K56="",$L56=""),"",IF(NETWORKDAYS(AL$5,AL$5,休日)=0,"",IF(AND(AL$5&gt;=$K56,AL$5&lt;=$L56),IF(NETWORKDAYS($K56,AL$5,休日)=1,"○",IF(NETWORKDAYS(AL$5,$L56,休日)=1,"▶","→")),"")))</f>
        <v/>
      </c>
      <c r="AM56" s="116">
        <f>IF(OR($K56="",$L56=""),"",IF(NETWORKDAYS(AM$5,AM$5,休日)=0,"",IF(AND(AM$5&gt;=$K56,AM$5&lt;=$L56),IF(NETWORKDAYS($K56,AM$5,休日)=1,"○",IF(NETWORKDAYS(AM$5,$L56,休日)=1,"▶","→")),"")))</f>
        <v/>
      </c>
      <c r="AN56" s="116">
        <f>IF(OR($K56="",$L56=""),"",IF(NETWORKDAYS(AN$5,AN$5,休日)=0,"",IF(AND(AN$5&gt;=$K56,AN$5&lt;=$L56),IF(NETWORKDAYS($K56,AN$5,休日)=1,"○",IF(NETWORKDAYS(AN$5,$L56,休日)=1,"▶","→")),"")))</f>
        <v/>
      </c>
      <c r="AO56" s="116">
        <f>IF(OR($K56="",$L56=""),"",IF(NETWORKDAYS(AO$5,AO$5,休日)=0,"",IF(AND(AO$5&gt;=$K56,AO$5&lt;=$L56),IF(NETWORKDAYS($K56,AO$5,休日)=1,"○",IF(NETWORKDAYS(AO$5,$L56,休日)=1,"▶","→")),"")))</f>
        <v/>
      </c>
      <c r="AP56" s="116">
        <f>IF(OR($K56="",$L56=""),"",IF(NETWORKDAYS(AP$5,AP$5,休日)=0,"",IF(AND(AP$5&gt;=$K56,AP$5&lt;=$L56),IF(NETWORKDAYS($K56,AP$5,休日)=1,"○",IF(NETWORKDAYS(AP$5,$L56,休日)=1,"▶","→")),"")))</f>
        <v/>
      </c>
      <c r="AQ56" s="116">
        <f>IF(OR($K56="",$L56=""),"",IF(NETWORKDAYS(AQ$5,AQ$5,休日)=0,"",IF(AND(AQ$5&gt;=$K56,AQ$5&lt;=$L56),IF(NETWORKDAYS($K56,AQ$5,休日)=1,"○",IF(NETWORKDAYS(AQ$5,$L56,休日)=1,"▶","→")),"")))</f>
        <v/>
      </c>
      <c r="AR56" s="116">
        <f>IF(OR($K56="",$L56=""),"",IF(NETWORKDAYS(AR$5,AR$5,休日)=0,"",IF(AND(AR$5&gt;=$K56,AR$5&lt;=$L56),IF(NETWORKDAYS($K56,AR$5,休日)=1,"○",IF(NETWORKDAYS(AR$5,$L56,休日)=1,"▶","→")),"")))</f>
        <v/>
      </c>
      <c r="AS56" s="116">
        <f>IF(OR($K56="",$L56=""),"",IF(NETWORKDAYS(AS$5,AS$5,休日)=0,"",IF(AND(AS$5&gt;=$K56,AS$5&lt;=$L56),IF(NETWORKDAYS($K56,AS$5,休日)=1,"○",IF(NETWORKDAYS(AS$5,$L56,休日)=1,"▶","→")),"")))</f>
        <v/>
      </c>
      <c r="AT56" s="116">
        <f>IF(OR($K56="",$L56=""),"",IF(NETWORKDAYS(AT$5,AT$5,休日)=0,"",IF(AND(AT$5&gt;=$K56,AT$5&lt;=$L56),IF(NETWORKDAYS($K56,AT$5,休日)=1,"○",IF(NETWORKDAYS(AT$5,$L56,休日)=1,"▶","→")),"")))</f>
        <v/>
      </c>
      <c r="AU56" s="116">
        <f>IF(OR($K56="",$L56=""),"",IF(NETWORKDAYS(AU$5,AU$5,休日)=0,"",IF(AND(AU$5&gt;=$K56,AU$5&lt;=$L56),IF(NETWORKDAYS($K56,AU$5,休日)=1,"○",IF(NETWORKDAYS(AU$5,$L56,休日)=1,"▶","→")),"")))</f>
        <v/>
      </c>
      <c r="AV56" s="116">
        <f>IF(OR($K56="",$L56=""),"",IF(NETWORKDAYS(AV$5,AV$5,休日)=0,"",IF(AND(AV$5&gt;=$K56,AV$5&lt;=$L56),IF(NETWORKDAYS($K56,AV$5,休日)=1,"○",IF(NETWORKDAYS(AV$5,$L56,休日)=1,"▶","→")),"")))</f>
        <v/>
      </c>
      <c r="AW56" s="116">
        <f>IF(OR($K56="",$L56=""),"",IF(NETWORKDAYS(AW$5,AW$5,休日)=0,"",IF(AND(AW$5&gt;=$K56,AW$5&lt;=$L56),IF(NETWORKDAYS($K56,AW$5,休日)=1,"○",IF(NETWORKDAYS(AW$5,$L56,休日)=1,"▶","→")),"")))</f>
        <v/>
      </c>
      <c r="AX56" s="116">
        <f>IF(OR($K56="",$L56=""),"",IF(NETWORKDAYS(AX$5,AX$5,休日)=0,"",IF(AND(AX$5&gt;=$K56,AX$5&lt;=$L56),IF(NETWORKDAYS($K56,AX$5,休日)=1,"○",IF(NETWORKDAYS(AX$5,$L56,休日)=1,"▶","→")),"")))</f>
        <v/>
      </c>
      <c r="AY56" s="116">
        <f>IF(OR($K56="",$L56=""),"",IF(NETWORKDAYS(AY$5,AY$5,休日)=0,"",IF(AND(AY$5&gt;=$K56,AY$5&lt;=$L56),IF(NETWORKDAYS($K56,AY$5,休日)=1,"○",IF(NETWORKDAYS(AY$5,$L56,休日)=1,"▶","→")),"")))</f>
        <v/>
      </c>
      <c r="AZ56" s="116">
        <f>IF(OR($K56="",$L56=""),"",IF(NETWORKDAYS(AZ$5,AZ$5,休日)=0,"",IF(AND(AZ$5&gt;=$K56,AZ$5&lt;=$L56),IF(NETWORKDAYS($K56,AZ$5,休日)=1,"○",IF(NETWORKDAYS(AZ$5,$L56,休日)=1,"▶","→")),"")))</f>
        <v/>
      </c>
      <c r="BA56" s="116">
        <f>IF(OR($K56="",$L56=""),"",IF(NETWORKDAYS(BA$5,BA$5,休日)=0,"",IF(AND(BA$5&gt;=$K56,BA$5&lt;=$L56),IF(NETWORKDAYS($K56,BA$5,休日)=1,"○",IF(NETWORKDAYS(BA$5,$L56,休日)=1,"▶","→")),"")))</f>
        <v/>
      </c>
      <c r="BB56" s="116">
        <f>IF(OR($K56="",$L56=""),"",IF(NETWORKDAYS(BB$5,BB$5,休日)=0,"",IF(AND(BB$5&gt;=$K56,BB$5&lt;=$L56),IF(NETWORKDAYS($K56,BB$5,休日)=1,"○",IF(NETWORKDAYS(BB$5,$L56,休日)=1,"▶","→")),"")))</f>
        <v/>
      </c>
      <c r="BC56" s="116">
        <f>IF(OR($K56="",$L56=""),"",IF(NETWORKDAYS(BC$5,BC$5,休日)=0,"",IF(AND(BC$5&gt;=$K56,BC$5&lt;=$L56),IF(NETWORKDAYS($K56,BC$5,休日)=1,"○",IF(NETWORKDAYS(BC$5,$L56,休日)=1,"▶","→")),"")))</f>
        <v/>
      </c>
      <c r="BD56" s="116">
        <f>IF(OR($K56="",$L56=""),"",IF(NETWORKDAYS(BD$5,BD$5,休日)=0,"",IF(AND(BD$5&gt;=$K56,BD$5&lt;=$L56),IF(NETWORKDAYS($K56,BD$5,休日)=1,"○",IF(NETWORKDAYS(BD$5,$L56,休日)=1,"▶","→")),"")))</f>
        <v/>
      </c>
      <c r="BE56" s="116">
        <f>IF(OR($K56="",$L56=""),"",IF(NETWORKDAYS(BE$5,BE$5,休日)=0,"",IF(AND(BE$5&gt;=$K56,BE$5&lt;=$L56),IF(NETWORKDAYS($K56,BE$5,休日)=1,"○",IF(NETWORKDAYS(BE$5,$L56,休日)=1,"▶","→")),"")))</f>
        <v/>
      </c>
      <c r="BF56" s="116">
        <f>IF(OR($K56="",$L56=""),"",IF(NETWORKDAYS(BF$5,BF$5,休日)=0,"",IF(AND(BF$5&gt;=$K56,BF$5&lt;=$L56),IF(NETWORKDAYS($K56,BF$5,休日)=1,"○",IF(NETWORKDAYS(BF$5,$L56,休日)=1,"▶","→")),"")))</f>
        <v/>
      </c>
      <c r="BG56" s="116">
        <f>IF(OR($K56="",$L56=""),"",IF(NETWORKDAYS(BG$5,BG$5,休日)=0,"",IF(AND(BG$5&gt;=$K56,BG$5&lt;=$L56),IF(NETWORKDAYS($K56,BG$5,休日)=1,"○",IF(NETWORKDAYS(BG$5,$L56,休日)=1,"▶","→")),"")))</f>
        <v/>
      </c>
      <c r="BH56" s="116">
        <f>IF(OR($K56="",$L56=""),"",IF(NETWORKDAYS(BH$5,BH$5,休日)=0,"",IF(AND(BH$5&gt;=$K56,BH$5&lt;=$L56),IF(NETWORKDAYS($K56,BH$5,休日)=1,"○",IF(NETWORKDAYS(BH$5,$L56,休日)=1,"▶","→")),"")))</f>
        <v/>
      </c>
      <c r="BI56" s="116">
        <f>IF(OR($K56="",$L56=""),"",IF(NETWORKDAYS(BI$5,BI$5,休日)=0,"",IF(AND(BI$5&gt;=$K56,BI$5&lt;=$L56),IF(NETWORKDAYS($K56,BI$5,休日)=1,"○",IF(NETWORKDAYS(BI$5,$L56,休日)=1,"▶","→")),"")))</f>
        <v/>
      </c>
      <c r="BJ56" s="116">
        <f>IF(OR($K56="",$L56=""),"",IF(NETWORKDAYS(BJ$5,BJ$5,休日)=0,"",IF(AND(BJ$5&gt;=$K56,BJ$5&lt;=$L56),IF(NETWORKDAYS($K56,BJ$5,休日)=1,"○",IF(NETWORKDAYS(BJ$5,$L56,休日)=1,"▶","→")),"")))</f>
        <v/>
      </c>
      <c r="BK56" s="116">
        <f>IF(OR($K56="",$L56=""),"",IF(NETWORKDAYS(BK$5,BK$5,休日)=0,"",IF(AND(BK$5&gt;=$K56,BK$5&lt;=$L56),IF(NETWORKDAYS($K56,BK$5,休日)=1,"○",IF(NETWORKDAYS(BK$5,$L56,休日)=1,"▶","→")),"")))</f>
        <v/>
      </c>
      <c r="BL56" s="116">
        <f>IF(OR($K56="",$L56=""),"",IF(NETWORKDAYS(BL$5,BL$5,休日)=0,"",IF(AND(BL$5&gt;=$K56,BL$5&lt;=$L56),IF(NETWORKDAYS($K56,BL$5,休日)=1,"○",IF(NETWORKDAYS(BL$5,$L56,休日)=1,"▶","→")),"")))</f>
        <v/>
      </c>
      <c r="BM56" s="116">
        <f>IF(OR($K56="",$L56=""),"",IF(NETWORKDAYS(BM$5,BM$5,休日)=0,"",IF(AND(BM$5&gt;=$K56,BM$5&lt;=$L56),IF(NETWORKDAYS($K56,BM$5,休日)=1,"○",IF(NETWORKDAYS(BM$5,$L56,休日)=1,"▶","→")),"")))</f>
        <v/>
      </c>
      <c r="BN56" s="116">
        <f>IF(OR($K56="",$L56=""),"",IF(NETWORKDAYS(BN$5,BN$5,休日)=0,"",IF(AND(BN$5&gt;=$K56,BN$5&lt;=$L56),IF(NETWORKDAYS($K56,BN$5,休日)=1,"○",IF(NETWORKDAYS(BN$5,$L56,休日)=1,"▶","→")),"")))</f>
        <v/>
      </c>
      <c r="BO56" s="116">
        <f>IF(OR($K56="",$L56=""),"",IF(NETWORKDAYS(BO$5,BO$5,休日)=0,"",IF(AND(BO$5&gt;=$K56,BO$5&lt;=$L56),IF(NETWORKDAYS($K56,BO$5,休日)=1,"○",IF(NETWORKDAYS(BO$5,$L56,休日)=1,"▶","→")),"")))</f>
        <v/>
      </c>
      <c r="BP56" s="116">
        <f>IF(OR($K56="",$L56=""),"",IF(NETWORKDAYS(BP$5,BP$5,休日)=0,"",IF(AND(BP$5&gt;=$K56,BP$5&lt;=$L56),IF(NETWORKDAYS($K56,BP$5,休日)=1,"○",IF(NETWORKDAYS(BP$5,$L56,休日)=1,"▶","→")),"")))</f>
        <v/>
      </c>
      <c r="BQ56" s="116">
        <f>IF(OR($K56="",$L56=""),"",IF(NETWORKDAYS(BQ$5,BQ$5,休日)=0,"",IF(AND(BQ$5&gt;=$K56,BQ$5&lt;=$L56),IF(NETWORKDAYS($K56,BQ$5,休日)=1,"○",IF(NETWORKDAYS(BQ$5,$L56,休日)=1,"▶","→")),"")))</f>
        <v/>
      </c>
      <c r="BR56" s="116">
        <f>IF(OR($K56="",$L56=""),"",IF(NETWORKDAYS(BR$5,BR$5,休日)=0,"",IF(AND(BR$5&gt;=$K56,BR$5&lt;=$L56),IF(NETWORKDAYS($K56,BR$5,休日)=1,"○",IF(NETWORKDAYS(BR$5,$L56,休日)=1,"▶","→")),"")))</f>
        <v/>
      </c>
      <c r="BS56" s="116">
        <f>IF(OR($K56="",$L56=""),"",IF(NETWORKDAYS(BS$5,BS$5,休日)=0,"",IF(AND(BS$5&gt;=$K56,BS$5&lt;=$L56),IF(NETWORKDAYS($K56,BS$5,休日)=1,"○",IF(NETWORKDAYS(BS$5,$L56,休日)=1,"▶","→")),"")))</f>
        <v/>
      </c>
      <c r="BT56" s="116">
        <f>IF(OR($K56="",$L56=""),"",IF(NETWORKDAYS(BT$5,BT$5,休日)=0,"",IF(AND(BT$5&gt;=$K56,BT$5&lt;=$L56),IF(NETWORKDAYS($K56,BT$5,休日)=1,"○",IF(NETWORKDAYS(BT$5,$L56,休日)=1,"▶","→")),"")))</f>
        <v/>
      </c>
      <c r="BU56" s="116">
        <f>IF(OR($K56="",$L56=""),"",IF(NETWORKDAYS(BU$5,BU$5,休日)=0,"",IF(AND(BU$5&gt;=$K56,BU$5&lt;=$L56),IF(NETWORKDAYS($K56,BU$5,休日)=1,"○",IF(NETWORKDAYS(BU$5,$L56,休日)=1,"▶","→")),"")))</f>
        <v/>
      </c>
      <c r="BV56" s="116">
        <f>IF(OR($K56="",$L56=""),"",IF(NETWORKDAYS(BV$5,BV$5,休日)=0,"",IF(AND(BV$5&gt;=$K56,BV$5&lt;=$L56),IF(NETWORKDAYS($K56,BV$5,休日)=1,"○",IF(NETWORKDAYS(BV$5,$L56,休日)=1,"▶","→")),"")))</f>
        <v/>
      </c>
      <c r="BW56" s="116">
        <f>IF(OR($K56="",$L56=""),"",IF(NETWORKDAYS(BW$5,BW$5,休日)=0,"",IF(AND(BW$5&gt;=$K56,BW$5&lt;=$L56),IF(NETWORKDAYS($K56,BW$5,休日)=1,"○",IF(NETWORKDAYS(BW$5,$L56,休日)=1,"▶","→")),"")))</f>
        <v/>
      </c>
      <c r="BX56" s="116">
        <f>IF(OR($K56="",$L56=""),"",IF(NETWORKDAYS(BX$5,BX$5,休日)=0,"",IF(AND(BX$5&gt;=$K56,BX$5&lt;=$L56),IF(NETWORKDAYS($K56,BX$5,休日)=1,"○",IF(NETWORKDAYS(BX$5,$L56,休日)=1,"▶","→")),"")))</f>
        <v/>
      </c>
      <c r="BY56" s="116">
        <f>IF(OR($K56="",$L56=""),"",IF(NETWORKDAYS(BY$5,BY$5,休日)=0,"",IF(AND(BY$5&gt;=$K56,BY$5&lt;=$L56),IF(NETWORKDAYS($K56,BY$5,休日)=1,"○",IF(NETWORKDAYS(BY$5,$L56,休日)=1,"▶","→")),"")))</f>
        <v/>
      </c>
      <c r="BZ56" s="116">
        <f>IF(OR($K56="",$L56=""),"",IF(NETWORKDAYS(BZ$5,BZ$5,休日)=0,"",IF(AND(BZ$5&gt;=$K56,BZ$5&lt;=$L56),IF(NETWORKDAYS($K56,BZ$5,休日)=1,"○",IF(NETWORKDAYS(BZ$5,$L56,休日)=1,"▶","→")),"")))</f>
        <v/>
      </c>
      <c r="CA56" s="116">
        <f>IF(OR($K56="",$L56=""),"",IF(NETWORKDAYS(CA$5,CA$5,休日)=0,"",IF(AND(CA$5&gt;=$K56,CA$5&lt;=$L56),IF(NETWORKDAYS($K56,CA$5,休日)=1,"○",IF(NETWORKDAYS(CA$5,$L56,休日)=1,"▶","→")),"")))</f>
        <v/>
      </c>
      <c r="CB56" s="116">
        <f>IF(OR($K56="",$L56=""),"",IF(NETWORKDAYS(CB$5,CB$5,休日)=0,"",IF(AND(CB$5&gt;=$K56,CB$5&lt;=$L56),IF(NETWORKDAYS($K56,CB$5,休日)=1,"○",IF(NETWORKDAYS(CB$5,$L56,休日)=1,"▶","→")),"")))</f>
        <v/>
      </c>
      <c r="CC56" s="116">
        <f>IF(OR($K56="",$L56=""),"",IF(NETWORKDAYS(CC$5,CC$5,休日)=0,"",IF(AND(CC$5&gt;=$K56,CC$5&lt;=$L56),IF(NETWORKDAYS($K56,CC$5,休日)=1,"○",IF(NETWORKDAYS(CC$5,$L56,休日)=1,"▶","→")),"")))</f>
        <v/>
      </c>
      <c r="CD56" s="116">
        <f>IF(OR($K56="",$L56=""),"",IF(NETWORKDAYS(CD$5,CD$5,休日)=0,"",IF(AND(CD$5&gt;=$K56,CD$5&lt;=$L56),IF(NETWORKDAYS($K56,CD$5,休日)=1,"○",IF(NETWORKDAYS(CD$5,$L56,休日)=1,"▶","→")),"")))</f>
        <v/>
      </c>
      <c r="CE56" s="116">
        <f>IF(OR($K56="",$L56=""),"",IF(NETWORKDAYS(CE$5,CE$5,休日)=0,"",IF(AND(CE$5&gt;=$K56,CE$5&lt;=$L56),IF(NETWORKDAYS($K56,CE$5,休日)=1,"○",IF(NETWORKDAYS(CE$5,$L56,休日)=1,"▶","→")),"")))</f>
        <v/>
      </c>
      <c r="CF56" s="116">
        <f>IF(OR($K56="",$L56=""),"",IF(NETWORKDAYS(CF$5,CF$5,休日)=0,"",IF(AND(CF$5&gt;=$K56,CF$5&lt;=$L56),IF(NETWORKDAYS($K56,CF$5,休日)=1,"○",IF(NETWORKDAYS(CF$5,$L56,休日)=1,"▶","→")),"")))</f>
        <v/>
      </c>
      <c r="CG56" s="116">
        <f>IF(OR($K56="",$L56=""),"",IF(NETWORKDAYS(CG$5,CG$5,休日)=0,"",IF(AND(CG$5&gt;=$K56,CG$5&lt;=$L56),IF(NETWORKDAYS($K56,CG$5,休日)=1,"○",IF(NETWORKDAYS(CG$5,$L56,休日)=1,"▶","→")),"")))</f>
        <v/>
      </c>
      <c r="CH56" s="116">
        <f>IF(OR($K56="",$L56=""),"",IF(NETWORKDAYS(CH$5,CH$5,休日)=0,"",IF(AND(CH$5&gt;=$K56,CH$5&lt;=$L56),IF(NETWORKDAYS($K56,CH$5,休日)=1,"○",IF(NETWORKDAYS(CH$5,$L56,休日)=1,"▶","→")),"")))</f>
        <v/>
      </c>
      <c r="CI56" s="116">
        <f>IF(OR($K56="",$L56=""),"",IF(NETWORKDAYS(CI$5,CI$5,休日)=0,"",IF(AND(CI$5&gt;=$K56,CI$5&lt;=$L56),IF(NETWORKDAYS($K56,CI$5,休日)=1,"○",IF(NETWORKDAYS(CI$5,$L56,休日)=1,"▶","→")),"")))</f>
        <v/>
      </c>
      <c r="CJ56" s="116">
        <f>IF(OR($K56="",$L56=""),"",IF(NETWORKDAYS(CJ$5,CJ$5,休日)=0,"",IF(AND(CJ$5&gt;=$K56,CJ$5&lt;=$L56),IF(NETWORKDAYS($K56,CJ$5,休日)=1,"○",IF(NETWORKDAYS(CJ$5,$L56,休日)=1,"▶","→")),"")))</f>
        <v/>
      </c>
      <c r="CK56" s="116">
        <f>IF(OR($K56="",$L56=""),"",IF(NETWORKDAYS(CK$5,CK$5,休日)=0,"",IF(AND(CK$5&gt;=$K56,CK$5&lt;=$L56),IF(NETWORKDAYS($K56,CK$5,休日)=1,"○",IF(NETWORKDAYS(CK$5,$L56,休日)=1,"▶","→")),"")))</f>
        <v/>
      </c>
      <c r="CL56" s="116">
        <f>IF(OR($K56="",$L56=""),"",IF(NETWORKDAYS(CL$5,CL$5,休日)=0,"",IF(AND(CL$5&gt;=$K56,CL$5&lt;=$L56),IF(NETWORKDAYS($K56,CL$5,休日)=1,"○",IF(NETWORKDAYS(CL$5,$L56,休日)=1,"▶","→")),"")))</f>
        <v/>
      </c>
      <c r="CM56" s="116">
        <f>IF(OR($K56="",$L56=""),"",IF(NETWORKDAYS(CM$5,CM$5,休日)=0,"",IF(AND(CM$5&gt;=$K56,CM$5&lt;=$L56),IF(NETWORKDAYS($K56,CM$5,休日)=1,"○",IF(NETWORKDAYS(CM$5,$L56,休日)=1,"▶","→")),"")))</f>
        <v/>
      </c>
      <c r="CN56" s="116">
        <f>IF(OR($K56="",$L56=""),"",IF(NETWORKDAYS(CN$5,CN$5,休日)=0,"",IF(AND(CN$5&gt;=$K56,CN$5&lt;=$L56),IF(NETWORKDAYS($K56,CN$5,休日)=1,"○",IF(NETWORKDAYS(CN$5,$L56,休日)=1,"▶","→")),"")))</f>
        <v/>
      </c>
      <c r="CO56" s="116">
        <f>IF(OR($K56="",$L56=""),"",IF(NETWORKDAYS(CO$5,CO$5,休日)=0,"",IF(AND(CO$5&gt;=$K56,CO$5&lt;=$L56),IF(NETWORKDAYS($K56,CO$5,休日)=1,"○",IF(NETWORKDAYS(CO$5,$L56,休日)=1,"▶","→")),"")))</f>
        <v/>
      </c>
    </row>
    <row r="57" ht="32" customHeight="1" s="98">
      <c r="A57" s="5" t="n"/>
      <c r="B57" s="100" t="inlineStr">
        <is>
          <t>4.1.11</t>
        </is>
      </c>
      <c r="C57" s="101" t="inlineStr">
        <is>
          <t>単体テスト</t>
        </is>
      </c>
      <c r="D57" s="101" t="inlineStr">
        <is>
          <t>Layer①</t>
        </is>
      </c>
      <c r="E57" s="101" t="inlineStr">
        <is>
          <t>生鮮発注スケジュール</t>
        </is>
      </c>
      <c r="F57" s="101" t="inlineStr">
        <is>
          <t>生鮮発注スケジュール</t>
        </is>
      </c>
      <c r="G57" s="100" t="inlineStr">
        <is>
          <t>差分</t>
        </is>
      </c>
      <c r="H57" s="100" t="inlineStr">
        <is>
          <t>未定</t>
        </is>
      </c>
      <c r="I57" s="113" t="n">
        <v>3.5</v>
      </c>
      <c r="J57" s="100" t="inlineStr">
        <is>
          <t>－</t>
        </is>
      </c>
      <c r="K57" s="114" t="n">
        <v>46363</v>
      </c>
      <c r="L57" s="114" t="n">
        <v>46381</v>
      </c>
      <c r="M57" s="114" t="n"/>
      <c r="N57" s="114" t="n"/>
      <c r="O57" s="100" t="inlineStr">
        <is>
          <t>未着手</t>
        </is>
      </c>
      <c r="P57" s="115" t="n">
        <v>0</v>
      </c>
      <c r="Q57" s="100" t="inlineStr">
        <is>
          <t>－</t>
        </is>
      </c>
      <c r="R57" s="101" t="inlineStr">
        <is>
          <t>出典は塊として12/7–12/25。IFごとの日付は分割されていない。担当は未定</t>
        </is>
      </c>
      <c r="S57" s="116">
        <f>IF(OR($K57="",$L57=""),"",IF(NETWORKDAYS(S$5,S$5,休日)=0,"",IF(AND(S$5&gt;=$K57,S$5&lt;=$L57),IF(NETWORKDAYS($K57,S$5,休日)=1,"○",IF(NETWORKDAYS(S$5,$L57,休日)=1,"▶","→")),"")))</f>
        <v/>
      </c>
      <c r="T57" s="116">
        <f>IF(OR($K57="",$L57=""),"",IF(NETWORKDAYS(T$5,T$5,休日)=0,"",IF(AND(T$5&gt;=$K57,T$5&lt;=$L57),IF(NETWORKDAYS($K57,T$5,休日)=1,"○",IF(NETWORKDAYS(T$5,$L57,休日)=1,"▶","→")),"")))</f>
        <v/>
      </c>
      <c r="U57" s="116">
        <f>IF(OR($K57="",$L57=""),"",IF(NETWORKDAYS(U$5,U$5,休日)=0,"",IF(AND(U$5&gt;=$K57,U$5&lt;=$L57),IF(NETWORKDAYS($K57,U$5,休日)=1,"○",IF(NETWORKDAYS(U$5,$L57,休日)=1,"▶","→")),"")))</f>
        <v/>
      </c>
      <c r="V57" s="116">
        <f>IF(OR($K57="",$L57=""),"",IF(NETWORKDAYS(V$5,V$5,休日)=0,"",IF(AND(V$5&gt;=$K57,V$5&lt;=$L57),IF(NETWORKDAYS($K57,V$5,休日)=1,"○",IF(NETWORKDAYS(V$5,$L57,休日)=1,"▶","→")),"")))</f>
        <v/>
      </c>
      <c r="W57" s="116">
        <f>IF(OR($K57="",$L57=""),"",IF(NETWORKDAYS(W$5,W$5,休日)=0,"",IF(AND(W$5&gt;=$K57,W$5&lt;=$L57),IF(NETWORKDAYS($K57,W$5,休日)=1,"○",IF(NETWORKDAYS(W$5,$L57,休日)=1,"▶","→")),"")))</f>
        <v/>
      </c>
      <c r="X57" s="116">
        <f>IF(OR($K57="",$L57=""),"",IF(NETWORKDAYS(X$5,X$5,休日)=0,"",IF(AND(X$5&gt;=$K57,X$5&lt;=$L57),IF(NETWORKDAYS($K57,X$5,休日)=1,"○",IF(NETWORKDAYS(X$5,$L57,休日)=1,"▶","→")),"")))</f>
        <v/>
      </c>
      <c r="Y57" s="116">
        <f>IF(OR($K57="",$L57=""),"",IF(NETWORKDAYS(Y$5,Y$5,休日)=0,"",IF(AND(Y$5&gt;=$K57,Y$5&lt;=$L57),IF(NETWORKDAYS($K57,Y$5,休日)=1,"○",IF(NETWORKDAYS(Y$5,$L57,休日)=1,"▶","→")),"")))</f>
        <v/>
      </c>
      <c r="Z57" s="116">
        <f>IF(OR($K57="",$L57=""),"",IF(NETWORKDAYS(Z$5,Z$5,休日)=0,"",IF(AND(Z$5&gt;=$K57,Z$5&lt;=$L57),IF(NETWORKDAYS($K57,Z$5,休日)=1,"○",IF(NETWORKDAYS(Z$5,$L57,休日)=1,"▶","→")),"")))</f>
        <v/>
      </c>
      <c r="AA57" s="116">
        <f>IF(OR($K57="",$L57=""),"",IF(NETWORKDAYS(AA$5,AA$5,休日)=0,"",IF(AND(AA$5&gt;=$K57,AA$5&lt;=$L57),IF(NETWORKDAYS($K57,AA$5,休日)=1,"○",IF(NETWORKDAYS(AA$5,$L57,休日)=1,"▶","→")),"")))</f>
        <v/>
      </c>
      <c r="AB57" s="116">
        <f>IF(OR($K57="",$L57=""),"",IF(NETWORKDAYS(AB$5,AB$5,休日)=0,"",IF(AND(AB$5&gt;=$K57,AB$5&lt;=$L57),IF(NETWORKDAYS($K57,AB$5,休日)=1,"○",IF(NETWORKDAYS(AB$5,$L57,休日)=1,"▶","→")),"")))</f>
        <v/>
      </c>
      <c r="AC57" s="116">
        <f>IF(OR($K57="",$L57=""),"",IF(NETWORKDAYS(AC$5,AC$5,休日)=0,"",IF(AND(AC$5&gt;=$K57,AC$5&lt;=$L57),IF(NETWORKDAYS($K57,AC$5,休日)=1,"○",IF(NETWORKDAYS(AC$5,$L57,休日)=1,"▶","→")),"")))</f>
        <v/>
      </c>
      <c r="AD57" s="116">
        <f>IF(OR($K57="",$L57=""),"",IF(NETWORKDAYS(AD$5,AD$5,休日)=0,"",IF(AND(AD$5&gt;=$K57,AD$5&lt;=$L57),IF(NETWORKDAYS($K57,AD$5,休日)=1,"○",IF(NETWORKDAYS(AD$5,$L57,休日)=1,"▶","→")),"")))</f>
        <v/>
      </c>
      <c r="AE57" s="116">
        <f>IF(OR($K57="",$L57=""),"",IF(NETWORKDAYS(AE$5,AE$5,休日)=0,"",IF(AND(AE$5&gt;=$K57,AE$5&lt;=$L57),IF(NETWORKDAYS($K57,AE$5,休日)=1,"○",IF(NETWORKDAYS(AE$5,$L57,休日)=1,"▶","→")),"")))</f>
        <v/>
      </c>
      <c r="AF57" s="116">
        <f>IF(OR($K57="",$L57=""),"",IF(NETWORKDAYS(AF$5,AF$5,休日)=0,"",IF(AND(AF$5&gt;=$K57,AF$5&lt;=$L57),IF(NETWORKDAYS($K57,AF$5,休日)=1,"○",IF(NETWORKDAYS(AF$5,$L57,休日)=1,"▶","→")),"")))</f>
        <v/>
      </c>
      <c r="AG57" s="116">
        <f>IF(OR($K57="",$L57=""),"",IF(NETWORKDAYS(AG$5,AG$5,休日)=0,"",IF(AND(AG$5&gt;=$K57,AG$5&lt;=$L57),IF(NETWORKDAYS($K57,AG$5,休日)=1,"○",IF(NETWORKDAYS(AG$5,$L57,休日)=1,"▶","→")),"")))</f>
        <v/>
      </c>
      <c r="AH57" s="116">
        <f>IF(OR($K57="",$L57=""),"",IF(NETWORKDAYS(AH$5,AH$5,休日)=0,"",IF(AND(AH$5&gt;=$K57,AH$5&lt;=$L57),IF(NETWORKDAYS($K57,AH$5,休日)=1,"○",IF(NETWORKDAYS(AH$5,$L57,休日)=1,"▶","→")),"")))</f>
        <v/>
      </c>
      <c r="AI57" s="116">
        <f>IF(OR($K57="",$L57=""),"",IF(NETWORKDAYS(AI$5,AI$5,休日)=0,"",IF(AND(AI$5&gt;=$K57,AI$5&lt;=$L57),IF(NETWORKDAYS($K57,AI$5,休日)=1,"○",IF(NETWORKDAYS(AI$5,$L57,休日)=1,"▶","→")),"")))</f>
        <v/>
      </c>
      <c r="AJ57" s="116">
        <f>IF(OR($K57="",$L57=""),"",IF(NETWORKDAYS(AJ$5,AJ$5,休日)=0,"",IF(AND(AJ$5&gt;=$K57,AJ$5&lt;=$L57),IF(NETWORKDAYS($K57,AJ$5,休日)=1,"○",IF(NETWORKDAYS(AJ$5,$L57,休日)=1,"▶","→")),"")))</f>
        <v/>
      </c>
      <c r="AK57" s="116">
        <f>IF(OR($K57="",$L57=""),"",IF(NETWORKDAYS(AK$5,AK$5,休日)=0,"",IF(AND(AK$5&gt;=$K57,AK$5&lt;=$L57),IF(NETWORKDAYS($K57,AK$5,休日)=1,"○",IF(NETWORKDAYS(AK$5,$L57,休日)=1,"▶","→")),"")))</f>
        <v/>
      </c>
      <c r="AL57" s="116">
        <f>IF(OR($K57="",$L57=""),"",IF(NETWORKDAYS(AL$5,AL$5,休日)=0,"",IF(AND(AL$5&gt;=$K57,AL$5&lt;=$L57),IF(NETWORKDAYS($K57,AL$5,休日)=1,"○",IF(NETWORKDAYS(AL$5,$L57,休日)=1,"▶","→")),"")))</f>
        <v/>
      </c>
      <c r="AM57" s="116">
        <f>IF(OR($K57="",$L57=""),"",IF(NETWORKDAYS(AM$5,AM$5,休日)=0,"",IF(AND(AM$5&gt;=$K57,AM$5&lt;=$L57),IF(NETWORKDAYS($K57,AM$5,休日)=1,"○",IF(NETWORKDAYS(AM$5,$L57,休日)=1,"▶","→")),"")))</f>
        <v/>
      </c>
      <c r="AN57" s="116">
        <f>IF(OR($K57="",$L57=""),"",IF(NETWORKDAYS(AN$5,AN$5,休日)=0,"",IF(AND(AN$5&gt;=$K57,AN$5&lt;=$L57),IF(NETWORKDAYS($K57,AN$5,休日)=1,"○",IF(NETWORKDAYS(AN$5,$L57,休日)=1,"▶","→")),"")))</f>
        <v/>
      </c>
      <c r="AO57" s="116">
        <f>IF(OR($K57="",$L57=""),"",IF(NETWORKDAYS(AO$5,AO$5,休日)=0,"",IF(AND(AO$5&gt;=$K57,AO$5&lt;=$L57),IF(NETWORKDAYS($K57,AO$5,休日)=1,"○",IF(NETWORKDAYS(AO$5,$L57,休日)=1,"▶","→")),"")))</f>
        <v/>
      </c>
      <c r="AP57" s="116">
        <f>IF(OR($K57="",$L57=""),"",IF(NETWORKDAYS(AP$5,AP$5,休日)=0,"",IF(AND(AP$5&gt;=$K57,AP$5&lt;=$L57),IF(NETWORKDAYS($K57,AP$5,休日)=1,"○",IF(NETWORKDAYS(AP$5,$L57,休日)=1,"▶","→")),"")))</f>
        <v/>
      </c>
      <c r="AQ57" s="116">
        <f>IF(OR($K57="",$L57=""),"",IF(NETWORKDAYS(AQ$5,AQ$5,休日)=0,"",IF(AND(AQ$5&gt;=$K57,AQ$5&lt;=$L57),IF(NETWORKDAYS($K57,AQ$5,休日)=1,"○",IF(NETWORKDAYS(AQ$5,$L57,休日)=1,"▶","→")),"")))</f>
        <v/>
      </c>
      <c r="AR57" s="116">
        <f>IF(OR($K57="",$L57=""),"",IF(NETWORKDAYS(AR$5,AR$5,休日)=0,"",IF(AND(AR$5&gt;=$K57,AR$5&lt;=$L57),IF(NETWORKDAYS($K57,AR$5,休日)=1,"○",IF(NETWORKDAYS(AR$5,$L57,休日)=1,"▶","→")),"")))</f>
        <v/>
      </c>
      <c r="AS57" s="116">
        <f>IF(OR($K57="",$L57=""),"",IF(NETWORKDAYS(AS$5,AS$5,休日)=0,"",IF(AND(AS$5&gt;=$K57,AS$5&lt;=$L57),IF(NETWORKDAYS($K57,AS$5,休日)=1,"○",IF(NETWORKDAYS(AS$5,$L57,休日)=1,"▶","→")),"")))</f>
        <v/>
      </c>
      <c r="AT57" s="116">
        <f>IF(OR($K57="",$L57=""),"",IF(NETWORKDAYS(AT$5,AT$5,休日)=0,"",IF(AND(AT$5&gt;=$K57,AT$5&lt;=$L57),IF(NETWORKDAYS($K57,AT$5,休日)=1,"○",IF(NETWORKDAYS(AT$5,$L57,休日)=1,"▶","→")),"")))</f>
        <v/>
      </c>
      <c r="AU57" s="116">
        <f>IF(OR($K57="",$L57=""),"",IF(NETWORKDAYS(AU$5,AU$5,休日)=0,"",IF(AND(AU$5&gt;=$K57,AU$5&lt;=$L57),IF(NETWORKDAYS($K57,AU$5,休日)=1,"○",IF(NETWORKDAYS(AU$5,$L57,休日)=1,"▶","→")),"")))</f>
        <v/>
      </c>
      <c r="AV57" s="116">
        <f>IF(OR($K57="",$L57=""),"",IF(NETWORKDAYS(AV$5,AV$5,休日)=0,"",IF(AND(AV$5&gt;=$K57,AV$5&lt;=$L57),IF(NETWORKDAYS($K57,AV$5,休日)=1,"○",IF(NETWORKDAYS(AV$5,$L57,休日)=1,"▶","→")),"")))</f>
        <v/>
      </c>
      <c r="AW57" s="116">
        <f>IF(OR($K57="",$L57=""),"",IF(NETWORKDAYS(AW$5,AW$5,休日)=0,"",IF(AND(AW$5&gt;=$K57,AW$5&lt;=$L57),IF(NETWORKDAYS($K57,AW$5,休日)=1,"○",IF(NETWORKDAYS(AW$5,$L57,休日)=1,"▶","→")),"")))</f>
        <v/>
      </c>
      <c r="AX57" s="116">
        <f>IF(OR($K57="",$L57=""),"",IF(NETWORKDAYS(AX$5,AX$5,休日)=0,"",IF(AND(AX$5&gt;=$K57,AX$5&lt;=$L57),IF(NETWORKDAYS($K57,AX$5,休日)=1,"○",IF(NETWORKDAYS(AX$5,$L57,休日)=1,"▶","→")),"")))</f>
        <v/>
      </c>
      <c r="AY57" s="116">
        <f>IF(OR($K57="",$L57=""),"",IF(NETWORKDAYS(AY$5,AY$5,休日)=0,"",IF(AND(AY$5&gt;=$K57,AY$5&lt;=$L57),IF(NETWORKDAYS($K57,AY$5,休日)=1,"○",IF(NETWORKDAYS(AY$5,$L57,休日)=1,"▶","→")),"")))</f>
        <v/>
      </c>
      <c r="AZ57" s="116">
        <f>IF(OR($K57="",$L57=""),"",IF(NETWORKDAYS(AZ$5,AZ$5,休日)=0,"",IF(AND(AZ$5&gt;=$K57,AZ$5&lt;=$L57),IF(NETWORKDAYS($K57,AZ$5,休日)=1,"○",IF(NETWORKDAYS(AZ$5,$L57,休日)=1,"▶","→")),"")))</f>
        <v/>
      </c>
      <c r="BA57" s="116">
        <f>IF(OR($K57="",$L57=""),"",IF(NETWORKDAYS(BA$5,BA$5,休日)=0,"",IF(AND(BA$5&gt;=$K57,BA$5&lt;=$L57),IF(NETWORKDAYS($K57,BA$5,休日)=1,"○",IF(NETWORKDAYS(BA$5,$L57,休日)=1,"▶","→")),"")))</f>
        <v/>
      </c>
      <c r="BB57" s="116">
        <f>IF(OR($K57="",$L57=""),"",IF(NETWORKDAYS(BB$5,BB$5,休日)=0,"",IF(AND(BB$5&gt;=$K57,BB$5&lt;=$L57),IF(NETWORKDAYS($K57,BB$5,休日)=1,"○",IF(NETWORKDAYS(BB$5,$L57,休日)=1,"▶","→")),"")))</f>
        <v/>
      </c>
      <c r="BC57" s="116">
        <f>IF(OR($K57="",$L57=""),"",IF(NETWORKDAYS(BC$5,BC$5,休日)=0,"",IF(AND(BC$5&gt;=$K57,BC$5&lt;=$L57),IF(NETWORKDAYS($K57,BC$5,休日)=1,"○",IF(NETWORKDAYS(BC$5,$L57,休日)=1,"▶","→")),"")))</f>
        <v/>
      </c>
      <c r="BD57" s="116">
        <f>IF(OR($K57="",$L57=""),"",IF(NETWORKDAYS(BD$5,BD$5,休日)=0,"",IF(AND(BD$5&gt;=$K57,BD$5&lt;=$L57),IF(NETWORKDAYS($K57,BD$5,休日)=1,"○",IF(NETWORKDAYS(BD$5,$L57,休日)=1,"▶","→")),"")))</f>
        <v/>
      </c>
      <c r="BE57" s="116">
        <f>IF(OR($K57="",$L57=""),"",IF(NETWORKDAYS(BE$5,BE$5,休日)=0,"",IF(AND(BE$5&gt;=$K57,BE$5&lt;=$L57),IF(NETWORKDAYS($K57,BE$5,休日)=1,"○",IF(NETWORKDAYS(BE$5,$L57,休日)=1,"▶","→")),"")))</f>
        <v/>
      </c>
      <c r="BF57" s="116">
        <f>IF(OR($K57="",$L57=""),"",IF(NETWORKDAYS(BF$5,BF$5,休日)=0,"",IF(AND(BF$5&gt;=$K57,BF$5&lt;=$L57),IF(NETWORKDAYS($K57,BF$5,休日)=1,"○",IF(NETWORKDAYS(BF$5,$L57,休日)=1,"▶","→")),"")))</f>
        <v/>
      </c>
      <c r="BG57" s="116">
        <f>IF(OR($K57="",$L57=""),"",IF(NETWORKDAYS(BG$5,BG$5,休日)=0,"",IF(AND(BG$5&gt;=$K57,BG$5&lt;=$L57),IF(NETWORKDAYS($K57,BG$5,休日)=1,"○",IF(NETWORKDAYS(BG$5,$L57,休日)=1,"▶","→")),"")))</f>
        <v/>
      </c>
      <c r="BH57" s="116">
        <f>IF(OR($K57="",$L57=""),"",IF(NETWORKDAYS(BH$5,BH$5,休日)=0,"",IF(AND(BH$5&gt;=$K57,BH$5&lt;=$L57),IF(NETWORKDAYS($K57,BH$5,休日)=1,"○",IF(NETWORKDAYS(BH$5,$L57,休日)=1,"▶","→")),"")))</f>
        <v/>
      </c>
      <c r="BI57" s="116">
        <f>IF(OR($K57="",$L57=""),"",IF(NETWORKDAYS(BI$5,BI$5,休日)=0,"",IF(AND(BI$5&gt;=$K57,BI$5&lt;=$L57),IF(NETWORKDAYS($K57,BI$5,休日)=1,"○",IF(NETWORKDAYS(BI$5,$L57,休日)=1,"▶","→")),"")))</f>
        <v/>
      </c>
      <c r="BJ57" s="116">
        <f>IF(OR($K57="",$L57=""),"",IF(NETWORKDAYS(BJ$5,BJ$5,休日)=0,"",IF(AND(BJ$5&gt;=$K57,BJ$5&lt;=$L57),IF(NETWORKDAYS($K57,BJ$5,休日)=1,"○",IF(NETWORKDAYS(BJ$5,$L57,休日)=1,"▶","→")),"")))</f>
        <v/>
      </c>
      <c r="BK57" s="116">
        <f>IF(OR($K57="",$L57=""),"",IF(NETWORKDAYS(BK$5,BK$5,休日)=0,"",IF(AND(BK$5&gt;=$K57,BK$5&lt;=$L57),IF(NETWORKDAYS($K57,BK$5,休日)=1,"○",IF(NETWORKDAYS(BK$5,$L57,休日)=1,"▶","→")),"")))</f>
        <v/>
      </c>
      <c r="BL57" s="116">
        <f>IF(OR($K57="",$L57=""),"",IF(NETWORKDAYS(BL$5,BL$5,休日)=0,"",IF(AND(BL$5&gt;=$K57,BL$5&lt;=$L57),IF(NETWORKDAYS($K57,BL$5,休日)=1,"○",IF(NETWORKDAYS(BL$5,$L57,休日)=1,"▶","→")),"")))</f>
        <v/>
      </c>
      <c r="BM57" s="116">
        <f>IF(OR($K57="",$L57=""),"",IF(NETWORKDAYS(BM$5,BM$5,休日)=0,"",IF(AND(BM$5&gt;=$K57,BM$5&lt;=$L57),IF(NETWORKDAYS($K57,BM$5,休日)=1,"○",IF(NETWORKDAYS(BM$5,$L57,休日)=1,"▶","→")),"")))</f>
        <v/>
      </c>
      <c r="BN57" s="116">
        <f>IF(OR($K57="",$L57=""),"",IF(NETWORKDAYS(BN$5,BN$5,休日)=0,"",IF(AND(BN$5&gt;=$K57,BN$5&lt;=$L57),IF(NETWORKDAYS($K57,BN$5,休日)=1,"○",IF(NETWORKDAYS(BN$5,$L57,休日)=1,"▶","→")),"")))</f>
        <v/>
      </c>
      <c r="BO57" s="116">
        <f>IF(OR($K57="",$L57=""),"",IF(NETWORKDAYS(BO$5,BO$5,休日)=0,"",IF(AND(BO$5&gt;=$K57,BO$5&lt;=$L57),IF(NETWORKDAYS($K57,BO$5,休日)=1,"○",IF(NETWORKDAYS(BO$5,$L57,休日)=1,"▶","→")),"")))</f>
        <v/>
      </c>
      <c r="BP57" s="116">
        <f>IF(OR($K57="",$L57=""),"",IF(NETWORKDAYS(BP$5,BP$5,休日)=0,"",IF(AND(BP$5&gt;=$K57,BP$5&lt;=$L57),IF(NETWORKDAYS($K57,BP$5,休日)=1,"○",IF(NETWORKDAYS(BP$5,$L57,休日)=1,"▶","→")),"")))</f>
        <v/>
      </c>
      <c r="BQ57" s="116">
        <f>IF(OR($K57="",$L57=""),"",IF(NETWORKDAYS(BQ$5,BQ$5,休日)=0,"",IF(AND(BQ$5&gt;=$K57,BQ$5&lt;=$L57),IF(NETWORKDAYS($K57,BQ$5,休日)=1,"○",IF(NETWORKDAYS(BQ$5,$L57,休日)=1,"▶","→")),"")))</f>
        <v/>
      </c>
      <c r="BR57" s="116">
        <f>IF(OR($K57="",$L57=""),"",IF(NETWORKDAYS(BR$5,BR$5,休日)=0,"",IF(AND(BR$5&gt;=$K57,BR$5&lt;=$L57),IF(NETWORKDAYS($K57,BR$5,休日)=1,"○",IF(NETWORKDAYS(BR$5,$L57,休日)=1,"▶","→")),"")))</f>
        <v/>
      </c>
      <c r="BS57" s="116">
        <f>IF(OR($K57="",$L57=""),"",IF(NETWORKDAYS(BS$5,BS$5,休日)=0,"",IF(AND(BS$5&gt;=$K57,BS$5&lt;=$L57),IF(NETWORKDAYS($K57,BS$5,休日)=1,"○",IF(NETWORKDAYS(BS$5,$L57,休日)=1,"▶","→")),"")))</f>
        <v/>
      </c>
      <c r="BT57" s="116">
        <f>IF(OR($K57="",$L57=""),"",IF(NETWORKDAYS(BT$5,BT$5,休日)=0,"",IF(AND(BT$5&gt;=$K57,BT$5&lt;=$L57),IF(NETWORKDAYS($K57,BT$5,休日)=1,"○",IF(NETWORKDAYS(BT$5,$L57,休日)=1,"▶","→")),"")))</f>
        <v/>
      </c>
      <c r="BU57" s="116">
        <f>IF(OR($K57="",$L57=""),"",IF(NETWORKDAYS(BU$5,BU$5,休日)=0,"",IF(AND(BU$5&gt;=$K57,BU$5&lt;=$L57),IF(NETWORKDAYS($K57,BU$5,休日)=1,"○",IF(NETWORKDAYS(BU$5,$L57,休日)=1,"▶","→")),"")))</f>
        <v/>
      </c>
      <c r="BV57" s="116">
        <f>IF(OR($K57="",$L57=""),"",IF(NETWORKDAYS(BV$5,BV$5,休日)=0,"",IF(AND(BV$5&gt;=$K57,BV$5&lt;=$L57),IF(NETWORKDAYS($K57,BV$5,休日)=1,"○",IF(NETWORKDAYS(BV$5,$L57,休日)=1,"▶","→")),"")))</f>
        <v/>
      </c>
      <c r="BW57" s="116">
        <f>IF(OR($K57="",$L57=""),"",IF(NETWORKDAYS(BW$5,BW$5,休日)=0,"",IF(AND(BW$5&gt;=$K57,BW$5&lt;=$L57),IF(NETWORKDAYS($K57,BW$5,休日)=1,"○",IF(NETWORKDAYS(BW$5,$L57,休日)=1,"▶","→")),"")))</f>
        <v/>
      </c>
      <c r="BX57" s="116">
        <f>IF(OR($K57="",$L57=""),"",IF(NETWORKDAYS(BX$5,BX$5,休日)=0,"",IF(AND(BX$5&gt;=$K57,BX$5&lt;=$L57),IF(NETWORKDAYS($K57,BX$5,休日)=1,"○",IF(NETWORKDAYS(BX$5,$L57,休日)=1,"▶","→")),"")))</f>
        <v/>
      </c>
      <c r="BY57" s="116">
        <f>IF(OR($K57="",$L57=""),"",IF(NETWORKDAYS(BY$5,BY$5,休日)=0,"",IF(AND(BY$5&gt;=$K57,BY$5&lt;=$L57),IF(NETWORKDAYS($K57,BY$5,休日)=1,"○",IF(NETWORKDAYS(BY$5,$L57,休日)=1,"▶","→")),"")))</f>
        <v/>
      </c>
      <c r="BZ57" s="116">
        <f>IF(OR($K57="",$L57=""),"",IF(NETWORKDAYS(BZ$5,BZ$5,休日)=0,"",IF(AND(BZ$5&gt;=$K57,BZ$5&lt;=$L57),IF(NETWORKDAYS($K57,BZ$5,休日)=1,"○",IF(NETWORKDAYS(BZ$5,$L57,休日)=1,"▶","→")),"")))</f>
        <v/>
      </c>
      <c r="CA57" s="116">
        <f>IF(OR($K57="",$L57=""),"",IF(NETWORKDAYS(CA$5,CA$5,休日)=0,"",IF(AND(CA$5&gt;=$K57,CA$5&lt;=$L57),IF(NETWORKDAYS($K57,CA$5,休日)=1,"○",IF(NETWORKDAYS(CA$5,$L57,休日)=1,"▶","→")),"")))</f>
        <v/>
      </c>
      <c r="CB57" s="116">
        <f>IF(OR($K57="",$L57=""),"",IF(NETWORKDAYS(CB$5,CB$5,休日)=0,"",IF(AND(CB$5&gt;=$K57,CB$5&lt;=$L57),IF(NETWORKDAYS($K57,CB$5,休日)=1,"○",IF(NETWORKDAYS(CB$5,$L57,休日)=1,"▶","→")),"")))</f>
        <v/>
      </c>
      <c r="CC57" s="116">
        <f>IF(OR($K57="",$L57=""),"",IF(NETWORKDAYS(CC$5,CC$5,休日)=0,"",IF(AND(CC$5&gt;=$K57,CC$5&lt;=$L57),IF(NETWORKDAYS($K57,CC$5,休日)=1,"○",IF(NETWORKDAYS(CC$5,$L57,休日)=1,"▶","→")),"")))</f>
        <v/>
      </c>
      <c r="CD57" s="116">
        <f>IF(OR($K57="",$L57=""),"",IF(NETWORKDAYS(CD$5,CD$5,休日)=0,"",IF(AND(CD$5&gt;=$K57,CD$5&lt;=$L57),IF(NETWORKDAYS($K57,CD$5,休日)=1,"○",IF(NETWORKDAYS(CD$5,$L57,休日)=1,"▶","→")),"")))</f>
        <v/>
      </c>
      <c r="CE57" s="116">
        <f>IF(OR($K57="",$L57=""),"",IF(NETWORKDAYS(CE$5,CE$5,休日)=0,"",IF(AND(CE$5&gt;=$K57,CE$5&lt;=$L57),IF(NETWORKDAYS($K57,CE$5,休日)=1,"○",IF(NETWORKDAYS(CE$5,$L57,休日)=1,"▶","→")),"")))</f>
        <v/>
      </c>
      <c r="CF57" s="116">
        <f>IF(OR($K57="",$L57=""),"",IF(NETWORKDAYS(CF$5,CF$5,休日)=0,"",IF(AND(CF$5&gt;=$K57,CF$5&lt;=$L57),IF(NETWORKDAYS($K57,CF$5,休日)=1,"○",IF(NETWORKDAYS(CF$5,$L57,休日)=1,"▶","→")),"")))</f>
        <v/>
      </c>
      <c r="CG57" s="116">
        <f>IF(OR($K57="",$L57=""),"",IF(NETWORKDAYS(CG$5,CG$5,休日)=0,"",IF(AND(CG$5&gt;=$K57,CG$5&lt;=$L57),IF(NETWORKDAYS($K57,CG$5,休日)=1,"○",IF(NETWORKDAYS(CG$5,$L57,休日)=1,"▶","→")),"")))</f>
        <v/>
      </c>
      <c r="CH57" s="116">
        <f>IF(OR($K57="",$L57=""),"",IF(NETWORKDAYS(CH$5,CH$5,休日)=0,"",IF(AND(CH$5&gt;=$K57,CH$5&lt;=$L57),IF(NETWORKDAYS($K57,CH$5,休日)=1,"○",IF(NETWORKDAYS(CH$5,$L57,休日)=1,"▶","→")),"")))</f>
        <v/>
      </c>
      <c r="CI57" s="116">
        <f>IF(OR($K57="",$L57=""),"",IF(NETWORKDAYS(CI$5,CI$5,休日)=0,"",IF(AND(CI$5&gt;=$K57,CI$5&lt;=$L57),IF(NETWORKDAYS($K57,CI$5,休日)=1,"○",IF(NETWORKDAYS(CI$5,$L57,休日)=1,"▶","→")),"")))</f>
        <v/>
      </c>
      <c r="CJ57" s="116">
        <f>IF(OR($K57="",$L57=""),"",IF(NETWORKDAYS(CJ$5,CJ$5,休日)=0,"",IF(AND(CJ$5&gt;=$K57,CJ$5&lt;=$L57),IF(NETWORKDAYS($K57,CJ$5,休日)=1,"○",IF(NETWORKDAYS(CJ$5,$L57,休日)=1,"▶","→")),"")))</f>
        <v/>
      </c>
      <c r="CK57" s="116">
        <f>IF(OR($K57="",$L57=""),"",IF(NETWORKDAYS(CK$5,CK$5,休日)=0,"",IF(AND(CK$5&gt;=$K57,CK$5&lt;=$L57),IF(NETWORKDAYS($K57,CK$5,休日)=1,"○",IF(NETWORKDAYS(CK$5,$L57,休日)=1,"▶","→")),"")))</f>
        <v/>
      </c>
      <c r="CL57" s="116">
        <f>IF(OR($K57="",$L57=""),"",IF(NETWORKDAYS(CL$5,CL$5,休日)=0,"",IF(AND(CL$5&gt;=$K57,CL$5&lt;=$L57),IF(NETWORKDAYS($K57,CL$5,休日)=1,"○",IF(NETWORKDAYS(CL$5,$L57,休日)=1,"▶","→")),"")))</f>
        <v/>
      </c>
      <c r="CM57" s="116">
        <f>IF(OR($K57="",$L57=""),"",IF(NETWORKDAYS(CM$5,CM$5,休日)=0,"",IF(AND(CM$5&gt;=$K57,CM$5&lt;=$L57),IF(NETWORKDAYS($K57,CM$5,休日)=1,"○",IF(NETWORKDAYS(CM$5,$L57,休日)=1,"▶","→")),"")))</f>
        <v/>
      </c>
      <c r="CN57" s="116">
        <f>IF(OR($K57="",$L57=""),"",IF(NETWORKDAYS(CN$5,CN$5,休日)=0,"",IF(AND(CN$5&gt;=$K57,CN$5&lt;=$L57),IF(NETWORKDAYS($K57,CN$5,休日)=1,"○",IF(NETWORKDAYS(CN$5,$L57,休日)=1,"▶","→")),"")))</f>
        <v/>
      </c>
      <c r="CO57" s="116">
        <f>IF(OR($K57="",$L57=""),"",IF(NETWORKDAYS(CO$5,CO$5,休日)=0,"",IF(AND(CO$5&gt;=$K57,CO$5&lt;=$L57),IF(NETWORKDAYS($K57,CO$5,休日)=1,"○",IF(NETWORKDAYS(CO$5,$L57,休日)=1,"▶","→")),"")))</f>
        <v/>
      </c>
    </row>
    <row r="58" ht="32" customHeight="1" s="98">
      <c r="A58" s="5" t="n"/>
      <c r="B58" s="100" t="inlineStr">
        <is>
          <t>4.1.12</t>
        </is>
      </c>
      <c r="C58" s="101" t="inlineStr">
        <is>
          <t>単体テスト</t>
        </is>
      </c>
      <c r="D58" s="101" t="inlineStr">
        <is>
          <t>Layer③</t>
        </is>
      </c>
      <c r="E58" s="101" t="inlineStr">
        <is>
          <t>生鮮発注スケジュール</t>
        </is>
      </c>
      <c r="F58" s="101" t="inlineStr">
        <is>
          <t>生鮮発注スケジュール</t>
        </is>
      </c>
      <c r="G58" s="100" t="inlineStr">
        <is>
          <t>差分</t>
        </is>
      </c>
      <c r="H58" s="100" t="inlineStr">
        <is>
          <t>未定</t>
        </is>
      </c>
      <c r="I58" s="113" t="n">
        <v>1</v>
      </c>
      <c r="J58" s="100" t="inlineStr">
        <is>
          <t>－</t>
        </is>
      </c>
      <c r="K58" s="114" t="n">
        <v>46363</v>
      </c>
      <c r="L58" s="114" t="n">
        <v>46381</v>
      </c>
      <c r="M58" s="114" t="n"/>
      <c r="N58" s="114" t="n"/>
      <c r="O58" s="100" t="inlineStr">
        <is>
          <t>未着手</t>
        </is>
      </c>
      <c r="P58" s="115" t="n">
        <v>0</v>
      </c>
      <c r="Q58" s="100" t="inlineStr">
        <is>
          <t>－</t>
        </is>
      </c>
      <c r="R58" s="101" t="inlineStr">
        <is>
          <t>出典は塊として12/7–12/25。IFごとの日付は分割されていない。担当は未定</t>
        </is>
      </c>
      <c r="S58" s="116">
        <f>IF(OR($K58="",$L58=""),"",IF(NETWORKDAYS(S$5,S$5,休日)=0,"",IF(AND(S$5&gt;=$K58,S$5&lt;=$L58),IF(NETWORKDAYS($K58,S$5,休日)=1,"○",IF(NETWORKDAYS(S$5,$L58,休日)=1,"▶","→")),"")))</f>
        <v/>
      </c>
      <c r="T58" s="116">
        <f>IF(OR($K58="",$L58=""),"",IF(NETWORKDAYS(T$5,T$5,休日)=0,"",IF(AND(T$5&gt;=$K58,T$5&lt;=$L58),IF(NETWORKDAYS($K58,T$5,休日)=1,"○",IF(NETWORKDAYS(T$5,$L58,休日)=1,"▶","→")),"")))</f>
        <v/>
      </c>
      <c r="U58" s="116">
        <f>IF(OR($K58="",$L58=""),"",IF(NETWORKDAYS(U$5,U$5,休日)=0,"",IF(AND(U$5&gt;=$K58,U$5&lt;=$L58),IF(NETWORKDAYS($K58,U$5,休日)=1,"○",IF(NETWORKDAYS(U$5,$L58,休日)=1,"▶","→")),"")))</f>
        <v/>
      </c>
      <c r="V58" s="116">
        <f>IF(OR($K58="",$L58=""),"",IF(NETWORKDAYS(V$5,V$5,休日)=0,"",IF(AND(V$5&gt;=$K58,V$5&lt;=$L58),IF(NETWORKDAYS($K58,V$5,休日)=1,"○",IF(NETWORKDAYS(V$5,$L58,休日)=1,"▶","→")),"")))</f>
        <v/>
      </c>
      <c r="W58" s="116">
        <f>IF(OR($K58="",$L58=""),"",IF(NETWORKDAYS(W$5,W$5,休日)=0,"",IF(AND(W$5&gt;=$K58,W$5&lt;=$L58),IF(NETWORKDAYS($K58,W$5,休日)=1,"○",IF(NETWORKDAYS(W$5,$L58,休日)=1,"▶","→")),"")))</f>
        <v/>
      </c>
      <c r="X58" s="116">
        <f>IF(OR($K58="",$L58=""),"",IF(NETWORKDAYS(X$5,X$5,休日)=0,"",IF(AND(X$5&gt;=$K58,X$5&lt;=$L58),IF(NETWORKDAYS($K58,X$5,休日)=1,"○",IF(NETWORKDAYS(X$5,$L58,休日)=1,"▶","→")),"")))</f>
        <v/>
      </c>
      <c r="Y58" s="116">
        <f>IF(OR($K58="",$L58=""),"",IF(NETWORKDAYS(Y$5,Y$5,休日)=0,"",IF(AND(Y$5&gt;=$K58,Y$5&lt;=$L58),IF(NETWORKDAYS($K58,Y$5,休日)=1,"○",IF(NETWORKDAYS(Y$5,$L58,休日)=1,"▶","→")),"")))</f>
        <v/>
      </c>
      <c r="Z58" s="116">
        <f>IF(OR($K58="",$L58=""),"",IF(NETWORKDAYS(Z$5,Z$5,休日)=0,"",IF(AND(Z$5&gt;=$K58,Z$5&lt;=$L58),IF(NETWORKDAYS($K58,Z$5,休日)=1,"○",IF(NETWORKDAYS(Z$5,$L58,休日)=1,"▶","→")),"")))</f>
        <v/>
      </c>
      <c r="AA58" s="116">
        <f>IF(OR($K58="",$L58=""),"",IF(NETWORKDAYS(AA$5,AA$5,休日)=0,"",IF(AND(AA$5&gt;=$K58,AA$5&lt;=$L58),IF(NETWORKDAYS($K58,AA$5,休日)=1,"○",IF(NETWORKDAYS(AA$5,$L58,休日)=1,"▶","→")),"")))</f>
        <v/>
      </c>
      <c r="AB58" s="116">
        <f>IF(OR($K58="",$L58=""),"",IF(NETWORKDAYS(AB$5,AB$5,休日)=0,"",IF(AND(AB$5&gt;=$K58,AB$5&lt;=$L58),IF(NETWORKDAYS($K58,AB$5,休日)=1,"○",IF(NETWORKDAYS(AB$5,$L58,休日)=1,"▶","→")),"")))</f>
        <v/>
      </c>
      <c r="AC58" s="116">
        <f>IF(OR($K58="",$L58=""),"",IF(NETWORKDAYS(AC$5,AC$5,休日)=0,"",IF(AND(AC$5&gt;=$K58,AC$5&lt;=$L58),IF(NETWORKDAYS($K58,AC$5,休日)=1,"○",IF(NETWORKDAYS(AC$5,$L58,休日)=1,"▶","→")),"")))</f>
        <v/>
      </c>
      <c r="AD58" s="116">
        <f>IF(OR($K58="",$L58=""),"",IF(NETWORKDAYS(AD$5,AD$5,休日)=0,"",IF(AND(AD$5&gt;=$K58,AD$5&lt;=$L58),IF(NETWORKDAYS($K58,AD$5,休日)=1,"○",IF(NETWORKDAYS(AD$5,$L58,休日)=1,"▶","→")),"")))</f>
        <v/>
      </c>
      <c r="AE58" s="116">
        <f>IF(OR($K58="",$L58=""),"",IF(NETWORKDAYS(AE$5,AE$5,休日)=0,"",IF(AND(AE$5&gt;=$K58,AE$5&lt;=$L58),IF(NETWORKDAYS($K58,AE$5,休日)=1,"○",IF(NETWORKDAYS(AE$5,$L58,休日)=1,"▶","→")),"")))</f>
        <v/>
      </c>
      <c r="AF58" s="116">
        <f>IF(OR($K58="",$L58=""),"",IF(NETWORKDAYS(AF$5,AF$5,休日)=0,"",IF(AND(AF$5&gt;=$K58,AF$5&lt;=$L58),IF(NETWORKDAYS($K58,AF$5,休日)=1,"○",IF(NETWORKDAYS(AF$5,$L58,休日)=1,"▶","→")),"")))</f>
        <v/>
      </c>
      <c r="AG58" s="116">
        <f>IF(OR($K58="",$L58=""),"",IF(NETWORKDAYS(AG$5,AG$5,休日)=0,"",IF(AND(AG$5&gt;=$K58,AG$5&lt;=$L58),IF(NETWORKDAYS($K58,AG$5,休日)=1,"○",IF(NETWORKDAYS(AG$5,$L58,休日)=1,"▶","→")),"")))</f>
        <v/>
      </c>
      <c r="AH58" s="116">
        <f>IF(OR($K58="",$L58=""),"",IF(NETWORKDAYS(AH$5,AH$5,休日)=0,"",IF(AND(AH$5&gt;=$K58,AH$5&lt;=$L58),IF(NETWORKDAYS($K58,AH$5,休日)=1,"○",IF(NETWORKDAYS(AH$5,$L58,休日)=1,"▶","→")),"")))</f>
        <v/>
      </c>
      <c r="AI58" s="116">
        <f>IF(OR($K58="",$L58=""),"",IF(NETWORKDAYS(AI$5,AI$5,休日)=0,"",IF(AND(AI$5&gt;=$K58,AI$5&lt;=$L58),IF(NETWORKDAYS($K58,AI$5,休日)=1,"○",IF(NETWORKDAYS(AI$5,$L58,休日)=1,"▶","→")),"")))</f>
        <v/>
      </c>
      <c r="AJ58" s="116">
        <f>IF(OR($K58="",$L58=""),"",IF(NETWORKDAYS(AJ$5,AJ$5,休日)=0,"",IF(AND(AJ$5&gt;=$K58,AJ$5&lt;=$L58),IF(NETWORKDAYS($K58,AJ$5,休日)=1,"○",IF(NETWORKDAYS(AJ$5,$L58,休日)=1,"▶","→")),"")))</f>
        <v/>
      </c>
      <c r="AK58" s="116">
        <f>IF(OR($K58="",$L58=""),"",IF(NETWORKDAYS(AK$5,AK$5,休日)=0,"",IF(AND(AK$5&gt;=$K58,AK$5&lt;=$L58),IF(NETWORKDAYS($K58,AK$5,休日)=1,"○",IF(NETWORKDAYS(AK$5,$L58,休日)=1,"▶","→")),"")))</f>
        <v/>
      </c>
      <c r="AL58" s="116">
        <f>IF(OR($K58="",$L58=""),"",IF(NETWORKDAYS(AL$5,AL$5,休日)=0,"",IF(AND(AL$5&gt;=$K58,AL$5&lt;=$L58),IF(NETWORKDAYS($K58,AL$5,休日)=1,"○",IF(NETWORKDAYS(AL$5,$L58,休日)=1,"▶","→")),"")))</f>
        <v/>
      </c>
      <c r="AM58" s="116">
        <f>IF(OR($K58="",$L58=""),"",IF(NETWORKDAYS(AM$5,AM$5,休日)=0,"",IF(AND(AM$5&gt;=$K58,AM$5&lt;=$L58),IF(NETWORKDAYS($K58,AM$5,休日)=1,"○",IF(NETWORKDAYS(AM$5,$L58,休日)=1,"▶","→")),"")))</f>
        <v/>
      </c>
      <c r="AN58" s="116">
        <f>IF(OR($K58="",$L58=""),"",IF(NETWORKDAYS(AN$5,AN$5,休日)=0,"",IF(AND(AN$5&gt;=$K58,AN$5&lt;=$L58),IF(NETWORKDAYS($K58,AN$5,休日)=1,"○",IF(NETWORKDAYS(AN$5,$L58,休日)=1,"▶","→")),"")))</f>
        <v/>
      </c>
      <c r="AO58" s="116">
        <f>IF(OR($K58="",$L58=""),"",IF(NETWORKDAYS(AO$5,AO$5,休日)=0,"",IF(AND(AO$5&gt;=$K58,AO$5&lt;=$L58),IF(NETWORKDAYS($K58,AO$5,休日)=1,"○",IF(NETWORKDAYS(AO$5,$L58,休日)=1,"▶","→")),"")))</f>
        <v/>
      </c>
      <c r="AP58" s="116">
        <f>IF(OR($K58="",$L58=""),"",IF(NETWORKDAYS(AP$5,AP$5,休日)=0,"",IF(AND(AP$5&gt;=$K58,AP$5&lt;=$L58),IF(NETWORKDAYS($K58,AP$5,休日)=1,"○",IF(NETWORKDAYS(AP$5,$L58,休日)=1,"▶","→")),"")))</f>
        <v/>
      </c>
      <c r="AQ58" s="116">
        <f>IF(OR($K58="",$L58=""),"",IF(NETWORKDAYS(AQ$5,AQ$5,休日)=0,"",IF(AND(AQ$5&gt;=$K58,AQ$5&lt;=$L58),IF(NETWORKDAYS($K58,AQ$5,休日)=1,"○",IF(NETWORKDAYS(AQ$5,$L58,休日)=1,"▶","→")),"")))</f>
        <v/>
      </c>
      <c r="AR58" s="116">
        <f>IF(OR($K58="",$L58=""),"",IF(NETWORKDAYS(AR$5,AR$5,休日)=0,"",IF(AND(AR$5&gt;=$K58,AR$5&lt;=$L58),IF(NETWORKDAYS($K58,AR$5,休日)=1,"○",IF(NETWORKDAYS(AR$5,$L58,休日)=1,"▶","→")),"")))</f>
        <v/>
      </c>
      <c r="AS58" s="116">
        <f>IF(OR($K58="",$L58=""),"",IF(NETWORKDAYS(AS$5,AS$5,休日)=0,"",IF(AND(AS$5&gt;=$K58,AS$5&lt;=$L58),IF(NETWORKDAYS($K58,AS$5,休日)=1,"○",IF(NETWORKDAYS(AS$5,$L58,休日)=1,"▶","→")),"")))</f>
        <v/>
      </c>
      <c r="AT58" s="116">
        <f>IF(OR($K58="",$L58=""),"",IF(NETWORKDAYS(AT$5,AT$5,休日)=0,"",IF(AND(AT$5&gt;=$K58,AT$5&lt;=$L58),IF(NETWORKDAYS($K58,AT$5,休日)=1,"○",IF(NETWORKDAYS(AT$5,$L58,休日)=1,"▶","→")),"")))</f>
        <v/>
      </c>
      <c r="AU58" s="116">
        <f>IF(OR($K58="",$L58=""),"",IF(NETWORKDAYS(AU$5,AU$5,休日)=0,"",IF(AND(AU$5&gt;=$K58,AU$5&lt;=$L58),IF(NETWORKDAYS($K58,AU$5,休日)=1,"○",IF(NETWORKDAYS(AU$5,$L58,休日)=1,"▶","→")),"")))</f>
        <v/>
      </c>
      <c r="AV58" s="116">
        <f>IF(OR($K58="",$L58=""),"",IF(NETWORKDAYS(AV$5,AV$5,休日)=0,"",IF(AND(AV$5&gt;=$K58,AV$5&lt;=$L58),IF(NETWORKDAYS($K58,AV$5,休日)=1,"○",IF(NETWORKDAYS(AV$5,$L58,休日)=1,"▶","→")),"")))</f>
        <v/>
      </c>
      <c r="AW58" s="116">
        <f>IF(OR($K58="",$L58=""),"",IF(NETWORKDAYS(AW$5,AW$5,休日)=0,"",IF(AND(AW$5&gt;=$K58,AW$5&lt;=$L58),IF(NETWORKDAYS($K58,AW$5,休日)=1,"○",IF(NETWORKDAYS(AW$5,$L58,休日)=1,"▶","→")),"")))</f>
        <v/>
      </c>
      <c r="AX58" s="116">
        <f>IF(OR($K58="",$L58=""),"",IF(NETWORKDAYS(AX$5,AX$5,休日)=0,"",IF(AND(AX$5&gt;=$K58,AX$5&lt;=$L58),IF(NETWORKDAYS($K58,AX$5,休日)=1,"○",IF(NETWORKDAYS(AX$5,$L58,休日)=1,"▶","→")),"")))</f>
        <v/>
      </c>
      <c r="AY58" s="116">
        <f>IF(OR($K58="",$L58=""),"",IF(NETWORKDAYS(AY$5,AY$5,休日)=0,"",IF(AND(AY$5&gt;=$K58,AY$5&lt;=$L58),IF(NETWORKDAYS($K58,AY$5,休日)=1,"○",IF(NETWORKDAYS(AY$5,$L58,休日)=1,"▶","→")),"")))</f>
        <v/>
      </c>
      <c r="AZ58" s="116">
        <f>IF(OR($K58="",$L58=""),"",IF(NETWORKDAYS(AZ$5,AZ$5,休日)=0,"",IF(AND(AZ$5&gt;=$K58,AZ$5&lt;=$L58),IF(NETWORKDAYS($K58,AZ$5,休日)=1,"○",IF(NETWORKDAYS(AZ$5,$L58,休日)=1,"▶","→")),"")))</f>
        <v/>
      </c>
      <c r="BA58" s="116">
        <f>IF(OR($K58="",$L58=""),"",IF(NETWORKDAYS(BA$5,BA$5,休日)=0,"",IF(AND(BA$5&gt;=$K58,BA$5&lt;=$L58),IF(NETWORKDAYS($K58,BA$5,休日)=1,"○",IF(NETWORKDAYS(BA$5,$L58,休日)=1,"▶","→")),"")))</f>
        <v/>
      </c>
      <c r="BB58" s="116">
        <f>IF(OR($K58="",$L58=""),"",IF(NETWORKDAYS(BB$5,BB$5,休日)=0,"",IF(AND(BB$5&gt;=$K58,BB$5&lt;=$L58),IF(NETWORKDAYS($K58,BB$5,休日)=1,"○",IF(NETWORKDAYS(BB$5,$L58,休日)=1,"▶","→")),"")))</f>
        <v/>
      </c>
      <c r="BC58" s="116">
        <f>IF(OR($K58="",$L58=""),"",IF(NETWORKDAYS(BC$5,BC$5,休日)=0,"",IF(AND(BC$5&gt;=$K58,BC$5&lt;=$L58),IF(NETWORKDAYS($K58,BC$5,休日)=1,"○",IF(NETWORKDAYS(BC$5,$L58,休日)=1,"▶","→")),"")))</f>
        <v/>
      </c>
      <c r="BD58" s="116">
        <f>IF(OR($K58="",$L58=""),"",IF(NETWORKDAYS(BD$5,BD$5,休日)=0,"",IF(AND(BD$5&gt;=$K58,BD$5&lt;=$L58),IF(NETWORKDAYS($K58,BD$5,休日)=1,"○",IF(NETWORKDAYS(BD$5,$L58,休日)=1,"▶","→")),"")))</f>
        <v/>
      </c>
      <c r="BE58" s="116">
        <f>IF(OR($K58="",$L58=""),"",IF(NETWORKDAYS(BE$5,BE$5,休日)=0,"",IF(AND(BE$5&gt;=$K58,BE$5&lt;=$L58),IF(NETWORKDAYS($K58,BE$5,休日)=1,"○",IF(NETWORKDAYS(BE$5,$L58,休日)=1,"▶","→")),"")))</f>
        <v/>
      </c>
      <c r="BF58" s="116">
        <f>IF(OR($K58="",$L58=""),"",IF(NETWORKDAYS(BF$5,BF$5,休日)=0,"",IF(AND(BF$5&gt;=$K58,BF$5&lt;=$L58),IF(NETWORKDAYS($K58,BF$5,休日)=1,"○",IF(NETWORKDAYS(BF$5,$L58,休日)=1,"▶","→")),"")))</f>
        <v/>
      </c>
      <c r="BG58" s="116">
        <f>IF(OR($K58="",$L58=""),"",IF(NETWORKDAYS(BG$5,BG$5,休日)=0,"",IF(AND(BG$5&gt;=$K58,BG$5&lt;=$L58),IF(NETWORKDAYS($K58,BG$5,休日)=1,"○",IF(NETWORKDAYS(BG$5,$L58,休日)=1,"▶","→")),"")))</f>
        <v/>
      </c>
      <c r="BH58" s="116">
        <f>IF(OR($K58="",$L58=""),"",IF(NETWORKDAYS(BH$5,BH$5,休日)=0,"",IF(AND(BH$5&gt;=$K58,BH$5&lt;=$L58),IF(NETWORKDAYS($K58,BH$5,休日)=1,"○",IF(NETWORKDAYS(BH$5,$L58,休日)=1,"▶","→")),"")))</f>
        <v/>
      </c>
      <c r="BI58" s="116">
        <f>IF(OR($K58="",$L58=""),"",IF(NETWORKDAYS(BI$5,BI$5,休日)=0,"",IF(AND(BI$5&gt;=$K58,BI$5&lt;=$L58),IF(NETWORKDAYS($K58,BI$5,休日)=1,"○",IF(NETWORKDAYS(BI$5,$L58,休日)=1,"▶","→")),"")))</f>
        <v/>
      </c>
      <c r="BJ58" s="116">
        <f>IF(OR($K58="",$L58=""),"",IF(NETWORKDAYS(BJ$5,BJ$5,休日)=0,"",IF(AND(BJ$5&gt;=$K58,BJ$5&lt;=$L58),IF(NETWORKDAYS($K58,BJ$5,休日)=1,"○",IF(NETWORKDAYS(BJ$5,$L58,休日)=1,"▶","→")),"")))</f>
        <v/>
      </c>
      <c r="BK58" s="116">
        <f>IF(OR($K58="",$L58=""),"",IF(NETWORKDAYS(BK$5,BK$5,休日)=0,"",IF(AND(BK$5&gt;=$K58,BK$5&lt;=$L58),IF(NETWORKDAYS($K58,BK$5,休日)=1,"○",IF(NETWORKDAYS(BK$5,$L58,休日)=1,"▶","→")),"")))</f>
        <v/>
      </c>
      <c r="BL58" s="116">
        <f>IF(OR($K58="",$L58=""),"",IF(NETWORKDAYS(BL$5,BL$5,休日)=0,"",IF(AND(BL$5&gt;=$K58,BL$5&lt;=$L58),IF(NETWORKDAYS($K58,BL$5,休日)=1,"○",IF(NETWORKDAYS(BL$5,$L58,休日)=1,"▶","→")),"")))</f>
        <v/>
      </c>
      <c r="BM58" s="116">
        <f>IF(OR($K58="",$L58=""),"",IF(NETWORKDAYS(BM$5,BM$5,休日)=0,"",IF(AND(BM$5&gt;=$K58,BM$5&lt;=$L58),IF(NETWORKDAYS($K58,BM$5,休日)=1,"○",IF(NETWORKDAYS(BM$5,$L58,休日)=1,"▶","→")),"")))</f>
        <v/>
      </c>
      <c r="BN58" s="116">
        <f>IF(OR($K58="",$L58=""),"",IF(NETWORKDAYS(BN$5,BN$5,休日)=0,"",IF(AND(BN$5&gt;=$K58,BN$5&lt;=$L58),IF(NETWORKDAYS($K58,BN$5,休日)=1,"○",IF(NETWORKDAYS(BN$5,$L58,休日)=1,"▶","→")),"")))</f>
        <v/>
      </c>
      <c r="BO58" s="116">
        <f>IF(OR($K58="",$L58=""),"",IF(NETWORKDAYS(BO$5,BO$5,休日)=0,"",IF(AND(BO$5&gt;=$K58,BO$5&lt;=$L58),IF(NETWORKDAYS($K58,BO$5,休日)=1,"○",IF(NETWORKDAYS(BO$5,$L58,休日)=1,"▶","→")),"")))</f>
        <v/>
      </c>
      <c r="BP58" s="116">
        <f>IF(OR($K58="",$L58=""),"",IF(NETWORKDAYS(BP$5,BP$5,休日)=0,"",IF(AND(BP$5&gt;=$K58,BP$5&lt;=$L58),IF(NETWORKDAYS($K58,BP$5,休日)=1,"○",IF(NETWORKDAYS(BP$5,$L58,休日)=1,"▶","→")),"")))</f>
        <v/>
      </c>
      <c r="BQ58" s="116">
        <f>IF(OR($K58="",$L58=""),"",IF(NETWORKDAYS(BQ$5,BQ$5,休日)=0,"",IF(AND(BQ$5&gt;=$K58,BQ$5&lt;=$L58),IF(NETWORKDAYS($K58,BQ$5,休日)=1,"○",IF(NETWORKDAYS(BQ$5,$L58,休日)=1,"▶","→")),"")))</f>
        <v/>
      </c>
      <c r="BR58" s="116">
        <f>IF(OR($K58="",$L58=""),"",IF(NETWORKDAYS(BR$5,BR$5,休日)=0,"",IF(AND(BR$5&gt;=$K58,BR$5&lt;=$L58),IF(NETWORKDAYS($K58,BR$5,休日)=1,"○",IF(NETWORKDAYS(BR$5,$L58,休日)=1,"▶","→")),"")))</f>
        <v/>
      </c>
      <c r="BS58" s="116">
        <f>IF(OR($K58="",$L58=""),"",IF(NETWORKDAYS(BS$5,BS$5,休日)=0,"",IF(AND(BS$5&gt;=$K58,BS$5&lt;=$L58),IF(NETWORKDAYS($K58,BS$5,休日)=1,"○",IF(NETWORKDAYS(BS$5,$L58,休日)=1,"▶","→")),"")))</f>
        <v/>
      </c>
      <c r="BT58" s="116">
        <f>IF(OR($K58="",$L58=""),"",IF(NETWORKDAYS(BT$5,BT$5,休日)=0,"",IF(AND(BT$5&gt;=$K58,BT$5&lt;=$L58),IF(NETWORKDAYS($K58,BT$5,休日)=1,"○",IF(NETWORKDAYS(BT$5,$L58,休日)=1,"▶","→")),"")))</f>
        <v/>
      </c>
      <c r="BU58" s="116">
        <f>IF(OR($K58="",$L58=""),"",IF(NETWORKDAYS(BU$5,BU$5,休日)=0,"",IF(AND(BU$5&gt;=$K58,BU$5&lt;=$L58),IF(NETWORKDAYS($K58,BU$5,休日)=1,"○",IF(NETWORKDAYS(BU$5,$L58,休日)=1,"▶","→")),"")))</f>
        <v/>
      </c>
      <c r="BV58" s="116">
        <f>IF(OR($K58="",$L58=""),"",IF(NETWORKDAYS(BV$5,BV$5,休日)=0,"",IF(AND(BV$5&gt;=$K58,BV$5&lt;=$L58),IF(NETWORKDAYS($K58,BV$5,休日)=1,"○",IF(NETWORKDAYS(BV$5,$L58,休日)=1,"▶","→")),"")))</f>
        <v/>
      </c>
      <c r="BW58" s="116">
        <f>IF(OR($K58="",$L58=""),"",IF(NETWORKDAYS(BW$5,BW$5,休日)=0,"",IF(AND(BW$5&gt;=$K58,BW$5&lt;=$L58),IF(NETWORKDAYS($K58,BW$5,休日)=1,"○",IF(NETWORKDAYS(BW$5,$L58,休日)=1,"▶","→")),"")))</f>
        <v/>
      </c>
      <c r="BX58" s="116">
        <f>IF(OR($K58="",$L58=""),"",IF(NETWORKDAYS(BX$5,BX$5,休日)=0,"",IF(AND(BX$5&gt;=$K58,BX$5&lt;=$L58),IF(NETWORKDAYS($K58,BX$5,休日)=1,"○",IF(NETWORKDAYS(BX$5,$L58,休日)=1,"▶","→")),"")))</f>
        <v/>
      </c>
      <c r="BY58" s="116">
        <f>IF(OR($K58="",$L58=""),"",IF(NETWORKDAYS(BY$5,BY$5,休日)=0,"",IF(AND(BY$5&gt;=$K58,BY$5&lt;=$L58),IF(NETWORKDAYS($K58,BY$5,休日)=1,"○",IF(NETWORKDAYS(BY$5,$L58,休日)=1,"▶","→")),"")))</f>
        <v/>
      </c>
      <c r="BZ58" s="116">
        <f>IF(OR($K58="",$L58=""),"",IF(NETWORKDAYS(BZ$5,BZ$5,休日)=0,"",IF(AND(BZ$5&gt;=$K58,BZ$5&lt;=$L58),IF(NETWORKDAYS($K58,BZ$5,休日)=1,"○",IF(NETWORKDAYS(BZ$5,$L58,休日)=1,"▶","→")),"")))</f>
        <v/>
      </c>
      <c r="CA58" s="116">
        <f>IF(OR($K58="",$L58=""),"",IF(NETWORKDAYS(CA$5,CA$5,休日)=0,"",IF(AND(CA$5&gt;=$K58,CA$5&lt;=$L58),IF(NETWORKDAYS($K58,CA$5,休日)=1,"○",IF(NETWORKDAYS(CA$5,$L58,休日)=1,"▶","→")),"")))</f>
        <v/>
      </c>
      <c r="CB58" s="116">
        <f>IF(OR($K58="",$L58=""),"",IF(NETWORKDAYS(CB$5,CB$5,休日)=0,"",IF(AND(CB$5&gt;=$K58,CB$5&lt;=$L58),IF(NETWORKDAYS($K58,CB$5,休日)=1,"○",IF(NETWORKDAYS(CB$5,$L58,休日)=1,"▶","→")),"")))</f>
        <v/>
      </c>
      <c r="CC58" s="116">
        <f>IF(OR($K58="",$L58=""),"",IF(NETWORKDAYS(CC$5,CC$5,休日)=0,"",IF(AND(CC$5&gt;=$K58,CC$5&lt;=$L58),IF(NETWORKDAYS($K58,CC$5,休日)=1,"○",IF(NETWORKDAYS(CC$5,$L58,休日)=1,"▶","→")),"")))</f>
        <v/>
      </c>
      <c r="CD58" s="116">
        <f>IF(OR($K58="",$L58=""),"",IF(NETWORKDAYS(CD$5,CD$5,休日)=0,"",IF(AND(CD$5&gt;=$K58,CD$5&lt;=$L58),IF(NETWORKDAYS($K58,CD$5,休日)=1,"○",IF(NETWORKDAYS(CD$5,$L58,休日)=1,"▶","→")),"")))</f>
        <v/>
      </c>
      <c r="CE58" s="116">
        <f>IF(OR($K58="",$L58=""),"",IF(NETWORKDAYS(CE$5,CE$5,休日)=0,"",IF(AND(CE$5&gt;=$K58,CE$5&lt;=$L58),IF(NETWORKDAYS($K58,CE$5,休日)=1,"○",IF(NETWORKDAYS(CE$5,$L58,休日)=1,"▶","→")),"")))</f>
        <v/>
      </c>
      <c r="CF58" s="116">
        <f>IF(OR($K58="",$L58=""),"",IF(NETWORKDAYS(CF$5,CF$5,休日)=0,"",IF(AND(CF$5&gt;=$K58,CF$5&lt;=$L58),IF(NETWORKDAYS($K58,CF$5,休日)=1,"○",IF(NETWORKDAYS(CF$5,$L58,休日)=1,"▶","→")),"")))</f>
        <v/>
      </c>
      <c r="CG58" s="116">
        <f>IF(OR($K58="",$L58=""),"",IF(NETWORKDAYS(CG$5,CG$5,休日)=0,"",IF(AND(CG$5&gt;=$K58,CG$5&lt;=$L58),IF(NETWORKDAYS($K58,CG$5,休日)=1,"○",IF(NETWORKDAYS(CG$5,$L58,休日)=1,"▶","→")),"")))</f>
        <v/>
      </c>
      <c r="CH58" s="116">
        <f>IF(OR($K58="",$L58=""),"",IF(NETWORKDAYS(CH$5,CH$5,休日)=0,"",IF(AND(CH$5&gt;=$K58,CH$5&lt;=$L58),IF(NETWORKDAYS($K58,CH$5,休日)=1,"○",IF(NETWORKDAYS(CH$5,$L58,休日)=1,"▶","→")),"")))</f>
        <v/>
      </c>
      <c r="CI58" s="116">
        <f>IF(OR($K58="",$L58=""),"",IF(NETWORKDAYS(CI$5,CI$5,休日)=0,"",IF(AND(CI$5&gt;=$K58,CI$5&lt;=$L58),IF(NETWORKDAYS($K58,CI$5,休日)=1,"○",IF(NETWORKDAYS(CI$5,$L58,休日)=1,"▶","→")),"")))</f>
        <v/>
      </c>
      <c r="CJ58" s="116">
        <f>IF(OR($K58="",$L58=""),"",IF(NETWORKDAYS(CJ$5,CJ$5,休日)=0,"",IF(AND(CJ$5&gt;=$K58,CJ$5&lt;=$L58),IF(NETWORKDAYS($K58,CJ$5,休日)=1,"○",IF(NETWORKDAYS(CJ$5,$L58,休日)=1,"▶","→")),"")))</f>
        <v/>
      </c>
      <c r="CK58" s="116">
        <f>IF(OR($K58="",$L58=""),"",IF(NETWORKDAYS(CK$5,CK$5,休日)=0,"",IF(AND(CK$5&gt;=$K58,CK$5&lt;=$L58),IF(NETWORKDAYS($K58,CK$5,休日)=1,"○",IF(NETWORKDAYS(CK$5,$L58,休日)=1,"▶","→")),"")))</f>
        <v/>
      </c>
      <c r="CL58" s="116">
        <f>IF(OR($K58="",$L58=""),"",IF(NETWORKDAYS(CL$5,CL$5,休日)=0,"",IF(AND(CL$5&gt;=$K58,CL$5&lt;=$L58),IF(NETWORKDAYS($K58,CL$5,休日)=1,"○",IF(NETWORKDAYS(CL$5,$L58,休日)=1,"▶","→")),"")))</f>
        <v/>
      </c>
      <c r="CM58" s="116">
        <f>IF(OR($K58="",$L58=""),"",IF(NETWORKDAYS(CM$5,CM$5,休日)=0,"",IF(AND(CM$5&gt;=$K58,CM$5&lt;=$L58),IF(NETWORKDAYS($K58,CM$5,休日)=1,"○",IF(NETWORKDAYS(CM$5,$L58,休日)=1,"▶","→")),"")))</f>
        <v/>
      </c>
      <c r="CN58" s="116">
        <f>IF(OR($K58="",$L58=""),"",IF(NETWORKDAYS(CN$5,CN$5,休日)=0,"",IF(AND(CN$5&gt;=$K58,CN$5&lt;=$L58),IF(NETWORKDAYS($K58,CN$5,休日)=1,"○",IF(NETWORKDAYS(CN$5,$L58,休日)=1,"▶","→")),"")))</f>
        <v/>
      </c>
      <c r="CO58" s="116">
        <f>IF(OR($K58="",$L58=""),"",IF(NETWORKDAYS(CO$5,CO$5,休日)=0,"",IF(AND(CO$5&gt;=$K58,CO$5&lt;=$L58),IF(NETWORKDAYS($K58,CO$5,休日)=1,"○",IF(NETWORKDAYS(CO$5,$L58,休日)=1,"▶","→")),"")))</f>
        <v/>
      </c>
    </row>
    <row r="59" ht="19.5" customHeight="1" s="98">
      <c r="A59" s="5" t="n"/>
      <c r="B59" s="109" t="inlineStr">
        <is>
          <t>5</t>
        </is>
      </c>
      <c r="C59" s="110" t="inlineStr">
        <is>
          <t>B3（非生鮮Phase2への波及）</t>
        </is>
      </c>
      <c r="D59" s="117" t="n"/>
      <c r="E59" s="127" t="n"/>
      <c r="F59" s="124" t="n"/>
      <c r="G59" s="128" t="n"/>
      <c r="H59" s="120" t="n"/>
      <c r="I59" s="121" t="n"/>
      <c r="J59" s="117" t="n"/>
      <c r="K59" s="122" t="n"/>
      <c r="L59" s="122" t="n"/>
      <c r="M59" s="122" t="n"/>
      <c r="N59" s="122" t="n"/>
      <c r="O59" s="120" t="n"/>
      <c r="P59" s="123" t="n"/>
      <c r="Q59" s="117" t="n"/>
      <c r="R59" s="124" t="n"/>
      <c r="S59" s="61" t="n"/>
      <c r="T59" s="61" t="n"/>
      <c r="U59" s="61" t="n"/>
      <c r="V59" s="61" t="n"/>
      <c r="W59" s="61" t="n"/>
      <c r="X59" s="61" t="n"/>
      <c r="Y59" s="61" t="n"/>
      <c r="Z59" s="61" t="n"/>
      <c r="AA59" s="61" t="n"/>
      <c r="AB59" s="61" t="n"/>
      <c r="AC59" s="61" t="n"/>
      <c r="AD59" s="61" t="n"/>
      <c r="AE59" s="61" t="n"/>
      <c r="AF59" s="61" t="n"/>
      <c r="AG59" s="61" t="n"/>
      <c r="AH59" s="61" t="n"/>
      <c r="AI59" s="61" t="n"/>
      <c r="AJ59" s="61" t="n"/>
      <c r="AK59" s="61" t="n"/>
      <c r="AL59" s="61" t="n"/>
      <c r="AM59" s="61" t="n"/>
      <c r="AN59" s="61" t="n"/>
      <c r="AO59" s="61" t="n"/>
      <c r="AP59" s="61" t="n"/>
      <c r="AQ59" s="61" t="n"/>
      <c r="AR59" s="61" t="n"/>
      <c r="AS59" s="61" t="n"/>
      <c r="AT59" s="61" t="n"/>
      <c r="AU59" s="61" t="n"/>
      <c r="AV59" s="61" t="n"/>
      <c r="AW59" s="61" t="n"/>
      <c r="AX59" s="61" t="n"/>
      <c r="AY59" s="61" t="n"/>
      <c r="AZ59" s="61" t="n"/>
      <c r="BA59" s="61" t="n"/>
      <c r="BB59" s="61" t="n"/>
      <c r="BC59" s="61" t="n"/>
      <c r="BD59" s="61" t="n"/>
      <c r="BE59" s="61" t="n"/>
      <c r="BF59" s="61" t="n"/>
      <c r="BG59" s="61" t="n"/>
      <c r="BH59" s="61" t="n"/>
      <c r="BI59" s="61" t="n"/>
      <c r="BJ59" s="61" t="n"/>
      <c r="BK59" s="61" t="n"/>
      <c r="BL59" s="61" t="n"/>
      <c r="BM59" s="61" t="n"/>
      <c r="BN59" s="61" t="n"/>
      <c r="BO59" s="61" t="n"/>
      <c r="BP59" s="61" t="n"/>
      <c r="BQ59" s="61" t="n"/>
      <c r="BR59" s="61" t="n"/>
      <c r="BS59" s="61" t="n"/>
      <c r="BT59" s="61" t="n"/>
      <c r="BU59" s="61" t="n"/>
      <c r="BV59" s="61" t="n"/>
      <c r="BW59" s="61" t="n"/>
      <c r="BX59" s="61" t="n"/>
      <c r="BY59" s="61" t="n"/>
      <c r="BZ59" s="61" t="n"/>
      <c r="CA59" s="61" t="n"/>
      <c r="CB59" s="61" t="n"/>
      <c r="CC59" s="61" t="n"/>
      <c r="CD59" s="61" t="n"/>
      <c r="CE59" s="61" t="n"/>
      <c r="CF59" s="61" t="n"/>
      <c r="CG59" s="61" t="n"/>
      <c r="CH59" s="61" t="n"/>
    </row>
    <row r="60" ht="32" customHeight="1" s="98">
      <c r="A60" s="5" t="n"/>
      <c r="B60" s="100" t="inlineStr">
        <is>
          <t>5.1</t>
        </is>
      </c>
      <c r="C60" s="101" t="inlineStr">
        <is>
          <t>B3</t>
        </is>
      </c>
      <c r="D60" s="101" t="inlineStr">
        <is>
          <t>B3</t>
        </is>
      </c>
      <c r="E60" s="101" t="inlineStr">
        <is>
          <t>伝票区分・振替の軽微な注記</t>
        </is>
      </c>
      <c r="F60" s="101" t="inlineStr">
        <is>
          <t>未定</t>
        </is>
      </c>
      <c r="G60" s="100" t="inlineStr">
        <is>
          <t>B3</t>
        </is>
      </c>
      <c r="H60" s="100" t="inlineStr">
        <is>
          <t>未定</t>
        </is>
      </c>
      <c r="I60" s="113" t="n">
        <v>5</v>
      </c>
      <c r="J60" s="100" t="inlineStr">
        <is>
          <t>－</t>
        </is>
      </c>
      <c r="K60" s="114" t="n">
        <v>46377</v>
      </c>
      <c r="L60" s="114" t="n">
        <v>46381</v>
      </c>
      <c r="M60" s="114" t="n"/>
      <c r="N60" s="114" t="n"/>
      <c r="O60" s="100" t="inlineStr">
        <is>
          <t>未着手</t>
        </is>
      </c>
      <c r="P60" s="115" t="n">
        <v>0</v>
      </c>
      <c r="Q60" s="100" t="inlineStr">
        <is>
          <t>－</t>
        </is>
      </c>
      <c r="R60" s="101" t="inlineStr">
        <is>
          <t>出典の注記は「伝票区分・振替の軽微注記」。対象IFの特定は未定。担当は未定</t>
        </is>
      </c>
      <c r="S60" s="116">
        <f>IF(OR($K60="",$L60=""),"",IF(NETWORKDAYS(S$5,S$5,休日)=0,"",IF(AND(S$5&gt;=$K60,S$5&lt;=$L60),IF(NETWORKDAYS($K60,S$5,休日)=1,"○",IF(NETWORKDAYS(S$5,$L60,休日)=1,"▶","→")),"")))</f>
        <v/>
      </c>
      <c r="T60" s="116">
        <f>IF(OR($K60="",$L60=""),"",IF(NETWORKDAYS(T$5,T$5,休日)=0,"",IF(AND(T$5&gt;=$K60,T$5&lt;=$L60),IF(NETWORKDAYS($K60,T$5,休日)=1,"○",IF(NETWORKDAYS(T$5,$L60,休日)=1,"▶","→")),"")))</f>
        <v/>
      </c>
      <c r="U60" s="116">
        <f>IF(OR($K60="",$L60=""),"",IF(NETWORKDAYS(U$5,U$5,休日)=0,"",IF(AND(U$5&gt;=$K60,U$5&lt;=$L60),IF(NETWORKDAYS($K60,U$5,休日)=1,"○",IF(NETWORKDAYS(U$5,$L60,休日)=1,"▶","→")),"")))</f>
        <v/>
      </c>
      <c r="V60" s="116">
        <f>IF(OR($K60="",$L60=""),"",IF(NETWORKDAYS(V$5,V$5,休日)=0,"",IF(AND(V$5&gt;=$K60,V$5&lt;=$L60),IF(NETWORKDAYS($K60,V$5,休日)=1,"○",IF(NETWORKDAYS(V$5,$L60,休日)=1,"▶","→")),"")))</f>
        <v/>
      </c>
      <c r="W60" s="116">
        <f>IF(OR($K60="",$L60=""),"",IF(NETWORKDAYS(W$5,W$5,休日)=0,"",IF(AND(W$5&gt;=$K60,W$5&lt;=$L60),IF(NETWORKDAYS($K60,W$5,休日)=1,"○",IF(NETWORKDAYS(W$5,$L60,休日)=1,"▶","→")),"")))</f>
        <v/>
      </c>
      <c r="X60" s="116">
        <f>IF(OR($K60="",$L60=""),"",IF(NETWORKDAYS(X$5,X$5,休日)=0,"",IF(AND(X$5&gt;=$K60,X$5&lt;=$L60),IF(NETWORKDAYS($K60,X$5,休日)=1,"○",IF(NETWORKDAYS(X$5,$L60,休日)=1,"▶","→")),"")))</f>
        <v/>
      </c>
      <c r="Y60" s="116">
        <f>IF(OR($K60="",$L60=""),"",IF(NETWORKDAYS(Y$5,Y$5,休日)=0,"",IF(AND(Y$5&gt;=$K60,Y$5&lt;=$L60),IF(NETWORKDAYS($K60,Y$5,休日)=1,"○",IF(NETWORKDAYS(Y$5,$L60,休日)=1,"▶","→")),"")))</f>
        <v/>
      </c>
      <c r="Z60" s="116">
        <f>IF(OR($K60="",$L60=""),"",IF(NETWORKDAYS(Z$5,Z$5,休日)=0,"",IF(AND(Z$5&gt;=$K60,Z$5&lt;=$L60),IF(NETWORKDAYS($K60,Z$5,休日)=1,"○",IF(NETWORKDAYS(Z$5,$L60,休日)=1,"▶","→")),"")))</f>
        <v/>
      </c>
      <c r="AA60" s="116">
        <f>IF(OR($K60="",$L60=""),"",IF(NETWORKDAYS(AA$5,AA$5,休日)=0,"",IF(AND(AA$5&gt;=$K60,AA$5&lt;=$L60),IF(NETWORKDAYS($K60,AA$5,休日)=1,"○",IF(NETWORKDAYS(AA$5,$L60,休日)=1,"▶","→")),"")))</f>
        <v/>
      </c>
      <c r="AB60" s="116">
        <f>IF(OR($K60="",$L60=""),"",IF(NETWORKDAYS(AB$5,AB$5,休日)=0,"",IF(AND(AB$5&gt;=$K60,AB$5&lt;=$L60),IF(NETWORKDAYS($K60,AB$5,休日)=1,"○",IF(NETWORKDAYS(AB$5,$L60,休日)=1,"▶","→")),"")))</f>
        <v/>
      </c>
      <c r="AC60" s="116">
        <f>IF(OR($K60="",$L60=""),"",IF(NETWORKDAYS(AC$5,AC$5,休日)=0,"",IF(AND(AC$5&gt;=$K60,AC$5&lt;=$L60),IF(NETWORKDAYS($K60,AC$5,休日)=1,"○",IF(NETWORKDAYS(AC$5,$L60,休日)=1,"▶","→")),"")))</f>
        <v/>
      </c>
      <c r="AD60" s="116">
        <f>IF(OR($K60="",$L60=""),"",IF(NETWORKDAYS(AD$5,AD$5,休日)=0,"",IF(AND(AD$5&gt;=$K60,AD$5&lt;=$L60),IF(NETWORKDAYS($K60,AD$5,休日)=1,"○",IF(NETWORKDAYS(AD$5,$L60,休日)=1,"▶","→")),"")))</f>
        <v/>
      </c>
      <c r="AE60" s="116">
        <f>IF(OR($K60="",$L60=""),"",IF(NETWORKDAYS(AE$5,AE$5,休日)=0,"",IF(AND(AE$5&gt;=$K60,AE$5&lt;=$L60),IF(NETWORKDAYS($K60,AE$5,休日)=1,"○",IF(NETWORKDAYS(AE$5,$L60,休日)=1,"▶","→")),"")))</f>
        <v/>
      </c>
      <c r="AF60" s="116">
        <f>IF(OR($K60="",$L60=""),"",IF(NETWORKDAYS(AF$5,AF$5,休日)=0,"",IF(AND(AF$5&gt;=$K60,AF$5&lt;=$L60),IF(NETWORKDAYS($K60,AF$5,休日)=1,"○",IF(NETWORKDAYS(AF$5,$L60,休日)=1,"▶","→")),"")))</f>
        <v/>
      </c>
      <c r="AG60" s="116">
        <f>IF(OR($K60="",$L60=""),"",IF(NETWORKDAYS(AG$5,AG$5,休日)=0,"",IF(AND(AG$5&gt;=$K60,AG$5&lt;=$L60),IF(NETWORKDAYS($K60,AG$5,休日)=1,"○",IF(NETWORKDAYS(AG$5,$L60,休日)=1,"▶","→")),"")))</f>
        <v/>
      </c>
      <c r="AH60" s="116">
        <f>IF(OR($K60="",$L60=""),"",IF(NETWORKDAYS(AH$5,AH$5,休日)=0,"",IF(AND(AH$5&gt;=$K60,AH$5&lt;=$L60),IF(NETWORKDAYS($K60,AH$5,休日)=1,"○",IF(NETWORKDAYS(AH$5,$L60,休日)=1,"▶","→")),"")))</f>
        <v/>
      </c>
      <c r="AI60" s="116">
        <f>IF(OR($K60="",$L60=""),"",IF(NETWORKDAYS(AI$5,AI$5,休日)=0,"",IF(AND(AI$5&gt;=$K60,AI$5&lt;=$L60),IF(NETWORKDAYS($K60,AI$5,休日)=1,"○",IF(NETWORKDAYS(AI$5,$L60,休日)=1,"▶","→")),"")))</f>
        <v/>
      </c>
      <c r="AJ60" s="116">
        <f>IF(OR($K60="",$L60=""),"",IF(NETWORKDAYS(AJ$5,AJ$5,休日)=0,"",IF(AND(AJ$5&gt;=$K60,AJ$5&lt;=$L60),IF(NETWORKDAYS($K60,AJ$5,休日)=1,"○",IF(NETWORKDAYS(AJ$5,$L60,休日)=1,"▶","→")),"")))</f>
        <v/>
      </c>
      <c r="AK60" s="116">
        <f>IF(OR($K60="",$L60=""),"",IF(NETWORKDAYS(AK$5,AK$5,休日)=0,"",IF(AND(AK$5&gt;=$K60,AK$5&lt;=$L60),IF(NETWORKDAYS($K60,AK$5,休日)=1,"○",IF(NETWORKDAYS(AK$5,$L60,休日)=1,"▶","→")),"")))</f>
        <v/>
      </c>
      <c r="AL60" s="116">
        <f>IF(OR($K60="",$L60=""),"",IF(NETWORKDAYS(AL$5,AL$5,休日)=0,"",IF(AND(AL$5&gt;=$K60,AL$5&lt;=$L60),IF(NETWORKDAYS($K60,AL$5,休日)=1,"○",IF(NETWORKDAYS(AL$5,$L60,休日)=1,"▶","→")),"")))</f>
        <v/>
      </c>
      <c r="AM60" s="116">
        <f>IF(OR($K60="",$L60=""),"",IF(NETWORKDAYS(AM$5,AM$5,休日)=0,"",IF(AND(AM$5&gt;=$K60,AM$5&lt;=$L60),IF(NETWORKDAYS($K60,AM$5,休日)=1,"○",IF(NETWORKDAYS(AM$5,$L60,休日)=1,"▶","→")),"")))</f>
        <v/>
      </c>
      <c r="AN60" s="116">
        <f>IF(OR($K60="",$L60=""),"",IF(NETWORKDAYS(AN$5,AN$5,休日)=0,"",IF(AND(AN$5&gt;=$K60,AN$5&lt;=$L60),IF(NETWORKDAYS($K60,AN$5,休日)=1,"○",IF(NETWORKDAYS(AN$5,$L60,休日)=1,"▶","→")),"")))</f>
        <v/>
      </c>
      <c r="AO60" s="116">
        <f>IF(OR($K60="",$L60=""),"",IF(NETWORKDAYS(AO$5,AO$5,休日)=0,"",IF(AND(AO$5&gt;=$K60,AO$5&lt;=$L60),IF(NETWORKDAYS($K60,AO$5,休日)=1,"○",IF(NETWORKDAYS(AO$5,$L60,休日)=1,"▶","→")),"")))</f>
        <v/>
      </c>
      <c r="AP60" s="116">
        <f>IF(OR($K60="",$L60=""),"",IF(NETWORKDAYS(AP$5,AP$5,休日)=0,"",IF(AND(AP$5&gt;=$K60,AP$5&lt;=$L60),IF(NETWORKDAYS($K60,AP$5,休日)=1,"○",IF(NETWORKDAYS(AP$5,$L60,休日)=1,"▶","→")),"")))</f>
        <v/>
      </c>
      <c r="AQ60" s="116">
        <f>IF(OR($K60="",$L60=""),"",IF(NETWORKDAYS(AQ$5,AQ$5,休日)=0,"",IF(AND(AQ$5&gt;=$K60,AQ$5&lt;=$L60),IF(NETWORKDAYS($K60,AQ$5,休日)=1,"○",IF(NETWORKDAYS(AQ$5,$L60,休日)=1,"▶","→")),"")))</f>
        <v/>
      </c>
      <c r="AR60" s="116">
        <f>IF(OR($K60="",$L60=""),"",IF(NETWORKDAYS(AR$5,AR$5,休日)=0,"",IF(AND(AR$5&gt;=$K60,AR$5&lt;=$L60),IF(NETWORKDAYS($K60,AR$5,休日)=1,"○",IF(NETWORKDAYS(AR$5,$L60,休日)=1,"▶","→")),"")))</f>
        <v/>
      </c>
      <c r="AS60" s="116">
        <f>IF(OR($K60="",$L60=""),"",IF(NETWORKDAYS(AS$5,AS$5,休日)=0,"",IF(AND(AS$5&gt;=$K60,AS$5&lt;=$L60),IF(NETWORKDAYS($K60,AS$5,休日)=1,"○",IF(NETWORKDAYS(AS$5,$L60,休日)=1,"▶","→")),"")))</f>
        <v/>
      </c>
      <c r="AT60" s="116">
        <f>IF(OR($K60="",$L60=""),"",IF(NETWORKDAYS(AT$5,AT$5,休日)=0,"",IF(AND(AT$5&gt;=$K60,AT$5&lt;=$L60),IF(NETWORKDAYS($K60,AT$5,休日)=1,"○",IF(NETWORKDAYS(AT$5,$L60,休日)=1,"▶","→")),"")))</f>
        <v/>
      </c>
      <c r="AU60" s="116">
        <f>IF(OR($K60="",$L60=""),"",IF(NETWORKDAYS(AU$5,AU$5,休日)=0,"",IF(AND(AU$5&gt;=$K60,AU$5&lt;=$L60),IF(NETWORKDAYS($K60,AU$5,休日)=1,"○",IF(NETWORKDAYS(AU$5,$L60,休日)=1,"▶","→")),"")))</f>
        <v/>
      </c>
      <c r="AV60" s="116">
        <f>IF(OR($K60="",$L60=""),"",IF(NETWORKDAYS(AV$5,AV$5,休日)=0,"",IF(AND(AV$5&gt;=$K60,AV$5&lt;=$L60),IF(NETWORKDAYS($K60,AV$5,休日)=1,"○",IF(NETWORKDAYS(AV$5,$L60,休日)=1,"▶","→")),"")))</f>
        <v/>
      </c>
      <c r="AW60" s="116">
        <f>IF(OR($K60="",$L60=""),"",IF(NETWORKDAYS(AW$5,AW$5,休日)=0,"",IF(AND(AW$5&gt;=$K60,AW$5&lt;=$L60),IF(NETWORKDAYS($K60,AW$5,休日)=1,"○",IF(NETWORKDAYS(AW$5,$L60,休日)=1,"▶","→")),"")))</f>
        <v/>
      </c>
      <c r="AX60" s="116">
        <f>IF(OR($K60="",$L60=""),"",IF(NETWORKDAYS(AX$5,AX$5,休日)=0,"",IF(AND(AX$5&gt;=$K60,AX$5&lt;=$L60),IF(NETWORKDAYS($K60,AX$5,休日)=1,"○",IF(NETWORKDAYS(AX$5,$L60,休日)=1,"▶","→")),"")))</f>
        <v/>
      </c>
      <c r="AY60" s="116">
        <f>IF(OR($K60="",$L60=""),"",IF(NETWORKDAYS(AY$5,AY$5,休日)=0,"",IF(AND(AY$5&gt;=$K60,AY$5&lt;=$L60),IF(NETWORKDAYS($K60,AY$5,休日)=1,"○",IF(NETWORKDAYS(AY$5,$L60,休日)=1,"▶","→")),"")))</f>
        <v/>
      </c>
      <c r="AZ60" s="116">
        <f>IF(OR($K60="",$L60=""),"",IF(NETWORKDAYS(AZ$5,AZ$5,休日)=0,"",IF(AND(AZ$5&gt;=$K60,AZ$5&lt;=$L60),IF(NETWORKDAYS($K60,AZ$5,休日)=1,"○",IF(NETWORKDAYS(AZ$5,$L60,休日)=1,"▶","→")),"")))</f>
        <v/>
      </c>
      <c r="BA60" s="116">
        <f>IF(OR($K60="",$L60=""),"",IF(NETWORKDAYS(BA$5,BA$5,休日)=0,"",IF(AND(BA$5&gt;=$K60,BA$5&lt;=$L60),IF(NETWORKDAYS($K60,BA$5,休日)=1,"○",IF(NETWORKDAYS(BA$5,$L60,休日)=1,"▶","→")),"")))</f>
        <v/>
      </c>
      <c r="BB60" s="116">
        <f>IF(OR($K60="",$L60=""),"",IF(NETWORKDAYS(BB$5,BB$5,休日)=0,"",IF(AND(BB$5&gt;=$K60,BB$5&lt;=$L60),IF(NETWORKDAYS($K60,BB$5,休日)=1,"○",IF(NETWORKDAYS(BB$5,$L60,休日)=1,"▶","→")),"")))</f>
        <v/>
      </c>
      <c r="BC60" s="116">
        <f>IF(OR($K60="",$L60=""),"",IF(NETWORKDAYS(BC$5,BC$5,休日)=0,"",IF(AND(BC$5&gt;=$K60,BC$5&lt;=$L60),IF(NETWORKDAYS($K60,BC$5,休日)=1,"○",IF(NETWORKDAYS(BC$5,$L60,休日)=1,"▶","→")),"")))</f>
        <v/>
      </c>
      <c r="BD60" s="116">
        <f>IF(OR($K60="",$L60=""),"",IF(NETWORKDAYS(BD$5,BD$5,休日)=0,"",IF(AND(BD$5&gt;=$K60,BD$5&lt;=$L60),IF(NETWORKDAYS($K60,BD$5,休日)=1,"○",IF(NETWORKDAYS(BD$5,$L60,休日)=1,"▶","→")),"")))</f>
        <v/>
      </c>
      <c r="BE60" s="116">
        <f>IF(OR($K60="",$L60=""),"",IF(NETWORKDAYS(BE$5,BE$5,休日)=0,"",IF(AND(BE$5&gt;=$K60,BE$5&lt;=$L60),IF(NETWORKDAYS($K60,BE$5,休日)=1,"○",IF(NETWORKDAYS(BE$5,$L60,休日)=1,"▶","→")),"")))</f>
        <v/>
      </c>
      <c r="BF60" s="116">
        <f>IF(OR($K60="",$L60=""),"",IF(NETWORKDAYS(BF$5,BF$5,休日)=0,"",IF(AND(BF$5&gt;=$K60,BF$5&lt;=$L60),IF(NETWORKDAYS($K60,BF$5,休日)=1,"○",IF(NETWORKDAYS(BF$5,$L60,休日)=1,"▶","→")),"")))</f>
        <v/>
      </c>
      <c r="BG60" s="116">
        <f>IF(OR($K60="",$L60=""),"",IF(NETWORKDAYS(BG$5,BG$5,休日)=0,"",IF(AND(BG$5&gt;=$K60,BG$5&lt;=$L60),IF(NETWORKDAYS($K60,BG$5,休日)=1,"○",IF(NETWORKDAYS(BG$5,$L60,休日)=1,"▶","→")),"")))</f>
        <v/>
      </c>
      <c r="BH60" s="116">
        <f>IF(OR($K60="",$L60=""),"",IF(NETWORKDAYS(BH$5,BH$5,休日)=0,"",IF(AND(BH$5&gt;=$K60,BH$5&lt;=$L60),IF(NETWORKDAYS($K60,BH$5,休日)=1,"○",IF(NETWORKDAYS(BH$5,$L60,休日)=1,"▶","→")),"")))</f>
        <v/>
      </c>
      <c r="BI60" s="116">
        <f>IF(OR($K60="",$L60=""),"",IF(NETWORKDAYS(BI$5,BI$5,休日)=0,"",IF(AND(BI$5&gt;=$K60,BI$5&lt;=$L60),IF(NETWORKDAYS($K60,BI$5,休日)=1,"○",IF(NETWORKDAYS(BI$5,$L60,休日)=1,"▶","→")),"")))</f>
        <v/>
      </c>
      <c r="BJ60" s="116">
        <f>IF(OR($K60="",$L60=""),"",IF(NETWORKDAYS(BJ$5,BJ$5,休日)=0,"",IF(AND(BJ$5&gt;=$K60,BJ$5&lt;=$L60),IF(NETWORKDAYS($K60,BJ$5,休日)=1,"○",IF(NETWORKDAYS(BJ$5,$L60,休日)=1,"▶","→")),"")))</f>
        <v/>
      </c>
      <c r="BK60" s="116">
        <f>IF(OR($K60="",$L60=""),"",IF(NETWORKDAYS(BK$5,BK$5,休日)=0,"",IF(AND(BK$5&gt;=$K60,BK$5&lt;=$L60),IF(NETWORKDAYS($K60,BK$5,休日)=1,"○",IF(NETWORKDAYS(BK$5,$L60,休日)=1,"▶","→")),"")))</f>
        <v/>
      </c>
      <c r="BL60" s="116">
        <f>IF(OR($K60="",$L60=""),"",IF(NETWORKDAYS(BL$5,BL$5,休日)=0,"",IF(AND(BL$5&gt;=$K60,BL$5&lt;=$L60),IF(NETWORKDAYS($K60,BL$5,休日)=1,"○",IF(NETWORKDAYS(BL$5,$L60,休日)=1,"▶","→")),"")))</f>
        <v/>
      </c>
      <c r="BM60" s="116">
        <f>IF(OR($K60="",$L60=""),"",IF(NETWORKDAYS(BM$5,BM$5,休日)=0,"",IF(AND(BM$5&gt;=$K60,BM$5&lt;=$L60),IF(NETWORKDAYS($K60,BM$5,休日)=1,"○",IF(NETWORKDAYS(BM$5,$L60,休日)=1,"▶","→")),"")))</f>
        <v/>
      </c>
      <c r="BN60" s="116">
        <f>IF(OR($K60="",$L60=""),"",IF(NETWORKDAYS(BN$5,BN$5,休日)=0,"",IF(AND(BN$5&gt;=$K60,BN$5&lt;=$L60),IF(NETWORKDAYS($K60,BN$5,休日)=1,"○",IF(NETWORKDAYS(BN$5,$L60,休日)=1,"▶","→")),"")))</f>
        <v/>
      </c>
      <c r="BO60" s="116">
        <f>IF(OR($K60="",$L60=""),"",IF(NETWORKDAYS(BO$5,BO$5,休日)=0,"",IF(AND(BO$5&gt;=$K60,BO$5&lt;=$L60),IF(NETWORKDAYS($K60,BO$5,休日)=1,"○",IF(NETWORKDAYS(BO$5,$L60,休日)=1,"▶","→")),"")))</f>
        <v/>
      </c>
      <c r="BP60" s="116">
        <f>IF(OR($K60="",$L60=""),"",IF(NETWORKDAYS(BP$5,BP$5,休日)=0,"",IF(AND(BP$5&gt;=$K60,BP$5&lt;=$L60),IF(NETWORKDAYS($K60,BP$5,休日)=1,"○",IF(NETWORKDAYS(BP$5,$L60,休日)=1,"▶","→")),"")))</f>
        <v/>
      </c>
      <c r="BQ60" s="116">
        <f>IF(OR($K60="",$L60=""),"",IF(NETWORKDAYS(BQ$5,BQ$5,休日)=0,"",IF(AND(BQ$5&gt;=$K60,BQ$5&lt;=$L60),IF(NETWORKDAYS($K60,BQ$5,休日)=1,"○",IF(NETWORKDAYS(BQ$5,$L60,休日)=1,"▶","→")),"")))</f>
        <v/>
      </c>
      <c r="BR60" s="116">
        <f>IF(OR($K60="",$L60=""),"",IF(NETWORKDAYS(BR$5,BR$5,休日)=0,"",IF(AND(BR$5&gt;=$K60,BR$5&lt;=$L60),IF(NETWORKDAYS($K60,BR$5,休日)=1,"○",IF(NETWORKDAYS(BR$5,$L60,休日)=1,"▶","→")),"")))</f>
        <v/>
      </c>
      <c r="BS60" s="116">
        <f>IF(OR($K60="",$L60=""),"",IF(NETWORKDAYS(BS$5,BS$5,休日)=0,"",IF(AND(BS$5&gt;=$K60,BS$5&lt;=$L60),IF(NETWORKDAYS($K60,BS$5,休日)=1,"○",IF(NETWORKDAYS(BS$5,$L60,休日)=1,"▶","→")),"")))</f>
        <v/>
      </c>
      <c r="BT60" s="116">
        <f>IF(OR($K60="",$L60=""),"",IF(NETWORKDAYS(BT$5,BT$5,休日)=0,"",IF(AND(BT$5&gt;=$K60,BT$5&lt;=$L60),IF(NETWORKDAYS($K60,BT$5,休日)=1,"○",IF(NETWORKDAYS(BT$5,$L60,休日)=1,"▶","→")),"")))</f>
        <v/>
      </c>
      <c r="BU60" s="116">
        <f>IF(OR($K60="",$L60=""),"",IF(NETWORKDAYS(BU$5,BU$5,休日)=0,"",IF(AND(BU$5&gt;=$K60,BU$5&lt;=$L60),IF(NETWORKDAYS($K60,BU$5,休日)=1,"○",IF(NETWORKDAYS(BU$5,$L60,休日)=1,"▶","→")),"")))</f>
        <v/>
      </c>
      <c r="BV60" s="116">
        <f>IF(OR($K60="",$L60=""),"",IF(NETWORKDAYS(BV$5,BV$5,休日)=0,"",IF(AND(BV$5&gt;=$K60,BV$5&lt;=$L60),IF(NETWORKDAYS($K60,BV$5,休日)=1,"○",IF(NETWORKDAYS(BV$5,$L60,休日)=1,"▶","→")),"")))</f>
        <v/>
      </c>
      <c r="BW60" s="116">
        <f>IF(OR($K60="",$L60=""),"",IF(NETWORKDAYS(BW$5,BW$5,休日)=0,"",IF(AND(BW$5&gt;=$K60,BW$5&lt;=$L60),IF(NETWORKDAYS($K60,BW$5,休日)=1,"○",IF(NETWORKDAYS(BW$5,$L60,休日)=1,"▶","→")),"")))</f>
        <v/>
      </c>
      <c r="BX60" s="116">
        <f>IF(OR($K60="",$L60=""),"",IF(NETWORKDAYS(BX$5,BX$5,休日)=0,"",IF(AND(BX$5&gt;=$K60,BX$5&lt;=$L60),IF(NETWORKDAYS($K60,BX$5,休日)=1,"○",IF(NETWORKDAYS(BX$5,$L60,休日)=1,"▶","→")),"")))</f>
        <v/>
      </c>
      <c r="BY60" s="116">
        <f>IF(OR($K60="",$L60=""),"",IF(NETWORKDAYS(BY$5,BY$5,休日)=0,"",IF(AND(BY$5&gt;=$K60,BY$5&lt;=$L60),IF(NETWORKDAYS($K60,BY$5,休日)=1,"○",IF(NETWORKDAYS(BY$5,$L60,休日)=1,"▶","→")),"")))</f>
        <v/>
      </c>
      <c r="BZ60" s="116">
        <f>IF(OR($K60="",$L60=""),"",IF(NETWORKDAYS(BZ$5,BZ$5,休日)=0,"",IF(AND(BZ$5&gt;=$K60,BZ$5&lt;=$L60),IF(NETWORKDAYS($K60,BZ$5,休日)=1,"○",IF(NETWORKDAYS(BZ$5,$L60,休日)=1,"▶","→")),"")))</f>
        <v/>
      </c>
      <c r="CA60" s="116">
        <f>IF(OR($K60="",$L60=""),"",IF(NETWORKDAYS(CA$5,CA$5,休日)=0,"",IF(AND(CA$5&gt;=$K60,CA$5&lt;=$L60),IF(NETWORKDAYS($K60,CA$5,休日)=1,"○",IF(NETWORKDAYS(CA$5,$L60,休日)=1,"▶","→")),"")))</f>
        <v/>
      </c>
      <c r="CB60" s="116">
        <f>IF(OR($K60="",$L60=""),"",IF(NETWORKDAYS(CB$5,CB$5,休日)=0,"",IF(AND(CB$5&gt;=$K60,CB$5&lt;=$L60),IF(NETWORKDAYS($K60,CB$5,休日)=1,"○",IF(NETWORKDAYS(CB$5,$L60,休日)=1,"▶","→")),"")))</f>
        <v/>
      </c>
      <c r="CC60" s="116">
        <f>IF(OR($K60="",$L60=""),"",IF(NETWORKDAYS(CC$5,CC$5,休日)=0,"",IF(AND(CC$5&gt;=$K60,CC$5&lt;=$L60),IF(NETWORKDAYS($K60,CC$5,休日)=1,"○",IF(NETWORKDAYS(CC$5,$L60,休日)=1,"▶","→")),"")))</f>
        <v/>
      </c>
      <c r="CD60" s="116">
        <f>IF(OR($K60="",$L60=""),"",IF(NETWORKDAYS(CD$5,CD$5,休日)=0,"",IF(AND(CD$5&gt;=$K60,CD$5&lt;=$L60),IF(NETWORKDAYS($K60,CD$5,休日)=1,"○",IF(NETWORKDAYS(CD$5,$L60,休日)=1,"▶","→")),"")))</f>
        <v/>
      </c>
      <c r="CE60" s="116">
        <f>IF(OR($K60="",$L60=""),"",IF(NETWORKDAYS(CE$5,CE$5,休日)=0,"",IF(AND(CE$5&gt;=$K60,CE$5&lt;=$L60),IF(NETWORKDAYS($K60,CE$5,休日)=1,"○",IF(NETWORKDAYS(CE$5,$L60,休日)=1,"▶","→")),"")))</f>
        <v/>
      </c>
      <c r="CF60" s="116">
        <f>IF(OR($K60="",$L60=""),"",IF(NETWORKDAYS(CF$5,CF$5,休日)=0,"",IF(AND(CF$5&gt;=$K60,CF$5&lt;=$L60),IF(NETWORKDAYS($K60,CF$5,休日)=1,"○",IF(NETWORKDAYS(CF$5,$L60,休日)=1,"▶","→")),"")))</f>
        <v/>
      </c>
      <c r="CG60" s="116">
        <f>IF(OR($K60="",$L60=""),"",IF(NETWORKDAYS(CG$5,CG$5,休日)=0,"",IF(AND(CG$5&gt;=$K60,CG$5&lt;=$L60),IF(NETWORKDAYS($K60,CG$5,休日)=1,"○",IF(NETWORKDAYS(CG$5,$L60,休日)=1,"▶","→")),"")))</f>
        <v/>
      </c>
      <c r="CH60" s="116">
        <f>IF(OR($K60="",$L60=""),"",IF(NETWORKDAYS(CH$5,CH$5,休日)=0,"",IF(AND(CH$5&gt;=$K60,CH$5&lt;=$L60),IF(NETWORKDAYS($K60,CH$5,休日)=1,"○",IF(NETWORKDAYS(CH$5,$L60,休日)=1,"▶","→")),"")))</f>
        <v/>
      </c>
      <c r="CI60" s="116">
        <f>IF(OR($K60="",$L60=""),"",IF(NETWORKDAYS(CI$5,CI$5,休日)=0,"",IF(AND(CI$5&gt;=$K60,CI$5&lt;=$L60),IF(NETWORKDAYS($K60,CI$5,休日)=1,"○",IF(NETWORKDAYS(CI$5,$L60,休日)=1,"▶","→")),"")))</f>
        <v/>
      </c>
      <c r="CJ60" s="116">
        <f>IF(OR($K60="",$L60=""),"",IF(NETWORKDAYS(CJ$5,CJ$5,休日)=0,"",IF(AND(CJ$5&gt;=$K60,CJ$5&lt;=$L60),IF(NETWORKDAYS($K60,CJ$5,休日)=1,"○",IF(NETWORKDAYS(CJ$5,$L60,休日)=1,"▶","→")),"")))</f>
        <v/>
      </c>
      <c r="CK60" s="116">
        <f>IF(OR($K60="",$L60=""),"",IF(NETWORKDAYS(CK$5,CK$5,休日)=0,"",IF(AND(CK$5&gt;=$K60,CK$5&lt;=$L60),IF(NETWORKDAYS($K60,CK$5,休日)=1,"○",IF(NETWORKDAYS(CK$5,$L60,休日)=1,"▶","→")),"")))</f>
        <v/>
      </c>
      <c r="CL60" s="116">
        <f>IF(OR($K60="",$L60=""),"",IF(NETWORKDAYS(CL$5,CL$5,休日)=0,"",IF(AND(CL$5&gt;=$K60,CL$5&lt;=$L60),IF(NETWORKDAYS($K60,CL$5,休日)=1,"○",IF(NETWORKDAYS(CL$5,$L60,休日)=1,"▶","→")),"")))</f>
        <v/>
      </c>
      <c r="CM60" s="116">
        <f>IF(OR($K60="",$L60=""),"",IF(NETWORKDAYS(CM$5,CM$5,休日)=0,"",IF(AND(CM$5&gt;=$K60,CM$5&lt;=$L60),IF(NETWORKDAYS($K60,CM$5,休日)=1,"○",IF(NETWORKDAYS(CM$5,$L60,休日)=1,"▶","→")),"")))</f>
        <v/>
      </c>
      <c r="CN60" s="116">
        <f>IF(OR($K60="",$L60=""),"",IF(NETWORKDAYS(CN$5,CN$5,休日)=0,"",IF(AND(CN$5&gt;=$K60,CN$5&lt;=$L60),IF(NETWORKDAYS($K60,CN$5,休日)=1,"○",IF(NETWORKDAYS(CN$5,$L60,休日)=1,"▶","→")),"")))</f>
        <v/>
      </c>
      <c r="CO60" s="116">
        <f>IF(OR($K60="",$L60=""),"",IF(NETWORKDAYS(CO$5,CO$5,休日)=0,"",IF(AND(CO$5&gt;=$K60,CO$5&lt;=$L60),IF(NETWORKDAYS($K60,CO$5,休日)=1,"○",IF(NETWORKDAYS(CO$5,$L60,休日)=1,"▶","→")),"")))</f>
        <v/>
      </c>
    </row>
    <row r="61" ht="19.5" customHeight="1" s="98">
      <c r="A61" s="5" t="n"/>
      <c r="B61" s="109" t="inlineStr">
        <is>
          <t>6</t>
        </is>
      </c>
      <c r="C61" s="110" t="inlineStr">
        <is>
          <t>PJ管理</t>
        </is>
      </c>
      <c r="D61" s="117" t="n"/>
      <c r="E61" s="127" t="n"/>
      <c r="F61" s="124" t="n"/>
      <c r="G61" s="129" t="n"/>
      <c r="H61" s="120" t="n"/>
      <c r="I61" s="121" t="n"/>
      <c r="J61" s="117" t="n"/>
      <c r="K61" s="122" t="n"/>
      <c r="L61" s="122" t="n"/>
      <c r="M61" s="122" t="n"/>
      <c r="N61" s="122" t="n"/>
      <c r="O61" s="120" t="n"/>
      <c r="P61" s="123" t="n"/>
      <c r="Q61" s="120" t="n"/>
      <c r="R61" s="124" t="n"/>
      <c r="S61" s="61" t="n"/>
      <c r="T61" s="61" t="n"/>
      <c r="U61" s="61" t="n"/>
      <c r="V61" s="61" t="n"/>
      <c r="W61" s="61" t="n"/>
      <c r="X61" s="61" t="n"/>
      <c r="Y61" s="61" t="n"/>
      <c r="Z61" s="61" t="n"/>
      <c r="AA61" s="61" t="n"/>
      <c r="AB61" s="61" t="n"/>
      <c r="AC61" s="61" t="n"/>
      <c r="AD61" s="61" t="n"/>
      <c r="AE61" s="61" t="n"/>
      <c r="AF61" s="61" t="n"/>
      <c r="AG61" s="61" t="n"/>
      <c r="AH61" s="61" t="n"/>
      <c r="AI61" s="61" t="n"/>
      <c r="AJ61" s="61" t="n"/>
      <c r="AK61" s="61" t="n"/>
      <c r="AL61" s="61" t="n"/>
      <c r="AM61" s="61" t="n"/>
      <c r="AN61" s="61" t="n"/>
      <c r="AO61" s="61" t="n"/>
      <c r="AP61" s="61" t="n"/>
      <c r="AQ61" s="61" t="n"/>
      <c r="AR61" s="61" t="n"/>
      <c r="AS61" s="61" t="n"/>
      <c r="AT61" s="61" t="n"/>
      <c r="AU61" s="61" t="n"/>
      <c r="AV61" s="61" t="n"/>
      <c r="AW61" s="61" t="n"/>
      <c r="AX61" s="61" t="n"/>
      <c r="AY61" s="61" t="n"/>
      <c r="AZ61" s="61" t="n"/>
      <c r="BA61" s="61" t="n"/>
      <c r="BB61" s="61" t="n"/>
      <c r="BC61" s="61" t="n"/>
      <c r="BD61" s="61" t="n"/>
      <c r="BE61" s="61" t="n"/>
      <c r="BF61" s="61" t="n"/>
      <c r="BG61" s="61" t="n"/>
      <c r="BH61" s="61" t="n"/>
      <c r="BI61" s="61" t="n"/>
      <c r="BJ61" s="61" t="n"/>
      <c r="BK61" s="61" t="n"/>
      <c r="BL61" s="61" t="n"/>
      <c r="BM61" s="61" t="n"/>
      <c r="BN61" s="61" t="n"/>
      <c r="BO61" s="61" t="n"/>
      <c r="BP61" s="61" t="n"/>
      <c r="BQ61" s="61" t="n"/>
      <c r="BR61" s="61" t="n"/>
      <c r="BS61" s="61" t="n"/>
      <c r="BT61" s="61" t="n"/>
      <c r="BU61" s="61" t="n"/>
      <c r="BV61" s="61" t="n"/>
      <c r="BW61" s="61" t="n"/>
      <c r="BX61" s="61" t="n"/>
      <c r="BY61" s="61" t="n"/>
      <c r="BZ61" s="61" t="n"/>
      <c r="CA61" s="61" t="n"/>
      <c r="CB61" s="61" t="n"/>
      <c r="CC61" s="61" t="n"/>
      <c r="CD61" s="61" t="n"/>
      <c r="CE61" s="61" t="n"/>
      <c r="CF61" s="61" t="n"/>
      <c r="CG61" s="61" t="n"/>
      <c r="CH61" s="61" t="n"/>
    </row>
    <row r="62" ht="32" customHeight="1" s="98">
      <c r="A62" s="5" t="n"/>
      <c r="B62" s="100" t="inlineStr">
        <is>
          <t>6.1</t>
        </is>
      </c>
      <c r="C62" s="101" t="inlineStr">
        <is>
          <t>PJ管理</t>
        </is>
      </c>
      <c r="D62" s="101" t="inlineStr">
        <is>
          <t>横断</t>
        </is>
      </c>
      <c r="E62" s="101" t="inlineStr">
        <is>
          <t>進捗・品質・課題・会議体</t>
        </is>
      </c>
      <c r="F62" s="101" t="inlineStr">
        <is>
          <t>全期間</t>
        </is>
      </c>
      <c r="G62" s="100" t="inlineStr">
        <is>
          <t>－</t>
        </is>
      </c>
      <c r="H62" s="100" t="inlineStr">
        <is>
          <t>未定</t>
        </is>
      </c>
      <c r="I62" s="113" t="n">
        <v>14</v>
      </c>
      <c r="J62" s="100" t="inlineStr">
        <is>
          <t>－</t>
        </is>
      </c>
      <c r="K62" s="114" t="n">
        <v>46307</v>
      </c>
      <c r="L62" s="114" t="n">
        <v>46381</v>
      </c>
      <c r="M62" s="114" t="n"/>
      <c r="N62" s="114" t="n"/>
      <c r="O62" s="100" t="inlineStr">
        <is>
          <t>未着手</t>
        </is>
      </c>
      <c r="P62" s="115" t="n">
        <v>0</v>
      </c>
      <c r="Q62" s="100" t="inlineStr">
        <is>
          <t>－</t>
        </is>
      </c>
      <c r="R62" s="101" t="inlineStr">
        <is>
          <t>全期間に薄く置く。締めは12/21–12/25。担当は未定。12/28以降は置かない</t>
        </is>
      </c>
      <c r="S62" s="116">
        <f>IF(OR($K62="",$L62=""),"",IF(NETWORKDAYS(S$5,S$5,休日)=0,"",IF(AND(S$5&gt;=$K62,S$5&lt;=$L62),IF(NETWORKDAYS($K62,S$5,休日)=1,"○",IF(NETWORKDAYS(S$5,$L62,休日)=1,"▶","→")),"")))</f>
        <v/>
      </c>
      <c r="T62" s="116">
        <f>IF(OR($K62="",$L62=""),"",IF(NETWORKDAYS(T$5,T$5,休日)=0,"",IF(AND(T$5&gt;=$K62,T$5&lt;=$L62),IF(NETWORKDAYS($K62,T$5,休日)=1,"○",IF(NETWORKDAYS(T$5,$L62,休日)=1,"▶","→")),"")))</f>
        <v/>
      </c>
      <c r="U62" s="116">
        <f>IF(OR($K62="",$L62=""),"",IF(NETWORKDAYS(U$5,U$5,休日)=0,"",IF(AND(U$5&gt;=$K62,U$5&lt;=$L62),IF(NETWORKDAYS($K62,U$5,休日)=1,"○",IF(NETWORKDAYS(U$5,$L62,休日)=1,"▶","→")),"")))</f>
        <v/>
      </c>
      <c r="V62" s="116">
        <f>IF(OR($K62="",$L62=""),"",IF(NETWORKDAYS(V$5,V$5,休日)=0,"",IF(AND(V$5&gt;=$K62,V$5&lt;=$L62),IF(NETWORKDAYS($K62,V$5,休日)=1,"○",IF(NETWORKDAYS(V$5,$L62,休日)=1,"▶","→")),"")))</f>
        <v/>
      </c>
      <c r="W62" s="116">
        <f>IF(OR($K62="",$L62=""),"",IF(NETWORKDAYS(W$5,W$5,休日)=0,"",IF(AND(W$5&gt;=$K62,W$5&lt;=$L62),IF(NETWORKDAYS($K62,W$5,休日)=1,"○",IF(NETWORKDAYS(W$5,$L62,休日)=1,"▶","→")),"")))</f>
        <v/>
      </c>
      <c r="X62" s="116">
        <f>IF(OR($K62="",$L62=""),"",IF(NETWORKDAYS(X$5,X$5,休日)=0,"",IF(AND(X$5&gt;=$K62,X$5&lt;=$L62),IF(NETWORKDAYS($K62,X$5,休日)=1,"○",IF(NETWORKDAYS(X$5,$L62,休日)=1,"▶","→")),"")))</f>
        <v/>
      </c>
      <c r="Y62" s="116">
        <f>IF(OR($K62="",$L62=""),"",IF(NETWORKDAYS(Y$5,Y$5,休日)=0,"",IF(AND(Y$5&gt;=$K62,Y$5&lt;=$L62),IF(NETWORKDAYS($K62,Y$5,休日)=1,"○",IF(NETWORKDAYS(Y$5,$L62,休日)=1,"▶","→")),"")))</f>
        <v/>
      </c>
      <c r="Z62" s="116">
        <f>IF(OR($K62="",$L62=""),"",IF(NETWORKDAYS(Z$5,Z$5,休日)=0,"",IF(AND(Z$5&gt;=$K62,Z$5&lt;=$L62),IF(NETWORKDAYS($K62,Z$5,休日)=1,"○",IF(NETWORKDAYS(Z$5,$L62,休日)=1,"▶","→")),"")))</f>
        <v/>
      </c>
      <c r="AA62" s="116">
        <f>IF(OR($K62="",$L62=""),"",IF(NETWORKDAYS(AA$5,AA$5,休日)=0,"",IF(AND(AA$5&gt;=$K62,AA$5&lt;=$L62),IF(NETWORKDAYS($K62,AA$5,休日)=1,"○",IF(NETWORKDAYS(AA$5,$L62,休日)=1,"▶","→")),"")))</f>
        <v/>
      </c>
      <c r="AB62" s="116">
        <f>IF(OR($K62="",$L62=""),"",IF(NETWORKDAYS(AB$5,AB$5,休日)=0,"",IF(AND(AB$5&gt;=$K62,AB$5&lt;=$L62),IF(NETWORKDAYS($K62,AB$5,休日)=1,"○",IF(NETWORKDAYS(AB$5,$L62,休日)=1,"▶","→")),"")))</f>
        <v/>
      </c>
      <c r="AC62" s="116">
        <f>IF(OR($K62="",$L62=""),"",IF(NETWORKDAYS(AC$5,AC$5,休日)=0,"",IF(AND(AC$5&gt;=$K62,AC$5&lt;=$L62),IF(NETWORKDAYS($K62,AC$5,休日)=1,"○",IF(NETWORKDAYS(AC$5,$L62,休日)=1,"▶","→")),"")))</f>
        <v/>
      </c>
      <c r="AD62" s="116">
        <f>IF(OR($K62="",$L62=""),"",IF(NETWORKDAYS(AD$5,AD$5,休日)=0,"",IF(AND(AD$5&gt;=$K62,AD$5&lt;=$L62),IF(NETWORKDAYS($K62,AD$5,休日)=1,"○",IF(NETWORKDAYS(AD$5,$L62,休日)=1,"▶","→")),"")))</f>
        <v/>
      </c>
      <c r="AE62" s="116">
        <f>IF(OR($K62="",$L62=""),"",IF(NETWORKDAYS(AE$5,AE$5,休日)=0,"",IF(AND(AE$5&gt;=$K62,AE$5&lt;=$L62),IF(NETWORKDAYS($K62,AE$5,休日)=1,"○",IF(NETWORKDAYS(AE$5,$L62,休日)=1,"▶","→")),"")))</f>
        <v/>
      </c>
      <c r="AF62" s="116">
        <f>IF(OR($K62="",$L62=""),"",IF(NETWORKDAYS(AF$5,AF$5,休日)=0,"",IF(AND(AF$5&gt;=$K62,AF$5&lt;=$L62),IF(NETWORKDAYS($K62,AF$5,休日)=1,"○",IF(NETWORKDAYS(AF$5,$L62,休日)=1,"▶","→")),"")))</f>
        <v/>
      </c>
      <c r="AG62" s="116">
        <f>IF(OR($K62="",$L62=""),"",IF(NETWORKDAYS(AG$5,AG$5,休日)=0,"",IF(AND(AG$5&gt;=$K62,AG$5&lt;=$L62),IF(NETWORKDAYS($K62,AG$5,休日)=1,"○",IF(NETWORKDAYS(AG$5,$L62,休日)=1,"▶","→")),"")))</f>
        <v/>
      </c>
      <c r="AH62" s="116">
        <f>IF(OR($K62="",$L62=""),"",IF(NETWORKDAYS(AH$5,AH$5,休日)=0,"",IF(AND(AH$5&gt;=$K62,AH$5&lt;=$L62),IF(NETWORKDAYS($K62,AH$5,休日)=1,"○",IF(NETWORKDAYS(AH$5,$L62,休日)=1,"▶","→")),"")))</f>
        <v/>
      </c>
      <c r="AI62" s="116">
        <f>IF(OR($K62="",$L62=""),"",IF(NETWORKDAYS(AI$5,AI$5,休日)=0,"",IF(AND(AI$5&gt;=$K62,AI$5&lt;=$L62),IF(NETWORKDAYS($K62,AI$5,休日)=1,"○",IF(NETWORKDAYS(AI$5,$L62,休日)=1,"▶","→")),"")))</f>
        <v/>
      </c>
      <c r="AJ62" s="116">
        <f>IF(OR($K62="",$L62=""),"",IF(NETWORKDAYS(AJ$5,AJ$5,休日)=0,"",IF(AND(AJ$5&gt;=$K62,AJ$5&lt;=$L62),IF(NETWORKDAYS($K62,AJ$5,休日)=1,"○",IF(NETWORKDAYS(AJ$5,$L62,休日)=1,"▶","→")),"")))</f>
        <v/>
      </c>
      <c r="AK62" s="116">
        <f>IF(OR($K62="",$L62=""),"",IF(NETWORKDAYS(AK$5,AK$5,休日)=0,"",IF(AND(AK$5&gt;=$K62,AK$5&lt;=$L62),IF(NETWORKDAYS($K62,AK$5,休日)=1,"○",IF(NETWORKDAYS(AK$5,$L62,休日)=1,"▶","→")),"")))</f>
        <v/>
      </c>
      <c r="AL62" s="116">
        <f>IF(OR($K62="",$L62=""),"",IF(NETWORKDAYS(AL$5,AL$5,休日)=0,"",IF(AND(AL$5&gt;=$K62,AL$5&lt;=$L62),IF(NETWORKDAYS($K62,AL$5,休日)=1,"○",IF(NETWORKDAYS(AL$5,$L62,休日)=1,"▶","→")),"")))</f>
        <v/>
      </c>
      <c r="AM62" s="116">
        <f>IF(OR($K62="",$L62=""),"",IF(NETWORKDAYS(AM$5,AM$5,休日)=0,"",IF(AND(AM$5&gt;=$K62,AM$5&lt;=$L62),IF(NETWORKDAYS($K62,AM$5,休日)=1,"○",IF(NETWORKDAYS(AM$5,$L62,休日)=1,"▶","→")),"")))</f>
        <v/>
      </c>
      <c r="AN62" s="116">
        <f>IF(OR($K62="",$L62=""),"",IF(NETWORKDAYS(AN$5,AN$5,休日)=0,"",IF(AND(AN$5&gt;=$K62,AN$5&lt;=$L62),IF(NETWORKDAYS($K62,AN$5,休日)=1,"○",IF(NETWORKDAYS(AN$5,$L62,休日)=1,"▶","→")),"")))</f>
        <v/>
      </c>
      <c r="AO62" s="116">
        <f>IF(OR($K62="",$L62=""),"",IF(NETWORKDAYS(AO$5,AO$5,休日)=0,"",IF(AND(AO$5&gt;=$K62,AO$5&lt;=$L62),IF(NETWORKDAYS($K62,AO$5,休日)=1,"○",IF(NETWORKDAYS(AO$5,$L62,休日)=1,"▶","→")),"")))</f>
        <v/>
      </c>
      <c r="AP62" s="116">
        <f>IF(OR($K62="",$L62=""),"",IF(NETWORKDAYS(AP$5,AP$5,休日)=0,"",IF(AND(AP$5&gt;=$K62,AP$5&lt;=$L62),IF(NETWORKDAYS($K62,AP$5,休日)=1,"○",IF(NETWORKDAYS(AP$5,$L62,休日)=1,"▶","→")),"")))</f>
        <v/>
      </c>
      <c r="AQ62" s="116">
        <f>IF(OR($K62="",$L62=""),"",IF(NETWORKDAYS(AQ$5,AQ$5,休日)=0,"",IF(AND(AQ$5&gt;=$K62,AQ$5&lt;=$L62),IF(NETWORKDAYS($K62,AQ$5,休日)=1,"○",IF(NETWORKDAYS(AQ$5,$L62,休日)=1,"▶","→")),"")))</f>
        <v/>
      </c>
      <c r="AR62" s="116">
        <f>IF(OR($K62="",$L62=""),"",IF(NETWORKDAYS(AR$5,AR$5,休日)=0,"",IF(AND(AR$5&gt;=$K62,AR$5&lt;=$L62),IF(NETWORKDAYS($K62,AR$5,休日)=1,"○",IF(NETWORKDAYS(AR$5,$L62,休日)=1,"▶","→")),"")))</f>
        <v/>
      </c>
      <c r="AS62" s="116">
        <f>IF(OR($K62="",$L62=""),"",IF(NETWORKDAYS(AS$5,AS$5,休日)=0,"",IF(AND(AS$5&gt;=$K62,AS$5&lt;=$L62),IF(NETWORKDAYS($K62,AS$5,休日)=1,"○",IF(NETWORKDAYS(AS$5,$L62,休日)=1,"▶","→")),"")))</f>
        <v/>
      </c>
      <c r="AT62" s="116">
        <f>IF(OR($K62="",$L62=""),"",IF(NETWORKDAYS(AT$5,AT$5,休日)=0,"",IF(AND(AT$5&gt;=$K62,AT$5&lt;=$L62),IF(NETWORKDAYS($K62,AT$5,休日)=1,"○",IF(NETWORKDAYS(AT$5,$L62,休日)=1,"▶","→")),"")))</f>
        <v/>
      </c>
      <c r="AU62" s="116">
        <f>IF(OR($K62="",$L62=""),"",IF(NETWORKDAYS(AU$5,AU$5,休日)=0,"",IF(AND(AU$5&gt;=$K62,AU$5&lt;=$L62),IF(NETWORKDAYS($K62,AU$5,休日)=1,"○",IF(NETWORKDAYS(AU$5,$L62,休日)=1,"▶","→")),"")))</f>
        <v/>
      </c>
      <c r="AV62" s="116">
        <f>IF(OR($K62="",$L62=""),"",IF(NETWORKDAYS(AV$5,AV$5,休日)=0,"",IF(AND(AV$5&gt;=$K62,AV$5&lt;=$L62),IF(NETWORKDAYS($K62,AV$5,休日)=1,"○",IF(NETWORKDAYS(AV$5,$L62,休日)=1,"▶","→")),"")))</f>
        <v/>
      </c>
      <c r="AW62" s="116">
        <f>IF(OR($K62="",$L62=""),"",IF(NETWORKDAYS(AW$5,AW$5,休日)=0,"",IF(AND(AW$5&gt;=$K62,AW$5&lt;=$L62),IF(NETWORKDAYS($K62,AW$5,休日)=1,"○",IF(NETWORKDAYS(AW$5,$L62,休日)=1,"▶","→")),"")))</f>
        <v/>
      </c>
      <c r="AX62" s="116">
        <f>IF(OR($K62="",$L62=""),"",IF(NETWORKDAYS(AX$5,AX$5,休日)=0,"",IF(AND(AX$5&gt;=$K62,AX$5&lt;=$L62),IF(NETWORKDAYS($K62,AX$5,休日)=1,"○",IF(NETWORKDAYS(AX$5,$L62,休日)=1,"▶","→")),"")))</f>
        <v/>
      </c>
      <c r="AY62" s="116">
        <f>IF(OR($K62="",$L62=""),"",IF(NETWORKDAYS(AY$5,AY$5,休日)=0,"",IF(AND(AY$5&gt;=$K62,AY$5&lt;=$L62),IF(NETWORKDAYS($K62,AY$5,休日)=1,"○",IF(NETWORKDAYS(AY$5,$L62,休日)=1,"▶","→")),"")))</f>
        <v/>
      </c>
      <c r="AZ62" s="116">
        <f>IF(OR($K62="",$L62=""),"",IF(NETWORKDAYS(AZ$5,AZ$5,休日)=0,"",IF(AND(AZ$5&gt;=$K62,AZ$5&lt;=$L62),IF(NETWORKDAYS($K62,AZ$5,休日)=1,"○",IF(NETWORKDAYS(AZ$5,$L62,休日)=1,"▶","→")),"")))</f>
        <v/>
      </c>
      <c r="BA62" s="116">
        <f>IF(OR($K62="",$L62=""),"",IF(NETWORKDAYS(BA$5,BA$5,休日)=0,"",IF(AND(BA$5&gt;=$K62,BA$5&lt;=$L62),IF(NETWORKDAYS($K62,BA$5,休日)=1,"○",IF(NETWORKDAYS(BA$5,$L62,休日)=1,"▶","→")),"")))</f>
        <v/>
      </c>
      <c r="BB62" s="116">
        <f>IF(OR($K62="",$L62=""),"",IF(NETWORKDAYS(BB$5,BB$5,休日)=0,"",IF(AND(BB$5&gt;=$K62,BB$5&lt;=$L62),IF(NETWORKDAYS($K62,BB$5,休日)=1,"○",IF(NETWORKDAYS(BB$5,$L62,休日)=1,"▶","→")),"")))</f>
        <v/>
      </c>
      <c r="BC62" s="116">
        <f>IF(OR($K62="",$L62=""),"",IF(NETWORKDAYS(BC$5,BC$5,休日)=0,"",IF(AND(BC$5&gt;=$K62,BC$5&lt;=$L62),IF(NETWORKDAYS($K62,BC$5,休日)=1,"○",IF(NETWORKDAYS(BC$5,$L62,休日)=1,"▶","→")),"")))</f>
        <v/>
      </c>
      <c r="BD62" s="116">
        <f>IF(OR($K62="",$L62=""),"",IF(NETWORKDAYS(BD$5,BD$5,休日)=0,"",IF(AND(BD$5&gt;=$K62,BD$5&lt;=$L62),IF(NETWORKDAYS($K62,BD$5,休日)=1,"○",IF(NETWORKDAYS(BD$5,$L62,休日)=1,"▶","→")),"")))</f>
        <v/>
      </c>
      <c r="BE62" s="116">
        <f>IF(OR($K62="",$L62=""),"",IF(NETWORKDAYS(BE$5,BE$5,休日)=0,"",IF(AND(BE$5&gt;=$K62,BE$5&lt;=$L62),IF(NETWORKDAYS($K62,BE$5,休日)=1,"○",IF(NETWORKDAYS(BE$5,$L62,休日)=1,"▶","→")),"")))</f>
        <v/>
      </c>
      <c r="BF62" s="116">
        <f>IF(OR($K62="",$L62=""),"",IF(NETWORKDAYS(BF$5,BF$5,休日)=0,"",IF(AND(BF$5&gt;=$K62,BF$5&lt;=$L62),IF(NETWORKDAYS($K62,BF$5,休日)=1,"○",IF(NETWORKDAYS(BF$5,$L62,休日)=1,"▶","→")),"")))</f>
        <v/>
      </c>
      <c r="BG62" s="116">
        <f>IF(OR($K62="",$L62=""),"",IF(NETWORKDAYS(BG$5,BG$5,休日)=0,"",IF(AND(BG$5&gt;=$K62,BG$5&lt;=$L62),IF(NETWORKDAYS($K62,BG$5,休日)=1,"○",IF(NETWORKDAYS(BG$5,$L62,休日)=1,"▶","→")),"")))</f>
        <v/>
      </c>
      <c r="BH62" s="116">
        <f>IF(OR($K62="",$L62=""),"",IF(NETWORKDAYS(BH$5,BH$5,休日)=0,"",IF(AND(BH$5&gt;=$K62,BH$5&lt;=$L62),IF(NETWORKDAYS($K62,BH$5,休日)=1,"○",IF(NETWORKDAYS(BH$5,$L62,休日)=1,"▶","→")),"")))</f>
        <v/>
      </c>
      <c r="BI62" s="116">
        <f>IF(OR($K62="",$L62=""),"",IF(NETWORKDAYS(BI$5,BI$5,休日)=0,"",IF(AND(BI$5&gt;=$K62,BI$5&lt;=$L62),IF(NETWORKDAYS($K62,BI$5,休日)=1,"○",IF(NETWORKDAYS(BI$5,$L62,休日)=1,"▶","→")),"")))</f>
        <v/>
      </c>
      <c r="BJ62" s="116">
        <f>IF(OR($K62="",$L62=""),"",IF(NETWORKDAYS(BJ$5,BJ$5,休日)=0,"",IF(AND(BJ$5&gt;=$K62,BJ$5&lt;=$L62),IF(NETWORKDAYS($K62,BJ$5,休日)=1,"○",IF(NETWORKDAYS(BJ$5,$L62,休日)=1,"▶","→")),"")))</f>
        <v/>
      </c>
      <c r="BK62" s="116">
        <f>IF(OR($K62="",$L62=""),"",IF(NETWORKDAYS(BK$5,BK$5,休日)=0,"",IF(AND(BK$5&gt;=$K62,BK$5&lt;=$L62),IF(NETWORKDAYS($K62,BK$5,休日)=1,"○",IF(NETWORKDAYS(BK$5,$L62,休日)=1,"▶","→")),"")))</f>
        <v/>
      </c>
      <c r="BL62" s="116">
        <f>IF(OR($K62="",$L62=""),"",IF(NETWORKDAYS(BL$5,BL$5,休日)=0,"",IF(AND(BL$5&gt;=$K62,BL$5&lt;=$L62),IF(NETWORKDAYS($K62,BL$5,休日)=1,"○",IF(NETWORKDAYS(BL$5,$L62,休日)=1,"▶","→")),"")))</f>
        <v/>
      </c>
      <c r="BM62" s="116">
        <f>IF(OR($K62="",$L62=""),"",IF(NETWORKDAYS(BM$5,BM$5,休日)=0,"",IF(AND(BM$5&gt;=$K62,BM$5&lt;=$L62),IF(NETWORKDAYS($K62,BM$5,休日)=1,"○",IF(NETWORKDAYS(BM$5,$L62,休日)=1,"▶","→")),"")))</f>
        <v/>
      </c>
      <c r="BN62" s="116">
        <f>IF(OR($K62="",$L62=""),"",IF(NETWORKDAYS(BN$5,BN$5,休日)=0,"",IF(AND(BN$5&gt;=$K62,BN$5&lt;=$L62),IF(NETWORKDAYS($K62,BN$5,休日)=1,"○",IF(NETWORKDAYS(BN$5,$L62,休日)=1,"▶","→")),"")))</f>
        <v/>
      </c>
      <c r="BO62" s="116">
        <f>IF(OR($K62="",$L62=""),"",IF(NETWORKDAYS(BO$5,BO$5,休日)=0,"",IF(AND(BO$5&gt;=$K62,BO$5&lt;=$L62),IF(NETWORKDAYS($K62,BO$5,休日)=1,"○",IF(NETWORKDAYS(BO$5,$L62,休日)=1,"▶","→")),"")))</f>
        <v/>
      </c>
      <c r="BP62" s="116">
        <f>IF(OR($K62="",$L62=""),"",IF(NETWORKDAYS(BP$5,BP$5,休日)=0,"",IF(AND(BP$5&gt;=$K62,BP$5&lt;=$L62),IF(NETWORKDAYS($K62,BP$5,休日)=1,"○",IF(NETWORKDAYS(BP$5,$L62,休日)=1,"▶","→")),"")))</f>
        <v/>
      </c>
      <c r="BQ62" s="116">
        <f>IF(OR($K62="",$L62=""),"",IF(NETWORKDAYS(BQ$5,BQ$5,休日)=0,"",IF(AND(BQ$5&gt;=$K62,BQ$5&lt;=$L62),IF(NETWORKDAYS($K62,BQ$5,休日)=1,"○",IF(NETWORKDAYS(BQ$5,$L62,休日)=1,"▶","→")),"")))</f>
        <v/>
      </c>
      <c r="BR62" s="116">
        <f>IF(OR($K62="",$L62=""),"",IF(NETWORKDAYS(BR$5,BR$5,休日)=0,"",IF(AND(BR$5&gt;=$K62,BR$5&lt;=$L62),IF(NETWORKDAYS($K62,BR$5,休日)=1,"○",IF(NETWORKDAYS(BR$5,$L62,休日)=1,"▶","→")),"")))</f>
        <v/>
      </c>
      <c r="BS62" s="116">
        <f>IF(OR($K62="",$L62=""),"",IF(NETWORKDAYS(BS$5,BS$5,休日)=0,"",IF(AND(BS$5&gt;=$K62,BS$5&lt;=$L62),IF(NETWORKDAYS($K62,BS$5,休日)=1,"○",IF(NETWORKDAYS(BS$5,$L62,休日)=1,"▶","→")),"")))</f>
        <v/>
      </c>
      <c r="BT62" s="116">
        <f>IF(OR($K62="",$L62=""),"",IF(NETWORKDAYS(BT$5,BT$5,休日)=0,"",IF(AND(BT$5&gt;=$K62,BT$5&lt;=$L62),IF(NETWORKDAYS($K62,BT$5,休日)=1,"○",IF(NETWORKDAYS(BT$5,$L62,休日)=1,"▶","→")),"")))</f>
        <v/>
      </c>
      <c r="BU62" s="116">
        <f>IF(OR($K62="",$L62=""),"",IF(NETWORKDAYS(BU$5,BU$5,休日)=0,"",IF(AND(BU$5&gt;=$K62,BU$5&lt;=$L62),IF(NETWORKDAYS($K62,BU$5,休日)=1,"○",IF(NETWORKDAYS(BU$5,$L62,休日)=1,"▶","→")),"")))</f>
        <v/>
      </c>
      <c r="BV62" s="116">
        <f>IF(OR($K62="",$L62=""),"",IF(NETWORKDAYS(BV$5,BV$5,休日)=0,"",IF(AND(BV$5&gt;=$K62,BV$5&lt;=$L62),IF(NETWORKDAYS($K62,BV$5,休日)=1,"○",IF(NETWORKDAYS(BV$5,$L62,休日)=1,"▶","→")),"")))</f>
        <v/>
      </c>
      <c r="BW62" s="116">
        <f>IF(OR($K62="",$L62=""),"",IF(NETWORKDAYS(BW$5,BW$5,休日)=0,"",IF(AND(BW$5&gt;=$K62,BW$5&lt;=$L62),IF(NETWORKDAYS($K62,BW$5,休日)=1,"○",IF(NETWORKDAYS(BW$5,$L62,休日)=1,"▶","→")),"")))</f>
        <v/>
      </c>
      <c r="BX62" s="116">
        <f>IF(OR($K62="",$L62=""),"",IF(NETWORKDAYS(BX$5,BX$5,休日)=0,"",IF(AND(BX$5&gt;=$K62,BX$5&lt;=$L62),IF(NETWORKDAYS($K62,BX$5,休日)=1,"○",IF(NETWORKDAYS(BX$5,$L62,休日)=1,"▶","→")),"")))</f>
        <v/>
      </c>
      <c r="BY62" s="116">
        <f>IF(OR($K62="",$L62=""),"",IF(NETWORKDAYS(BY$5,BY$5,休日)=0,"",IF(AND(BY$5&gt;=$K62,BY$5&lt;=$L62),IF(NETWORKDAYS($K62,BY$5,休日)=1,"○",IF(NETWORKDAYS(BY$5,$L62,休日)=1,"▶","→")),"")))</f>
        <v/>
      </c>
      <c r="BZ62" s="116">
        <f>IF(OR($K62="",$L62=""),"",IF(NETWORKDAYS(BZ$5,BZ$5,休日)=0,"",IF(AND(BZ$5&gt;=$K62,BZ$5&lt;=$L62),IF(NETWORKDAYS($K62,BZ$5,休日)=1,"○",IF(NETWORKDAYS(BZ$5,$L62,休日)=1,"▶","→")),"")))</f>
        <v/>
      </c>
      <c r="CA62" s="116">
        <f>IF(OR($K62="",$L62=""),"",IF(NETWORKDAYS(CA$5,CA$5,休日)=0,"",IF(AND(CA$5&gt;=$K62,CA$5&lt;=$L62),IF(NETWORKDAYS($K62,CA$5,休日)=1,"○",IF(NETWORKDAYS(CA$5,$L62,休日)=1,"▶","→")),"")))</f>
        <v/>
      </c>
      <c r="CB62" s="116">
        <f>IF(OR($K62="",$L62=""),"",IF(NETWORKDAYS(CB$5,CB$5,休日)=0,"",IF(AND(CB$5&gt;=$K62,CB$5&lt;=$L62),IF(NETWORKDAYS($K62,CB$5,休日)=1,"○",IF(NETWORKDAYS(CB$5,$L62,休日)=1,"▶","→")),"")))</f>
        <v/>
      </c>
      <c r="CC62" s="116">
        <f>IF(OR($K62="",$L62=""),"",IF(NETWORKDAYS(CC$5,CC$5,休日)=0,"",IF(AND(CC$5&gt;=$K62,CC$5&lt;=$L62),IF(NETWORKDAYS($K62,CC$5,休日)=1,"○",IF(NETWORKDAYS(CC$5,$L62,休日)=1,"▶","→")),"")))</f>
        <v/>
      </c>
      <c r="CD62" s="116">
        <f>IF(OR($K62="",$L62=""),"",IF(NETWORKDAYS(CD$5,CD$5,休日)=0,"",IF(AND(CD$5&gt;=$K62,CD$5&lt;=$L62),IF(NETWORKDAYS($K62,CD$5,休日)=1,"○",IF(NETWORKDAYS(CD$5,$L62,休日)=1,"▶","→")),"")))</f>
        <v/>
      </c>
      <c r="CE62" s="116">
        <f>IF(OR($K62="",$L62=""),"",IF(NETWORKDAYS(CE$5,CE$5,休日)=0,"",IF(AND(CE$5&gt;=$K62,CE$5&lt;=$L62),IF(NETWORKDAYS($K62,CE$5,休日)=1,"○",IF(NETWORKDAYS(CE$5,$L62,休日)=1,"▶","→")),"")))</f>
        <v/>
      </c>
      <c r="CF62" s="116">
        <f>IF(OR($K62="",$L62=""),"",IF(NETWORKDAYS(CF$5,CF$5,休日)=0,"",IF(AND(CF$5&gt;=$K62,CF$5&lt;=$L62),IF(NETWORKDAYS($K62,CF$5,休日)=1,"○",IF(NETWORKDAYS(CF$5,$L62,休日)=1,"▶","→")),"")))</f>
        <v/>
      </c>
      <c r="CG62" s="116">
        <f>IF(OR($K62="",$L62=""),"",IF(NETWORKDAYS(CG$5,CG$5,休日)=0,"",IF(AND(CG$5&gt;=$K62,CG$5&lt;=$L62),IF(NETWORKDAYS($K62,CG$5,休日)=1,"○",IF(NETWORKDAYS(CG$5,$L62,休日)=1,"▶","→")),"")))</f>
        <v/>
      </c>
      <c r="CH62" s="116">
        <f>IF(OR($K62="",$L62=""),"",IF(NETWORKDAYS(CH$5,CH$5,休日)=0,"",IF(AND(CH$5&gt;=$K62,CH$5&lt;=$L62),IF(NETWORKDAYS($K62,CH$5,休日)=1,"○",IF(NETWORKDAYS(CH$5,$L62,休日)=1,"▶","→")),"")))</f>
        <v/>
      </c>
      <c r="CI62" s="116">
        <f>IF(OR($K62="",$L62=""),"",IF(NETWORKDAYS(CI$5,CI$5,休日)=0,"",IF(AND(CI$5&gt;=$K62,CI$5&lt;=$L62),IF(NETWORKDAYS($K62,CI$5,休日)=1,"○",IF(NETWORKDAYS(CI$5,$L62,休日)=1,"▶","→")),"")))</f>
        <v/>
      </c>
      <c r="CJ62" s="116">
        <f>IF(OR($K62="",$L62=""),"",IF(NETWORKDAYS(CJ$5,CJ$5,休日)=0,"",IF(AND(CJ$5&gt;=$K62,CJ$5&lt;=$L62),IF(NETWORKDAYS($K62,CJ$5,休日)=1,"○",IF(NETWORKDAYS(CJ$5,$L62,休日)=1,"▶","→")),"")))</f>
        <v/>
      </c>
      <c r="CK62" s="116">
        <f>IF(OR($K62="",$L62=""),"",IF(NETWORKDAYS(CK$5,CK$5,休日)=0,"",IF(AND(CK$5&gt;=$K62,CK$5&lt;=$L62),IF(NETWORKDAYS($K62,CK$5,休日)=1,"○",IF(NETWORKDAYS(CK$5,$L62,休日)=1,"▶","→")),"")))</f>
        <v/>
      </c>
      <c r="CL62" s="116">
        <f>IF(OR($K62="",$L62=""),"",IF(NETWORKDAYS(CL$5,CL$5,休日)=0,"",IF(AND(CL$5&gt;=$K62,CL$5&lt;=$L62),IF(NETWORKDAYS($K62,CL$5,休日)=1,"○",IF(NETWORKDAYS(CL$5,$L62,休日)=1,"▶","→")),"")))</f>
        <v/>
      </c>
      <c r="CM62" s="116">
        <f>IF(OR($K62="",$L62=""),"",IF(NETWORKDAYS(CM$5,CM$5,休日)=0,"",IF(AND(CM$5&gt;=$K62,CM$5&lt;=$L62),IF(NETWORKDAYS($K62,CM$5,休日)=1,"○",IF(NETWORKDAYS(CM$5,$L62,休日)=1,"▶","→")),"")))</f>
        <v/>
      </c>
      <c r="CN62" s="116">
        <f>IF(OR($K62="",$L62=""),"",IF(NETWORKDAYS(CN$5,CN$5,休日)=0,"",IF(AND(CN$5&gt;=$K62,CN$5&lt;=$L62),IF(NETWORKDAYS($K62,CN$5,休日)=1,"○",IF(NETWORKDAYS(CN$5,$L62,休日)=1,"▶","→")),"")))</f>
        <v/>
      </c>
      <c r="CO62" s="116">
        <f>IF(OR($K62="",$L62=""),"",IF(NETWORKDAYS(CO$5,CO$5,休日)=0,"",IF(AND(CO$5&gt;=$K62,CO$5&lt;=$L62),IF(NETWORKDAYS($K62,CO$5,休日)=1,"○",IF(NETWORKDAYS(CO$5,$L62,休日)=1,"▶","→")),"")))</f>
        <v/>
      </c>
    </row>
    <row r="63" ht="18.75" customHeight="1" s="98">
      <c r="A63" s="5" t="n"/>
      <c r="B63" s="59" t="n"/>
      <c r="C63" s="44" t="n"/>
      <c r="D63" s="59" t="n"/>
      <c r="E63" s="88" t="n"/>
      <c r="F63" s="66" t="n"/>
      <c r="G63" s="44" t="n"/>
      <c r="H63" s="44" t="n"/>
      <c r="I63" s="45" t="n"/>
      <c r="J63" s="59" t="n"/>
      <c r="K63" s="47" t="n"/>
      <c r="L63" s="47" t="n"/>
      <c r="M63" s="47" t="n"/>
      <c r="N63" s="47" t="n"/>
      <c r="O63" s="44" t="n"/>
      <c r="P63" s="62" t="n"/>
      <c r="Q63" s="44" t="n"/>
      <c r="R63" s="66" t="n"/>
      <c r="S63" s="61" t="n"/>
      <c r="T63" s="61" t="n"/>
      <c r="U63" s="61" t="n"/>
      <c r="V63" s="61" t="n"/>
      <c r="W63" s="61" t="n"/>
      <c r="X63" s="61" t="n"/>
      <c r="Y63" s="61" t="n"/>
      <c r="Z63" s="61" t="n"/>
      <c r="AA63" s="61" t="n"/>
      <c r="AB63" s="61" t="n"/>
      <c r="AC63" s="61" t="n"/>
      <c r="AD63" s="61" t="n"/>
      <c r="AE63" s="61" t="n"/>
      <c r="AF63" s="61" t="n"/>
      <c r="AG63" s="61" t="n"/>
      <c r="AH63" s="61" t="n"/>
      <c r="AI63" s="61" t="n"/>
      <c r="AJ63" s="61" t="n"/>
      <c r="AK63" s="61" t="n"/>
      <c r="AL63" s="61" t="n"/>
      <c r="AM63" s="61" t="n"/>
      <c r="AN63" s="61" t="n"/>
      <c r="AO63" s="61" t="n"/>
      <c r="AP63" s="61" t="n"/>
      <c r="AQ63" s="61" t="n"/>
      <c r="AR63" s="61" t="n"/>
      <c r="AS63" s="61" t="n"/>
      <c r="AT63" s="61" t="n"/>
      <c r="AU63" s="61" t="n"/>
      <c r="AV63" s="61" t="n"/>
      <c r="AW63" s="61" t="n"/>
      <c r="AX63" s="61" t="n"/>
      <c r="AY63" s="61" t="n"/>
      <c r="AZ63" s="61" t="n"/>
      <c r="BA63" s="61" t="n"/>
      <c r="BB63" s="61" t="n"/>
      <c r="BC63" s="61" t="n"/>
      <c r="BD63" s="61" t="n"/>
      <c r="BE63" s="61" t="n"/>
      <c r="BF63" s="61" t="n"/>
      <c r="BG63" s="61" t="n"/>
      <c r="BH63" s="61" t="n"/>
      <c r="BI63" s="61" t="n"/>
      <c r="BJ63" s="61" t="n"/>
      <c r="BK63" s="61" t="n"/>
      <c r="BL63" s="61" t="n"/>
      <c r="BM63" s="61" t="n"/>
      <c r="BN63" s="61" t="n"/>
      <c r="BO63" s="61" t="n"/>
      <c r="BP63" s="61" t="n"/>
      <c r="BQ63" s="61" t="n"/>
      <c r="BR63" s="61" t="n"/>
      <c r="BS63" s="61" t="n"/>
      <c r="BT63" s="61" t="n"/>
      <c r="BU63" s="61" t="n"/>
      <c r="BV63" s="61" t="n"/>
      <c r="BW63" s="61" t="n"/>
      <c r="BX63" s="61" t="n"/>
      <c r="BY63" s="61" t="n"/>
      <c r="BZ63" s="61" t="n"/>
      <c r="CA63" s="61" t="n"/>
      <c r="CB63" s="61" t="n"/>
      <c r="CC63" s="61" t="n"/>
      <c r="CD63" s="61" t="n"/>
      <c r="CE63" s="61" t="n"/>
      <c r="CF63" s="61" t="n"/>
      <c r="CG63" s="61" t="n"/>
      <c r="CH63" s="61" t="n"/>
    </row>
    <row r="64" ht="13.5" customHeight="1" s="98">
      <c r="A64" s="5" t="n"/>
      <c r="B64" s="130" t="inlineStr">
        <is>
          <t>■ タイムラインは K列・L列の日付から自動計算されます。開始予定・終了予定を変えると、バーの位置が動きます。</t>
        </is>
      </c>
      <c r="C64" s="44" t="n"/>
      <c r="D64" s="59" t="n"/>
      <c r="E64" s="88" t="n"/>
      <c r="F64" s="66" t="n"/>
      <c r="G64" s="44" t="n"/>
      <c r="H64" s="44" t="n"/>
      <c r="I64" s="45" t="n"/>
      <c r="J64" s="59" t="n"/>
      <c r="K64" s="47" t="n"/>
      <c r="L64" s="47" t="n"/>
      <c r="M64" s="47" t="n"/>
      <c r="N64" s="47" t="n"/>
      <c r="O64" s="67" t="n"/>
      <c r="P64" s="62" t="n"/>
      <c r="Q64" s="44" t="n"/>
      <c r="R64" s="66" t="n"/>
      <c r="S64" s="61" t="n"/>
      <c r="T64" s="61" t="n"/>
      <c r="U64" s="61" t="n"/>
      <c r="V64" s="61" t="n"/>
      <c r="W64" s="61" t="n"/>
      <c r="X64" s="61" t="n"/>
      <c r="Y64" s="61" t="n"/>
      <c r="Z64" s="61" t="n"/>
      <c r="AA64" s="61" t="n"/>
      <c r="AB64" s="61" t="n"/>
      <c r="AC64" s="61" t="n"/>
      <c r="AD64" s="61" t="n"/>
      <c r="AE64" s="61" t="n"/>
      <c r="AF64" s="61" t="n"/>
      <c r="AG64" s="61" t="n"/>
      <c r="AH64" s="61" t="n"/>
      <c r="AI64" s="61" t="n"/>
      <c r="AJ64" s="61" t="n"/>
      <c r="AK64" s="61" t="n"/>
      <c r="AL64" s="61" t="n"/>
      <c r="AM64" s="61" t="n"/>
      <c r="AN64" s="61" t="n"/>
      <c r="AO64" s="61" t="n"/>
      <c r="AP64" s="61" t="n"/>
      <c r="AQ64" s="61" t="n"/>
      <c r="AR64" s="61" t="n"/>
      <c r="AS64" s="61" t="n"/>
      <c r="AT64" s="61" t="n"/>
      <c r="AU64" s="61" t="n"/>
      <c r="AV64" s="61" t="n"/>
      <c r="AW64" s="61" t="n"/>
      <c r="AX64" s="61" t="n"/>
      <c r="AY64" s="61" t="n"/>
      <c r="AZ64" s="61" t="n"/>
      <c r="BA64" s="61" t="n"/>
      <c r="BB64" s="61" t="n"/>
      <c r="BC64" s="61" t="n"/>
      <c r="BD64" s="61" t="n"/>
      <c r="BE64" s="61" t="n"/>
      <c r="BF64" s="61" t="n"/>
      <c r="BG64" s="61" t="n"/>
      <c r="BH64" s="61" t="n"/>
      <c r="BI64" s="61" t="n"/>
      <c r="BJ64" s="61" t="n"/>
      <c r="BK64" s="61" t="n"/>
      <c r="BL64" s="61" t="n"/>
      <c r="BM64" s="61" t="n"/>
      <c r="BN64" s="61" t="n"/>
      <c r="BO64" s="61" t="n"/>
      <c r="BP64" s="61" t="n"/>
      <c r="BQ64" s="61" t="n"/>
      <c r="BR64" s="61" t="n"/>
      <c r="BS64" s="61" t="n"/>
      <c r="BT64" s="61" t="n"/>
      <c r="BU64" s="61" t="n"/>
      <c r="BV64" s="61" t="n"/>
      <c r="BW64" s="61" t="n"/>
      <c r="BX64" s="61" t="n"/>
      <c r="BY64" s="61" t="n"/>
      <c r="BZ64" s="61" t="n"/>
      <c r="CA64" s="61" t="n"/>
      <c r="CB64" s="61" t="n"/>
      <c r="CC64" s="61" t="n"/>
      <c r="CD64" s="61" t="n"/>
      <c r="CE64" s="61" t="n"/>
      <c r="CF64" s="61" t="n"/>
      <c r="CG64" s="61" t="n"/>
      <c r="CH64" s="61" t="n"/>
    </row>
    <row r="65" ht="13.5" customHeight="1" s="98">
      <c r="A65" s="5" t="n"/>
      <c r="B65" s="130" t="inlineStr">
        <is>
          <t>■ 記号（計画）　○＝開始日　→＝作業中　▶＝終了日　／　土日・非稼働日は飛ばして表示します。</t>
        </is>
      </c>
      <c r="C65" s="44" t="n"/>
      <c r="D65" s="59" t="n"/>
      <c r="E65" s="88" t="n"/>
      <c r="F65" s="66" t="n"/>
      <c r="G65" s="44" t="n"/>
      <c r="H65" s="44" t="n"/>
      <c r="I65" s="45" t="n"/>
      <c r="J65" s="59" t="n"/>
      <c r="K65" s="47" t="n"/>
      <c r="L65" s="47" t="n"/>
      <c r="M65" s="47" t="n"/>
      <c r="N65" s="47" t="n"/>
      <c r="O65" s="44" t="n"/>
      <c r="P65" s="62" t="n"/>
      <c r="Q65" s="44" t="n"/>
      <c r="R65" s="66" t="n"/>
      <c r="S65" s="61" t="n"/>
      <c r="T65" s="61" t="n"/>
      <c r="U65" s="61" t="n"/>
      <c r="V65" s="61" t="n"/>
      <c r="W65" s="61" t="n"/>
      <c r="X65" s="61" t="n"/>
      <c r="Y65" s="61" t="n"/>
      <c r="Z65" s="61" t="n"/>
      <c r="AA65" s="61" t="n"/>
      <c r="AB65" s="61" t="n"/>
      <c r="AC65" s="61" t="n"/>
      <c r="AD65" s="61" t="n"/>
      <c r="AE65" s="61" t="n"/>
      <c r="AF65" s="61" t="n"/>
      <c r="AG65" s="61" t="n"/>
      <c r="AH65" s="61" t="n"/>
      <c r="AI65" s="61" t="n"/>
      <c r="AJ65" s="61" t="n"/>
      <c r="AK65" s="61" t="n"/>
      <c r="AL65" s="61" t="n"/>
      <c r="AM65" s="61" t="n"/>
      <c r="AN65" s="61" t="n"/>
      <c r="AO65" s="61" t="n"/>
      <c r="AP65" s="61" t="n"/>
      <c r="AQ65" s="61" t="n"/>
      <c r="AR65" s="61" t="n"/>
      <c r="AS65" s="61" t="n"/>
      <c r="AT65" s="61" t="n"/>
      <c r="AU65" s="61" t="n"/>
      <c r="AV65" s="61" t="n"/>
      <c r="AW65" s="61" t="n"/>
      <c r="AX65" s="61" t="n"/>
      <c r="AY65" s="61" t="n"/>
      <c r="AZ65" s="61" t="n"/>
      <c r="BA65" s="61" t="n"/>
      <c r="BB65" s="61" t="n"/>
      <c r="BC65" s="61" t="n"/>
      <c r="BD65" s="61" t="n"/>
      <c r="BE65" s="61" t="n"/>
      <c r="BF65" s="61" t="n"/>
      <c r="BG65" s="61" t="n"/>
      <c r="BH65" s="61" t="n"/>
      <c r="BI65" s="61" t="n"/>
      <c r="BJ65" s="61" t="n"/>
      <c r="BK65" s="61" t="n"/>
      <c r="BL65" s="61" t="n"/>
      <c r="BM65" s="61" t="n"/>
      <c r="BN65" s="61" t="n"/>
      <c r="BO65" s="61" t="n"/>
      <c r="BP65" s="61" t="n"/>
      <c r="BQ65" s="61" t="n"/>
      <c r="BR65" s="61" t="n"/>
      <c r="BS65" s="61" t="n"/>
      <c r="BT65" s="61" t="n"/>
      <c r="BU65" s="61" t="n"/>
      <c r="BV65" s="61" t="n"/>
      <c r="BW65" s="61" t="n"/>
      <c r="BX65" s="61" t="n"/>
      <c r="BY65" s="61" t="n"/>
      <c r="BZ65" s="61" t="n"/>
      <c r="CA65" s="61" t="n"/>
      <c r="CB65" s="61" t="n"/>
      <c r="CC65" s="61" t="n"/>
      <c r="CD65" s="61" t="n"/>
      <c r="CE65" s="61" t="n"/>
      <c r="CF65" s="61" t="n"/>
      <c r="CG65" s="61" t="n"/>
      <c r="CH65" s="61" t="n"/>
    </row>
    <row r="66" ht="13.5" customHeight="1" s="98">
      <c r="A66" s="5" t="n"/>
      <c r="B66" s="130" t="inlineStr">
        <is>
          <t>■ 背景色の凡例（模版どおり）　青＝詳細設計　緑＝開発　橙＝単体テスト　紫＝環境構築　灰＝PJ管理・非稼働日。本ファイルのセル色は模版の出力に合わせて、本日の日付だけをオレンジにしています。</t>
        </is>
      </c>
      <c r="C66" s="44" t="n"/>
      <c r="D66" s="59" t="n"/>
      <c r="E66" s="88" t="n"/>
      <c r="F66" s="66" t="n"/>
      <c r="G66" s="59" t="n"/>
      <c r="H66" s="44" t="n"/>
      <c r="I66" s="45" t="n"/>
      <c r="J66" s="59" t="n"/>
      <c r="K66" s="47" t="n"/>
      <c r="L66" s="47" t="n"/>
      <c r="M66" s="47" t="n"/>
      <c r="N66" s="47" t="n"/>
      <c r="O66" s="44" t="n"/>
      <c r="P66" s="62" t="n"/>
      <c r="Q66" s="59" t="n"/>
      <c r="R66" s="66" t="n"/>
      <c r="S66" s="61" t="n"/>
      <c r="T66" s="61" t="n"/>
      <c r="U66" s="61" t="n"/>
      <c r="V66" s="61" t="n"/>
      <c r="W66" s="61" t="n"/>
      <c r="X66" s="61" t="n"/>
      <c r="Y66" s="61" t="n"/>
      <c r="Z66" s="61" t="n"/>
      <c r="AA66" s="61" t="n"/>
      <c r="AB66" s="61" t="n"/>
      <c r="AC66" s="61" t="n"/>
      <c r="AD66" s="61" t="n"/>
      <c r="AE66" s="61" t="n"/>
      <c r="AF66" s="61" t="n"/>
      <c r="AG66" s="61" t="n"/>
      <c r="AH66" s="61" t="n"/>
      <c r="AI66" s="61" t="n"/>
      <c r="AJ66" s="61" t="n"/>
      <c r="AK66" s="61" t="n"/>
      <c r="AL66" s="61" t="n"/>
      <c r="AM66" s="61" t="n"/>
      <c r="AN66" s="61" t="n"/>
      <c r="AO66" s="61" t="n"/>
      <c r="AP66" s="61" t="n"/>
      <c r="AQ66" s="61" t="n"/>
      <c r="AR66" s="61" t="n"/>
      <c r="AS66" s="61" t="n"/>
      <c r="AT66" s="61" t="n"/>
      <c r="AU66" s="61" t="n"/>
      <c r="AV66" s="61" t="n"/>
      <c r="AW66" s="61" t="n"/>
      <c r="AX66" s="61" t="n"/>
      <c r="AY66" s="61" t="n"/>
      <c r="AZ66" s="61" t="n"/>
      <c r="BA66" s="61" t="n"/>
      <c r="BB66" s="61" t="n"/>
      <c r="BC66" s="61" t="n"/>
      <c r="BD66" s="61" t="n"/>
      <c r="BE66" s="61" t="n"/>
      <c r="BF66" s="61" t="n"/>
      <c r="BG66" s="61" t="n"/>
      <c r="BH66" s="61" t="n"/>
      <c r="BI66" s="61" t="n"/>
      <c r="BJ66" s="61" t="n"/>
      <c r="BK66" s="61" t="n"/>
      <c r="BL66" s="61" t="n"/>
      <c r="BM66" s="61" t="n"/>
      <c r="BN66" s="61" t="n"/>
      <c r="BO66" s="61" t="n"/>
      <c r="BP66" s="61" t="n"/>
      <c r="BQ66" s="61" t="n"/>
      <c r="BR66" s="61" t="n"/>
      <c r="BS66" s="61" t="n"/>
      <c r="BT66" s="61" t="n"/>
      <c r="BU66" s="61" t="n"/>
      <c r="BV66" s="61" t="n"/>
      <c r="BW66" s="61" t="n"/>
      <c r="BX66" s="61" t="n"/>
      <c r="BY66" s="61" t="n"/>
      <c r="BZ66" s="61" t="n"/>
      <c r="CA66" s="61" t="n"/>
      <c r="CB66" s="61" t="n"/>
      <c r="CC66" s="61" t="n"/>
      <c r="CD66" s="61" t="n"/>
      <c r="CE66" s="61" t="n"/>
      <c r="CF66" s="61" t="n"/>
      <c r="CG66" s="61" t="n"/>
      <c r="CH66" s="61" t="n"/>
    </row>
    <row r="67" ht="13.5" customHeight="1" s="98">
      <c r="A67" s="5" t="n"/>
      <c r="B67" s="130" t="inlineStr">
        <is>
          <t>■ 非稼働日は「_設定」シートです。10/12スポーツの日、11/3文化の日、11/23勤労感謝の日。土日は関数が除外します。</t>
        </is>
      </c>
      <c r="C67" s="44" t="n"/>
      <c r="D67" s="59" t="n"/>
      <c r="E67" s="88" t="n"/>
      <c r="F67" s="66" t="n"/>
      <c r="G67" s="44" t="n"/>
      <c r="H67" s="44" t="n"/>
      <c r="I67" s="45" t="n"/>
      <c r="J67" s="59" t="n"/>
      <c r="K67" s="47" t="n"/>
      <c r="L67" s="47" t="n"/>
      <c r="M67" s="47" t="n"/>
      <c r="N67" s="47" t="n"/>
      <c r="O67" s="44" t="n"/>
      <c r="P67" s="62" t="n"/>
      <c r="Q67" s="44" t="n"/>
      <c r="R67" s="66" t="n"/>
      <c r="S67" s="61" t="n"/>
      <c r="T67" s="61" t="n"/>
      <c r="U67" s="61" t="n"/>
      <c r="V67" s="61" t="n"/>
      <c r="W67" s="61" t="n"/>
      <c r="X67" s="61" t="n"/>
      <c r="Y67" s="61" t="n"/>
      <c r="Z67" s="61" t="n"/>
      <c r="AA67" s="61" t="n"/>
      <c r="AB67" s="61" t="n"/>
      <c r="AC67" s="61" t="n"/>
      <c r="AD67" s="61" t="n"/>
      <c r="AE67" s="61" t="n"/>
      <c r="AF67" s="61" t="n"/>
      <c r="AG67" s="61" t="n"/>
      <c r="AH67" s="61" t="n"/>
      <c r="AI67" s="61" t="n"/>
      <c r="AJ67" s="61" t="n"/>
      <c r="AK67" s="61" t="n"/>
      <c r="AL67" s="61" t="n"/>
      <c r="AM67" s="61" t="n"/>
      <c r="AN67" s="61" t="n"/>
      <c r="AO67" s="61" t="n"/>
      <c r="AP67" s="61" t="n"/>
      <c r="AQ67" s="61" t="n"/>
      <c r="AR67" s="61" t="n"/>
      <c r="AS67" s="61" t="n"/>
      <c r="AT67" s="61" t="n"/>
      <c r="AU67" s="61" t="n"/>
      <c r="AV67" s="61" t="n"/>
      <c r="AW67" s="61" t="n"/>
      <c r="AX67" s="61" t="n"/>
      <c r="AY67" s="61" t="n"/>
      <c r="AZ67" s="61" t="n"/>
      <c r="BA67" s="61" t="n"/>
      <c r="BB67" s="61" t="n"/>
      <c r="BC67" s="61" t="n"/>
      <c r="BD67" s="61" t="n"/>
      <c r="BE67" s="61" t="n"/>
      <c r="BF67" s="61" t="n"/>
      <c r="BG67" s="61" t="n"/>
      <c r="BH67" s="61" t="n"/>
      <c r="BI67" s="61" t="n"/>
      <c r="BJ67" s="61" t="n"/>
      <c r="BK67" s="61" t="n"/>
      <c r="BL67" s="61" t="n"/>
      <c r="BM67" s="61" t="n"/>
      <c r="BN67" s="61" t="n"/>
      <c r="BO67" s="61" t="n"/>
      <c r="BP67" s="61" t="n"/>
      <c r="BQ67" s="61" t="n"/>
      <c r="BR67" s="61" t="n"/>
      <c r="BS67" s="61" t="n"/>
      <c r="BT67" s="61" t="n"/>
      <c r="BU67" s="61" t="n"/>
      <c r="BV67" s="61" t="n"/>
      <c r="BW67" s="61" t="n"/>
      <c r="BX67" s="61" t="n"/>
      <c r="BY67" s="61" t="n"/>
      <c r="BZ67" s="61" t="n"/>
      <c r="CA67" s="61" t="n"/>
      <c r="CB67" s="61" t="n"/>
      <c r="CC67" s="61" t="n"/>
      <c r="CD67" s="61" t="n"/>
      <c r="CE67" s="61" t="n"/>
      <c r="CF67" s="61" t="n"/>
      <c r="CG67" s="61" t="n"/>
      <c r="CH67" s="61" t="n"/>
    </row>
    <row r="68" ht="13.5" customHeight="1" s="98">
      <c r="A68" s="5" t="n"/>
      <c r="B68" s="130" t="inlineStr">
        <is>
          <t>■ 対象は生鮮IF増分の標準案です。Sinops・BOの作業行、共通基盤の二重構築、倉庫系の本体IFは載せていません。</t>
        </is>
      </c>
      <c r="C68" s="44" t="n"/>
      <c r="D68" s="59" t="n"/>
      <c r="E68" s="88" t="n"/>
      <c r="F68" s="66" t="n"/>
      <c r="G68" s="44" t="n"/>
      <c r="H68" s="44" t="n"/>
      <c r="I68" s="45" t="n"/>
      <c r="J68" s="59" t="n"/>
      <c r="K68" s="47" t="n"/>
      <c r="L68" s="47" t="n"/>
      <c r="M68" s="47" t="n"/>
      <c r="N68" s="47" t="n"/>
      <c r="O68" s="44" t="n"/>
      <c r="P68" s="62" t="n"/>
      <c r="Q68" s="44" t="n"/>
      <c r="R68" s="66" t="n"/>
      <c r="S68" s="61" t="n"/>
      <c r="T68" s="61" t="n"/>
      <c r="U68" s="61" t="n"/>
      <c r="V68" s="61" t="n"/>
      <c r="W68" s="61" t="n"/>
      <c r="X68" s="61" t="n"/>
      <c r="Y68" s="61" t="n"/>
      <c r="Z68" s="61" t="n"/>
      <c r="AA68" s="61" t="n"/>
      <c r="AB68" s="61" t="n"/>
      <c r="AC68" s="61" t="n"/>
      <c r="AD68" s="61" t="n"/>
      <c r="AE68" s="61" t="n"/>
      <c r="AF68" s="61" t="n"/>
      <c r="AG68" s="61" t="n"/>
      <c r="AH68" s="61" t="n"/>
      <c r="AI68" s="61" t="n"/>
      <c r="AJ68" s="61" t="n"/>
      <c r="AK68" s="61" t="n"/>
      <c r="AL68" s="61" t="n"/>
      <c r="AM68" s="61" t="n"/>
      <c r="AN68" s="61" t="n"/>
      <c r="AO68" s="61" t="n"/>
      <c r="AP68" s="61" t="n"/>
      <c r="AQ68" s="61" t="n"/>
      <c r="AR68" s="61" t="n"/>
      <c r="AS68" s="61" t="n"/>
      <c r="AT68" s="61" t="n"/>
      <c r="AU68" s="61" t="n"/>
      <c r="AV68" s="61" t="n"/>
      <c r="AW68" s="61" t="n"/>
      <c r="AX68" s="61" t="n"/>
      <c r="AY68" s="61" t="n"/>
      <c r="AZ68" s="61" t="n"/>
      <c r="BA68" s="61" t="n"/>
      <c r="BB68" s="61" t="n"/>
      <c r="BC68" s="61" t="n"/>
      <c r="BD68" s="61" t="n"/>
      <c r="BE68" s="61" t="n"/>
      <c r="BF68" s="61" t="n"/>
      <c r="BG68" s="61" t="n"/>
      <c r="BH68" s="61" t="n"/>
      <c r="BI68" s="61" t="n"/>
      <c r="BJ68" s="61" t="n"/>
      <c r="BK68" s="61" t="n"/>
      <c r="BL68" s="61" t="n"/>
      <c r="BM68" s="61" t="n"/>
      <c r="BN68" s="61" t="n"/>
      <c r="BO68" s="61" t="n"/>
      <c r="BP68" s="61" t="n"/>
      <c r="BQ68" s="61" t="n"/>
      <c r="BR68" s="61" t="n"/>
      <c r="BS68" s="61" t="n"/>
      <c r="BT68" s="61" t="n"/>
      <c r="BU68" s="61" t="n"/>
      <c r="BV68" s="61" t="n"/>
      <c r="BW68" s="61" t="n"/>
      <c r="BX68" s="61" t="n"/>
      <c r="BY68" s="61" t="n"/>
      <c r="BZ68" s="61" t="n"/>
      <c r="CA68" s="61" t="n"/>
      <c r="CB68" s="61" t="n"/>
      <c r="CC68" s="61" t="n"/>
      <c r="CD68" s="61" t="n"/>
      <c r="CE68" s="61" t="n"/>
      <c r="CF68" s="61" t="n"/>
      <c r="CG68" s="61" t="n"/>
      <c r="CH68" s="61" t="n"/>
    </row>
    <row r="69" ht="13.5" customHeight="1" s="98">
      <c r="A69" s="5" t="n"/>
      <c r="B69" s="130" t="inlineStr">
        <is>
          <t>■ 開発・単体の担当は未定。開発の終了予定 12/18 は概算日程の「前後」であり、IFごとの終了日は未定です。</t>
        </is>
      </c>
      <c r="C69" s="44" t="n"/>
      <c r="D69" s="59" t="n"/>
      <c r="E69" s="88" t="n"/>
      <c r="F69" s="66" t="n"/>
      <c r="G69" s="44" t="n"/>
      <c r="H69" s="44" t="n"/>
      <c r="I69" s="45" t="n"/>
      <c r="J69" s="59" t="n"/>
      <c r="K69" s="47" t="n"/>
      <c r="L69" s="47" t="n"/>
      <c r="M69" s="47" t="n"/>
      <c r="N69" s="47" t="n"/>
      <c r="O69" s="44" t="n"/>
      <c r="P69" s="62" t="n"/>
      <c r="Q69" s="44" t="n"/>
      <c r="R69" s="66" t="n"/>
      <c r="S69" s="61" t="n"/>
      <c r="T69" s="61" t="n"/>
      <c r="U69" s="61" t="n"/>
      <c r="V69" s="61" t="n"/>
      <c r="W69" s="61" t="n"/>
      <c r="X69" s="61" t="n"/>
      <c r="Y69" s="61" t="n"/>
      <c r="Z69" s="61" t="n"/>
      <c r="AA69" s="61" t="n"/>
      <c r="AB69" s="61" t="n"/>
      <c r="AC69" s="61" t="n"/>
      <c r="AD69" s="61" t="n"/>
      <c r="AE69" s="61" t="n"/>
      <c r="AF69" s="61" t="n"/>
      <c r="AG69" s="61" t="n"/>
      <c r="AH69" s="61" t="n"/>
      <c r="AI69" s="61" t="n"/>
      <c r="AJ69" s="61" t="n"/>
      <c r="AK69" s="61" t="n"/>
      <c r="AL69" s="61" t="n"/>
      <c r="AM69" s="61" t="n"/>
      <c r="AN69" s="61" t="n"/>
      <c r="AO69" s="61" t="n"/>
      <c r="AP69" s="61" t="n"/>
      <c r="AQ69" s="61" t="n"/>
      <c r="AR69" s="61" t="n"/>
      <c r="AS69" s="61" t="n"/>
      <c r="AT69" s="61" t="n"/>
      <c r="AU69" s="61" t="n"/>
      <c r="AV69" s="61" t="n"/>
      <c r="AW69" s="61" t="n"/>
      <c r="AX69" s="61" t="n"/>
      <c r="AY69" s="61" t="n"/>
      <c r="AZ69" s="61" t="n"/>
      <c r="BA69" s="61" t="n"/>
      <c r="BB69" s="61" t="n"/>
      <c r="BC69" s="61" t="n"/>
      <c r="BD69" s="61" t="n"/>
      <c r="BE69" s="61" t="n"/>
      <c r="BF69" s="61" t="n"/>
      <c r="BG69" s="61" t="n"/>
      <c r="BH69" s="61" t="n"/>
      <c r="BI69" s="61" t="n"/>
      <c r="BJ69" s="61" t="n"/>
      <c r="BK69" s="61" t="n"/>
      <c r="BL69" s="61" t="n"/>
      <c r="BM69" s="61" t="n"/>
      <c r="BN69" s="61" t="n"/>
      <c r="BO69" s="61" t="n"/>
      <c r="BP69" s="61" t="n"/>
      <c r="BQ69" s="61" t="n"/>
      <c r="BR69" s="61" t="n"/>
      <c r="BS69" s="61" t="n"/>
      <c r="BT69" s="61" t="n"/>
      <c r="BU69" s="61" t="n"/>
      <c r="BV69" s="61" t="n"/>
      <c r="BW69" s="61" t="n"/>
      <c r="BX69" s="61" t="n"/>
      <c r="BY69" s="61" t="n"/>
      <c r="BZ69" s="61" t="n"/>
      <c r="CA69" s="61" t="n"/>
      <c r="CB69" s="61" t="n"/>
      <c r="CC69" s="61" t="n"/>
      <c r="CD69" s="61" t="n"/>
      <c r="CE69" s="61" t="n"/>
      <c r="CF69" s="61" t="n"/>
      <c r="CG69" s="61" t="n"/>
      <c r="CH69" s="61" t="n"/>
    </row>
    <row r="70" ht="13.5" customHeight="1" s="98">
      <c r="A70" s="5" t="n"/>
      <c r="B70" s="130" t="inlineStr">
        <is>
          <t>■ 単体テストの 12/7–12/25 は塊の期間です。IFごとの日付は出典で分割されていません。</t>
        </is>
      </c>
      <c r="C70" s="44" t="n"/>
      <c r="D70" s="59" t="n"/>
      <c r="E70" s="88" t="n"/>
      <c r="F70" s="66" t="n"/>
      <c r="G70" s="44" t="n"/>
      <c r="H70" s="44" t="n"/>
      <c r="I70" s="45" t="n"/>
      <c r="J70" s="59" t="n"/>
      <c r="K70" s="47" t="n"/>
      <c r="L70" s="47" t="n"/>
      <c r="M70" s="47" t="n"/>
      <c r="N70" s="47" t="n"/>
      <c r="O70" s="44" t="n"/>
      <c r="P70" s="62" t="n"/>
      <c r="Q70" s="44" t="n"/>
      <c r="R70" s="66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1" t="n"/>
      <c r="BL70" s="61" t="n"/>
      <c r="BM70" s="61" t="n"/>
      <c r="BN70" s="61" t="n"/>
      <c r="BO70" s="61" t="n"/>
      <c r="BP70" s="61" t="n"/>
      <c r="BQ70" s="61" t="n"/>
      <c r="BR70" s="61" t="n"/>
      <c r="BS70" s="61" t="n"/>
      <c r="BT70" s="61" t="n"/>
      <c r="BU70" s="61" t="n"/>
      <c r="BV70" s="61" t="n"/>
      <c r="BW70" s="61" t="n"/>
      <c r="BX70" s="61" t="n"/>
      <c r="BY70" s="61" t="n"/>
      <c r="BZ70" s="61" t="n"/>
      <c r="CA70" s="61" t="n"/>
      <c r="CB70" s="61" t="n"/>
      <c r="CC70" s="61" t="n"/>
      <c r="CD70" s="61" t="n"/>
      <c r="CE70" s="61" t="n"/>
      <c r="CF70" s="61" t="n"/>
      <c r="CG70" s="61" t="n"/>
      <c r="CH70" s="61" t="n"/>
    </row>
    <row r="71" ht="13.5" customHeight="1" s="98">
      <c r="A71" s="5" t="n"/>
      <c r="B71" s="130" t="inlineStr">
        <is>
          <t>■ Layer①とLayer③は、出典の日程が分離されていないため同じ期間にしています。Layer②は 0人日です。</t>
        </is>
      </c>
      <c r="C71" s="44" t="n"/>
      <c r="D71" s="59" t="n"/>
      <c r="E71" s="88" t="n"/>
      <c r="F71" s="66" t="n"/>
      <c r="G71" s="44" t="n"/>
      <c r="H71" s="44" t="n"/>
      <c r="I71" s="45" t="n"/>
      <c r="J71" s="59" t="n"/>
      <c r="K71" s="47" t="n"/>
      <c r="L71" s="47" t="n"/>
      <c r="M71" s="47" t="n"/>
      <c r="N71" s="47" t="n"/>
      <c r="O71" s="44" t="n"/>
      <c r="P71" s="62" t="n"/>
      <c r="Q71" s="44" t="n"/>
      <c r="R71" s="66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1" t="n"/>
      <c r="BL71" s="61" t="n"/>
      <c r="BM71" s="61" t="n"/>
      <c r="BN71" s="61" t="n"/>
      <c r="BO71" s="61" t="n"/>
      <c r="BP71" s="61" t="n"/>
      <c r="BQ71" s="61" t="n"/>
      <c r="BR71" s="61" t="n"/>
      <c r="BS71" s="61" t="n"/>
      <c r="BT71" s="61" t="n"/>
      <c r="BU71" s="61" t="n"/>
      <c r="BV71" s="61" t="n"/>
      <c r="BW71" s="61" t="n"/>
      <c r="BX71" s="61" t="n"/>
      <c r="BY71" s="61" t="n"/>
      <c r="BZ71" s="61" t="n"/>
      <c r="CA71" s="61" t="n"/>
      <c r="CB71" s="61" t="n"/>
      <c r="CC71" s="61" t="n"/>
      <c r="CD71" s="61" t="n"/>
      <c r="CE71" s="61" t="n"/>
      <c r="CF71" s="61" t="n"/>
      <c r="CG71" s="61" t="n"/>
      <c r="CH71" s="61" t="n"/>
    </row>
    <row r="72" ht="13.5" customHeight="1" s="98">
      <c r="A72" s="5" t="n"/>
      <c r="B72" s="130" t="inlineStr">
        <is>
          <t>■ IF ID、出典に無いシステム名、出典に無い日付は空欄または「未定」です。見積の仮採番はIF IDとして書いていません。</t>
        </is>
      </c>
      <c r="C72" s="44" t="n"/>
      <c r="D72" s="59" t="n"/>
      <c r="E72" s="88" t="n"/>
      <c r="F72" s="66" t="n"/>
      <c r="G72" s="59" t="n"/>
      <c r="H72" s="44" t="n"/>
      <c r="I72" s="45" t="n"/>
      <c r="J72" s="59" t="n"/>
      <c r="K72" s="47" t="n"/>
      <c r="L72" s="47" t="n"/>
      <c r="M72" s="47" t="n"/>
      <c r="N72" s="47" t="n"/>
      <c r="O72" s="44" t="n"/>
      <c r="P72" s="62" t="n"/>
      <c r="Q72" s="59" t="n"/>
      <c r="R72" s="66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1" t="n"/>
      <c r="BL72" s="61" t="n"/>
      <c r="BM72" s="61" t="n"/>
      <c r="BN72" s="61" t="n"/>
      <c r="BO72" s="61" t="n"/>
      <c r="BP72" s="61" t="n"/>
      <c r="BQ72" s="61" t="n"/>
      <c r="BR72" s="61" t="n"/>
      <c r="BS72" s="61" t="n"/>
      <c r="BT72" s="61" t="n"/>
      <c r="BU72" s="61" t="n"/>
      <c r="BV72" s="61" t="n"/>
      <c r="BW72" s="61" t="n"/>
      <c r="BX72" s="61" t="n"/>
      <c r="BY72" s="61" t="n"/>
      <c r="BZ72" s="61" t="n"/>
      <c r="CA72" s="61" t="n"/>
      <c r="CB72" s="61" t="n"/>
      <c r="CC72" s="61" t="n"/>
      <c r="CD72" s="61" t="n"/>
      <c r="CE72" s="61" t="n"/>
      <c r="CF72" s="61" t="n"/>
      <c r="CG72" s="61" t="n"/>
      <c r="CH72" s="61" t="n"/>
    </row>
    <row r="73" ht="13.5" customHeight="1" s="98">
      <c r="A73" s="5" t="n"/>
      <c r="B73" s="130" t="inlineStr">
        <is>
          <t>■ 工数は標準案 157.5人日（直接 143.5＋PJ管理 14）。12/28以降は置いていません。</t>
        </is>
      </c>
      <c r="C73" s="44" t="n"/>
      <c r="D73" s="59" t="n"/>
      <c r="E73" s="88" t="n"/>
      <c r="F73" s="66" t="n"/>
      <c r="G73" s="59" t="n"/>
      <c r="H73" s="44" t="n"/>
      <c r="I73" s="45" t="n"/>
      <c r="J73" s="59" t="n"/>
      <c r="K73" s="47" t="n"/>
      <c r="L73" s="47" t="n"/>
      <c r="M73" s="47" t="n"/>
      <c r="N73" s="47" t="n"/>
      <c r="O73" s="44" t="n"/>
      <c r="P73" s="62" t="n"/>
      <c r="Q73" s="59" t="n"/>
      <c r="R73" s="66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1" t="n"/>
      <c r="BL73" s="61" t="n"/>
      <c r="BM73" s="61" t="n"/>
      <c r="BN73" s="61" t="n"/>
      <c r="BO73" s="61" t="n"/>
      <c r="BP73" s="61" t="n"/>
      <c r="BQ73" s="61" t="n"/>
      <c r="BR73" s="61" t="n"/>
      <c r="BS73" s="61" t="n"/>
      <c r="BT73" s="61" t="n"/>
      <c r="BU73" s="61" t="n"/>
      <c r="BV73" s="61" t="n"/>
      <c r="BW73" s="61" t="n"/>
      <c r="BX73" s="61" t="n"/>
      <c r="BY73" s="61" t="n"/>
      <c r="BZ73" s="61" t="n"/>
      <c r="CA73" s="61" t="n"/>
      <c r="CB73" s="61" t="n"/>
      <c r="CC73" s="61" t="n"/>
      <c r="CD73" s="61" t="n"/>
      <c r="CE73" s="61" t="n"/>
      <c r="CF73" s="61" t="n"/>
      <c r="CG73" s="61" t="n"/>
      <c r="CH73" s="61" t="n"/>
    </row>
    <row r="74" ht="18.75" customHeight="1" s="98">
      <c r="A74" s="5" t="n"/>
      <c r="B74" s="59" t="n"/>
      <c r="C74" s="44" t="n"/>
      <c r="D74" s="59" t="n"/>
      <c r="E74" s="88" t="n"/>
      <c r="F74" s="66" t="n"/>
      <c r="G74" s="59" t="n"/>
      <c r="H74" s="44" t="n"/>
      <c r="I74" s="45" t="n"/>
      <c r="J74" s="59" t="n"/>
      <c r="K74" s="47" t="n"/>
      <c r="L74" s="47" t="n"/>
      <c r="M74" s="47" t="n"/>
      <c r="N74" s="47" t="n"/>
      <c r="O74" s="44" t="n"/>
      <c r="P74" s="62" t="n"/>
      <c r="Q74" s="59" t="n"/>
      <c r="R74" s="66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1" t="n"/>
      <c r="BL74" s="61" t="n"/>
      <c r="BM74" s="61" t="n"/>
      <c r="BN74" s="61" t="n"/>
      <c r="BO74" s="61" t="n"/>
      <c r="BP74" s="61" t="n"/>
      <c r="BQ74" s="61" t="n"/>
      <c r="BR74" s="61" t="n"/>
      <c r="BS74" s="61" t="n"/>
      <c r="BT74" s="61" t="n"/>
      <c r="BU74" s="61" t="n"/>
      <c r="BV74" s="61" t="n"/>
      <c r="BW74" s="61" t="n"/>
      <c r="BX74" s="61" t="n"/>
      <c r="BY74" s="61" t="n"/>
      <c r="BZ74" s="61" t="n"/>
      <c r="CA74" s="61" t="n"/>
      <c r="CB74" s="61" t="n"/>
      <c r="CC74" s="61" t="n"/>
      <c r="CD74" s="61" t="n"/>
      <c r="CE74" s="61" t="n"/>
      <c r="CF74" s="61" t="n"/>
      <c r="CG74" s="61" t="n"/>
      <c r="CH74" s="61" t="n"/>
    </row>
    <row r="75" ht="18.75" customHeight="1" s="98">
      <c r="A75" s="5" t="n"/>
      <c r="B75" s="59" t="n"/>
      <c r="C75" s="44" t="n"/>
      <c r="D75" s="59" t="n"/>
      <c r="E75" s="88" t="n"/>
      <c r="F75" s="66" t="n"/>
      <c r="G75" s="59" t="n"/>
      <c r="H75" s="44" t="n"/>
      <c r="I75" s="45" t="n"/>
      <c r="J75" s="59" t="n"/>
      <c r="K75" s="47" t="n"/>
      <c r="L75" s="47" t="n"/>
      <c r="M75" s="47" t="n"/>
      <c r="N75" s="47" t="n"/>
      <c r="O75" s="44" t="n"/>
      <c r="P75" s="62" t="n"/>
      <c r="Q75" s="59" t="n"/>
      <c r="R75" s="66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1" t="n"/>
      <c r="BL75" s="61" t="n"/>
      <c r="BM75" s="61" t="n"/>
      <c r="BN75" s="61" t="n"/>
      <c r="BO75" s="61" t="n"/>
      <c r="BP75" s="61" t="n"/>
      <c r="BQ75" s="61" t="n"/>
      <c r="BR75" s="61" t="n"/>
      <c r="BS75" s="61" t="n"/>
      <c r="BT75" s="61" t="n"/>
      <c r="BU75" s="61" t="n"/>
      <c r="BV75" s="61" t="n"/>
      <c r="BW75" s="61" t="n"/>
      <c r="BX75" s="61" t="n"/>
      <c r="BY75" s="61" t="n"/>
      <c r="BZ75" s="61" t="n"/>
      <c r="CA75" s="61" t="n"/>
      <c r="CB75" s="61" t="n"/>
      <c r="CC75" s="61" t="n"/>
      <c r="CD75" s="61" t="n"/>
      <c r="CE75" s="61" t="n"/>
      <c r="CF75" s="61" t="n"/>
      <c r="CG75" s="61" t="n"/>
      <c r="CH75" s="61" t="n"/>
    </row>
    <row r="76" ht="18.75" customHeight="1" s="98">
      <c r="A76" s="5" t="n"/>
      <c r="B76" s="59" t="n"/>
      <c r="C76" s="44" t="n"/>
      <c r="D76" s="59" t="n"/>
      <c r="E76" s="88" t="n"/>
      <c r="F76" s="66" t="n"/>
      <c r="G76" s="59" t="n"/>
      <c r="H76" s="44" t="n"/>
      <c r="I76" s="45" t="n"/>
      <c r="J76" s="59" t="n"/>
      <c r="K76" s="47" t="n"/>
      <c r="L76" s="47" t="n"/>
      <c r="M76" s="47" t="n"/>
      <c r="N76" s="47" t="n"/>
      <c r="O76" s="44" t="n"/>
      <c r="P76" s="62" t="n"/>
      <c r="Q76" s="59" t="n"/>
      <c r="R76" s="66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1" t="n"/>
      <c r="BL76" s="61" t="n"/>
      <c r="BM76" s="61" t="n"/>
      <c r="BN76" s="61" t="n"/>
      <c r="BO76" s="61" t="n"/>
      <c r="BP76" s="61" t="n"/>
      <c r="BQ76" s="61" t="n"/>
      <c r="BR76" s="61" t="n"/>
      <c r="BS76" s="61" t="n"/>
      <c r="BT76" s="61" t="n"/>
      <c r="BU76" s="61" t="n"/>
      <c r="BV76" s="61" t="n"/>
      <c r="BW76" s="61" t="n"/>
      <c r="BX76" s="61" t="n"/>
      <c r="BY76" s="61" t="n"/>
      <c r="BZ76" s="61" t="n"/>
      <c r="CA76" s="61" t="n"/>
      <c r="CB76" s="61" t="n"/>
      <c r="CC76" s="61" t="n"/>
      <c r="CD76" s="61" t="n"/>
      <c r="CE76" s="61" t="n"/>
      <c r="CF76" s="61" t="n"/>
      <c r="CG76" s="61" t="n"/>
      <c r="CH76" s="61" t="n"/>
    </row>
    <row r="77" ht="18.75" customHeight="1" s="98">
      <c r="A77" s="5" t="n"/>
      <c r="B77" s="59" t="n"/>
      <c r="C77" s="44" t="n"/>
      <c r="D77" s="59" t="n"/>
      <c r="E77" s="88" t="n"/>
      <c r="F77" s="66" t="n"/>
      <c r="G77" s="59" t="n"/>
      <c r="H77" s="44" t="n"/>
      <c r="I77" s="45" t="n"/>
      <c r="J77" s="59" t="n"/>
      <c r="K77" s="47" t="n"/>
      <c r="L77" s="47" t="n"/>
      <c r="M77" s="47" t="n"/>
      <c r="N77" s="47" t="n"/>
      <c r="O77" s="44" t="n"/>
      <c r="P77" s="62" t="n"/>
      <c r="Q77" s="59" t="n"/>
      <c r="R77" s="66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1" t="n"/>
      <c r="BL77" s="61" t="n"/>
      <c r="BM77" s="61" t="n"/>
      <c r="BN77" s="61" t="n"/>
      <c r="BO77" s="61" t="n"/>
      <c r="BP77" s="61" t="n"/>
      <c r="BQ77" s="61" t="n"/>
      <c r="BR77" s="61" t="n"/>
      <c r="BS77" s="61" t="n"/>
      <c r="BT77" s="61" t="n"/>
      <c r="BU77" s="61" t="n"/>
      <c r="BV77" s="61" t="n"/>
      <c r="BW77" s="61" t="n"/>
      <c r="BX77" s="61" t="n"/>
      <c r="BY77" s="61" t="n"/>
      <c r="BZ77" s="61" t="n"/>
      <c r="CA77" s="61" t="n"/>
      <c r="CB77" s="61" t="n"/>
      <c r="CC77" s="61" t="n"/>
      <c r="CD77" s="61" t="n"/>
      <c r="CE77" s="61" t="n"/>
      <c r="CF77" s="61" t="n"/>
      <c r="CG77" s="61" t="n"/>
      <c r="CH77" s="61" t="n"/>
    </row>
    <row r="78" ht="18.75" customHeight="1" s="98">
      <c r="A78" s="5" t="n"/>
      <c r="B78" s="59" t="n"/>
      <c r="C78" s="44" t="n"/>
      <c r="D78" s="59" t="n"/>
      <c r="E78" s="88" t="n"/>
      <c r="F78" s="66" t="n"/>
      <c r="G78" s="44" t="n"/>
      <c r="H78" s="44" t="n"/>
      <c r="I78" s="45" t="n"/>
      <c r="J78" s="59" t="n"/>
      <c r="K78" s="47" t="n"/>
      <c r="L78" s="47" t="n"/>
      <c r="M78" s="47" t="n"/>
      <c r="N78" s="47" t="n"/>
      <c r="O78" s="44" t="n"/>
      <c r="P78" s="62" t="n"/>
      <c r="Q78" s="44" t="n"/>
      <c r="R78" s="66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1" t="n"/>
      <c r="BL78" s="61" t="n"/>
      <c r="BM78" s="61" t="n"/>
      <c r="BN78" s="61" t="n"/>
      <c r="BO78" s="61" t="n"/>
      <c r="BP78" s="61" t="n"/>
      <c r="BQ78" s="61" t="n"/>
      <c r="BR78" s="61" t="n"/>
      <c r="BS78" s="61" t="n"/>
      <c r="BT78" s="61" t="n"/>
      <c r="BU78" s="61" t="n"/>
      <c r="BV78" s="61" t="n"/>
      <c r="BW78" s="61" t="n"/>
      <c r="BX78" s="61" t="n"/>
      <c r="BY78" s="61" t="n"/>
      <c r="BZ78" s="61" t="n"/>
      <c r="CA78" s="61" t="n"/>
      <c r="CB78" s="61" t="n"/>
      <c r="CC78" s="61" t="n"/>
      <c r="CD78" s="61" t="n"/>
      <c r="CE78" s="61" t="n"/>
      <c r="CF78" s="61" t="n"/>
      <c r="CG78" s="61" t="n"/>
      <c r="CH78" s="61" t="n"/>
    </row>
    <row r="79" ht="18.75" customHeight="1" s="98">
      <c r="A79" s="5" t="n"/>
      <c r="B79" s="59" t="n"/>
      <c r="C79" s="44" t="n"/>
      <c r="D79" s="59" t="n"/>
      <c r="E79" s="88" t="n"/>
      <c r="F79" s="66" t="n"/>
      <c r="G79" s="44" t="n"/>
      <c r="H79" s="44" t="n"/>
      <c r="I79" s="45" t="n"/>
      <c r="J79" s="59" t="n"/>
      <c r="K79" s="47" t="n"/>
      <c r="L79" s="47" t="n"/>
      <c r="M79" s="47" t="n"/>
      <c r="N79" s="47" t="n"/>
      <c r="O79" s="44" t="n"/>
      <c r="P79" s="62" t="n"/>
      <c r="Q79" s="44" t="n"/>
      <c r="R79" s="66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1" t="n"/>
      <c r="BL79" s="61" t="n"/>
      <c r="BM79" s="61" t="n"/>
      <c r="BN79" s="61" t="n"/>
      <c r="BO79" s="61" t="n"/>
      <c r="BP79" s="61" t="n"/>
      <c r="BQ79" s="61" t="n"/>
      <c r="BR79" s="61" t="n"/>
      <c r="BS79" s="61" t="n"/>
      <c r="BT79" s="61" t="n"/>
      <c r="BU79" s="61" t="n"/>
      <c r="BV79" s="61" t="n"/>
      <c r="BW79" s="61" t="n"/>
      <c r="BX79" s="61" t="n"/>
      <c r="BY79" s="61" t="n"/>
      <c r="BZ79" s="61" t="n"/>
      <c r="CA79" s="61" t="n"/>
      <c r="CB79" s="61" t="n"/>
      <c r="CC79" s="61" t="n"/>
      <c r="CD79" s="61" t="n"/>
      <c r="CE79" s="61" t="n"/>
      <c r="CF79" s="61" t="n"/>
      <c r="CG79" s="61" t="n"/>
      <c r="CH79" s="61" t="n"/>
    </row>
    <row r="80" ht="18.75" customHeight="1" s="98">
      <c r="A80" s="5" t="n"/>
      <c r="B80" s="59" t="n"/>
      <c r="C80" s="44" t="n"/>
      <c r="D80" s="59" t="n"/>
      <c r="E80" s="88" t="n"/>
      <c r="F80" s="66" t="n"/>
      <c r="G80" s="59" t="n"/>
      <c r="H80" s="44" t="n"/>
      <c r="I80" s="45" t="n"/>
      <c r="J80" s="59" t="n"/>
      <c r="K80" s="47" t="n"/>
      <c r="L80" s="47" t="n"/>
      <c r="M80" s="47" t="n"/>
      <c r="N80" s="47" t="n"/>
      <c r="O80" s="44" t="n"/>
      <c r="P80" s="62" t="n"/>
      <c r="Q80" s="59" t="n"/>
      <c r="R80" s="66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1" t="n"/>
      <c r="BL80" s="61" t="n"/>
      <c r="BM80" s="61" t="n"/>
      <c r="BN80" s="61" t="n"/>
      <c r="BO80" s="61" t="n"/>
      <c r="BP80" s="61" t="n"/>
      <c r="BQ80" s="61" t="n"/>
      <c r="BR80" s="61" t="n"/>
      <c r="BS80" s="61" t="n"/>
      <c r="BT80" s="61" t="n"/>
      <c r="BU80" s="61" t="n"/>
      <c r="BV80" s="61" t="n"/>
      <c r="BW80" s="61" t="n"/>
      <c r="BX80" s="61" t="n"/>
      <c r="BY80" s="61" t="n"/>
      <c r="BZ80" s="61" t="n"/>
      <c r="CA80" s="61" t="n"/>
      <c r="CB80" s="61" t="n"/>
      <c r="CC80" s="61" t="n"/>
      <c r="CD80" s="61" t="n"/>
      <c r="CE80" s="61" t="n"/>
      <c r="CF80" s="61" t="n"/>
      <c r="CG80" s="61" t="n"/>
      <c r="CH80" s="61" t="n"/>
    </row>
    <row r="81" ht="18.75" customHeight="1" s="98">
      <c r="A81" s="5" t="n"/>
      <c r="B81" s="59" t="n"/>
      <c r="C81" s="44" t="n"/>
      <c r="D81" s="59" t="n"/>
      <c r="E81" s="88" t="n"/>
      <c r="F81" s="66" t="n"/>
      <c r="G81" s="44" t="n"/>
      <c r="H81" s="44" t="n"/>
      <c r="I81" s="45" t="n"/>
      <c r="J81" s="59" t="n"/>
      <c r="K81" s="47" t="n"/>
      <c r="L81" s="47" t="n"/>
      <c r="M81" s="47" t="n"/>
      <c r="N81" s="47" t="n"/>
      <c r="O81" s="44" t="n"/>
      <c r="P81" s="62" t="n"/>
      <c r="Q81" s="44" t="n"/>
      <c r="R81" s="66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1" t="n"/>
      <c r="BL81" s="61" t="n"/>
      <c r="BM81" s="61" t="n"/>
      <c r="BN81" s="61" t="n"/>
      <c r="BO81" s="61" t="n"/>
      <c r="BP81" s="61" t="n"/>
      <c r="BQ81" s="61" t="n"/>
      <c r="BR81" s="61" t="n"/>
      <c r="BS81" s="61" t="n"/>
      <c r="BT81" s="61" t="n"/>
      <c r="BU81" s="61" t="n"/>
      <c r="BV81" s="61" t="n"/>
      <c r="BW81" s="61" t="n"/>
      <c r="BX81" s="61" t="n"/>
      <c r="BY81" s="61" t="n"/>
      <c r="BZ81" s="61" t="n"/>
      <c r="CA81" s="61" t="n"/>
      <c r="CB81" s="61" t="n"/>
      <c r="CC81" s="61" t="n"/>
      <c r="CD81" s="61" t="n"/>
      <c r="CE81" s="61" t="n"/>
      <c r="CF81" s="61" t="n"/>
      <c r="CG81" s="61" t="n"/>
      <c r="CH81" s="61" t="n"/>
    </row>
    <row r="82" ht="18.75" customHeight="1" s="98">
      <c r="A82" s="5" t="n"/>
      <c r="B82" s="59" t="n"/>
      <c r="C82" s="44" t="n"/>
      <c r="D82" s="59" t="n"/>
      <c r="E82" s="88" t="n"/>
      <c r="F82" s="66" t="n"/>
      <c r="G82" s="44" t="n"/>
      <c r="H82" s="44" t="n"/>
      <c r="I82" s="45" t="n"/>
      <c r="J82" s="59" t="n"/>
      <c r="K82" s="47" t="n"/>
      <c r="L82" s="47" t="n"/>
      <c r="M82" s="47" t="n"/>
      <c r="N82" s="47" t="n"/>
      <c r="O82" s="44" t="n"/>
      <c r="P82" s="62" t="n"/>
      <c r="Q82" s="44" t="n"/>
      <c r="R82" s="66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1" t="n"/>
      <c r="BL82" s="61" t="n"/>
      <c r="BM82" s="61" t="n"/>
      <c r="BN82" s="61" t="n"/>
      <c r="BO82" s="61" t="n"/>
      <c r="BP82" s="61" t="n"/>
      <c r="BQ82" s="61" t="n"/>
      <c r="BR82" s="61" t="n"/>
      <c r="BS82" s="61" t="n"/>
      <c r="BT82" s="61" t="n"/>
      <c r="BU82" s="61" t="n"/>
      <c r="BV82" s="61" t="n"/>
      <c r="BW82" s="61" t="n"/>
      <c r="BX82" s="61" t="n"/>
      <c r="BY82" s="61" t="n"/>
      <c r="BZ82" s="61" t="n"/>
      <c r="CA82" s="61" t="n"/>
      <c r="CB82" s="61" t="n"/>
      <c r="CC82" s="61" t="n"/>
      <c r="CD82" s="61" t="n"/>
      <c r="CE82" s="61" t="n"/>
      <c r="CF82" s="61" t="n"/>
      <c r="CG82" s="61" t="n"/>
      <c r="CH82" s="61" t="n"/>
    </row>
    <row r="83" ht="18.75" customHeight="1" s="98">
      <c r="A83" s="5" t="n"/>
      <c r="B83" s="59" t="n"/>
      <c r="C83" s="44" t="n"/>
      <c r="D83" s="59" t="n"/>
      <c r="E83" s="88" t="n"/>
      <c r="F83" s="66" t="n"/>
      <c r="G83" s="59" t="n"/>
      <c r="H83" s="131" t="n"/>
      <c r="I83" s="45" t="n"/>
      <c r="J83" s="59" t="n"/>
      <c r="K83" s="47" t="n"/>
      <c r="L83" s="47" t="n"/>
      <c r="M83" s="47" t="n"/>
      <c r="N83" s="47" t="n"/>
      <c r="O83" s="44" t="n"/>
      <c r="P83" s="62" t="n"/>
      <c r="Q83" s="44" t="n"/>
      <c r="R83" s="66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1" t="n"/>
      <c r="BL83" s="61" t="n"/>
      <c r="BM83" s="61" t="n"/>
      <c r="BN83" s="61" t="n"/>
      <c r="BO83" s="61" t="n"/>
      <c r="BP83" s="61" t="n"/>
      <c r="BQ83" s="61" t="n"/>
      <c r="BR83" s="61" t="n"/>
      <c r="BS83" s="61" t="n"/>
      <c r="BT83" s="61" t="n"/>
      <c r="BU83" s="61" t="n"/>
      <c r="BV83" s="61" t="n"/>
      <c r="BW83" s="61" t="n"/>
      <c r="BX83" s="61" t="n"/>
      <c r="BY83" s="61" t="n"/>
      <c r="BZ83" s="61" t="n"/>
      <c r="CA83" s="61" t="n"/>
      <c r="CB83" s="61" t="n"/>
      <c r="CC83" s="61" t="n"/>
      <c r="CD83" s="61" t="n"/>
      <c r="CE83" s="61" t="n"/>
      <c r="CF83" s="61" t="n"/>
      <c r="CG83" s="61" t="n"/>
      <c r="CH83" s="61" t="n"/>
    </row>
    <row r="84" ht="18.75" customHeight="1" s="98">
      <c r="A84" s="5" t="n"/>
      <c r="B84" s="59" t="n"/>
      <c r="C84" s="44" t="n"/>
      <c r="D84" s="59" t="n"/>
      <c r="E84" s="88" t="n"/>
      <c r="F84" s="66" t="n"/>
      <c r="G84" s="44" t="n"/>
      <c r="H84" s="131" t="n"/>
      <c r="I84" s="45" t="n"/>
      <c r="J84" s="59" t="n"/>
      <c r="K84" s="47" t="n"/>
      <c r="L84" s="47" t="n"/>
      <c r="M84" s="47" t="n"/>
      <c r="N84" s="47" t="n"/>
      <c r="O84" s="44" t="n"/>
      <c r="P84" s="62" t="n"/>
      <c r="Q84" s="44" t="n"/>
      <c r="R84" s="66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1" t="n"/>
      <c r="BL84" s="61" t="n"/>
      <c r="BM84" s="61" t="n"/>
      <c r="BN84" s="61" t="n"/>
      <c r="BO84" s="61" t="n"/>
      <c r="BP84" s="61" t="n"/>
      <c r="BQ84" s="61" t="n"/>
      <c r="BR84" s="61" t="n"/>
      <c r="BS84" s="61" t="n"/>
      <c r="BT84" s="61" t="n"/>
      <c r="BU84" s="61" t="n"/>
      <c r="BV84" s="61" t="n"/>
      <c r="BW84" s="61" t="n"/>
      <c r="BX84" s="61" t="n"/>
      <c r="BY84" s="61" t="n"/>
      <c r="BZ84" s="61" t="n"/>
      <c r="CA84" s="61" t="n"/>
      <c r="CB84" s="61" t="n"/>
      <c r="CC84" s="61" t="n"/>
      <c r="CD84" s="61" t="n"/>
      <c r="CE84" s="61" t="n"/>
      <c r="CF84" s="61" t="n"/>
      <c r="CG84" s="61" t="n"/>
      <c r="CH84" s="61" t="n"/>
    </row>
    <row r="85" ht="18.75" customHeight="1" s="98">
      <c r="A85" s="5" t="n"/>
      <c r="B85" s="59" t="n"/>
      <c r="C85" s="44" t="n"/>
      <c r="D85" s="59" t="n"/>
      <c r="E85" s="88" t="n"/>
      <c r="F85" s="66" t="n"/>
      <c r="G85" s="44" t="n"/>
      <c r="H85" s="44" t="n"/>
      <c r="I85" s="45" t="n"/>
      <c r="J85" s="59" t="n"/>
      <c r="K85" s="47" t="n"/>
      <c r="L85" s="47" t="n"/>
      <c r="M85" s="47" t="n"/>
      <c r="N85" s="47" t="n"/>
      <c r="O85" s="44" t="n"/>
      <c r="P85" s="62" t="n"/>
      <c r="Q85" s="44" t="n"/>
      <c r="R85" s="66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1" t="n"/>
      <c r="BL85" s="61" t="n"/>
      <c r="BM85" s="61" t="n"/>
      <c r="BN85" s="61" t="n"/>
      <c r="BO85" s="61" t="n"/>
      <c r="BP85" s="61" t="n"/>
      <c r="BQ85" s="61" t="n"/>
      <c r="BR85" s="61" t="n"/>
      <c r="BS85" s="61" t="n"/>
      <c r="BT85" s="61" t="n"/>
      <c r="BU85" s="61" t="n"/>
      <c r="BV85" s="61" t="n"/>
      <c r="BW85" s="61" t="n"/>
      <c r="BX85" s="61" t="n"/>
      <c r="BY85" s="61" t="n"/>
      <c r="BZ85" s="61" t="n"/>
      <c r="CA85" s="61" t="n"/>
      <c r="CB85" s="61" t="n"/>
      <c r="CC85" s="61" t="n"/>
      <c r="CD85" s="61" t="n"/>
      <c r="CE85" s="61" t="n"/>
      <c r="CF85" s="61" t="n"/>
      <c r="CG85" s="61" t="n"/>
      <c r="CH85" s="61" t="n"/>
    </row>
    <row r="86" ht="18.75" customHeight="1" s="98">
      <c r="A86" s="5" t="n"/>
      <c r="B86" s="59" t="n"/>
      <c r="C86" s="44" t="n"/>
      <c r="D86" s="59" t="n"/>
      <c r="E86" s="88" t="n"/>
      <c r="F86" s="66" t="n"/>
      <c r="G86" s="44" t="n"/>
      <c r="H86" s="44" t="n"/>
      <c r="I86" s="45" t="n"/>
      <c r="J86" s="59" t="n"/>
      <c r="K86" s="47" t="n"/>
      <c r="L86" s="47" t="n"/>
      <c r="M86" s="47" t="n"/>
      <c r="N86" s="47" t="n"/>
      <c r="O86" s="44" t="n"/>
      <c r="P86" s="62" t="n"/>
      <c r="Q86" s="44" t="n"/>
      <c r="R86" s="66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1" t="n"/>
      <c r="BL86" s="61" t="n"/>
      <c r="BM86" s="61" t="n"/>
      <c r="BN86" s="61" t="n"/>
      <c r="BO86" s="61" t="n"/>
      <c r="BP86" s="61" t="n"/>
      <c r="BQ86" s="61" t="n"/>
      <c r="BR86" s="61" t="n"/>
      <c r="BS86" s="61" t="n"/>
      <c r="BT86" s="61" t="n"/>
      <c r="BU86" s="61" t="n"/>
      <c r="BV86" s="61" t="n"/>
      <c r="BW86" s="61" t="n"/>
      <c r="BX86" s="61" t="n"/>
      <c r="BY86" s="61" t="n"/>
      <c r="BZ86" s="61" t="n"/>
      <c r="CA86" s="61" t="n"/>
      <c r="CB86" s="61" t="n"/>
      <c r="CC86" s="61" t="n"/>
      <c r="CD86" s="61" t="n"/>
      <c r="CE86" s="61" t="n"/>
      <c r="CF86" s="61" t="n"/>
      <c r="CG86" s="61" t="n"/>
      <c r="CH86" s="61" t="n"/>
    </row>
    <row r="87" ht="18.75" customHeight="1" s="98">
      <c r="A87" s="5" t="n"/>
      <c r="B87" s="59" t="n"/>
      <c r="C87" s="44" t="n"/>
      <c r="D87" s="59" t="n"/>
      <c r="E87" s="88" t="n"/>
      <c r="F87" s="66" t="n"/>
      <c r="G87" s="44" t="n"/>
      <c r="H87" s="44" t="n"/>
      <c r="I87" s="45" t="n"/>
      <c r="J87" s="59" t="n"/>
      <c r="K87" s="47" t="n"/>
      <c r="L87" s="47" t="n"/>
      <c r="M87" s="47" t="n"/>
      <c r="N87" s="47" t="n"/>
      <c r="O87" s="44" t="n"/>
      <c r="P87" s="62" t="n"/>
      <c r="Q87" s="44" t="n"/>
      <c r="R87" s="66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1" t="n"/>
      <c r="BL87" s="61" t="n"/>
      <c r="BM87" s="61" t="n"/>
      <c r="BN87" s="61" t="n"/>
      <c r="BO87" s="61" t="n"/>
      <c r="BP87" s="61" t="n"/>
      <c r="BQ87" s="61" t="n"/>
      <c r="BR87" s="61" t="n"/>
      <c r="BS87" s="61" t="n"/>
      <c r="BT87" s="61" t="n"/>
      <c r="BU87" s="61" t="n"/>
      <c r="BV87" s="61" t="n"/>
      <c r="BW87" s="61" t="n"/>
      <c r="BX87" s="61" t="n"/>
      <c r="BY87" s="61" t="n"/>
      <c r="BZ87" s="61" t="n"/>
      <c r="CA87" s="61" t="n"/>
      <c r="CB87" s="61" t="n"/>
      <c r="CC87" s="61" t="n"/>
      <c r="CD87" s="61" t="n"/>
      <c r="CE87" s="61" t="n"/>
      <c r="CF87" s="61" t="n"/>
      <c r="CG87" s="61" t="n"/>
      <c r="CH87" s="61" t="n"/>
    </row>
    <row r="88" ht="18.75" customHeight="1" s="98">
      <c r="A88" s="5" t="n"/>
      <c r="B88" s="59" t="n"/>
      <c r="C88" s="44" t="n"/>
      <c r="D88" s="59" t="n"/>
      <c r="E88" s="88" t="n"/>
      <c r="F88" s="66" t="n"/>
      <c r="G88" s="44" t="n"/>
      <c r="H88" s="44" t="n"/>
      <c r="I88" s="45" t="n"/>
      <c r="J88" s="59" t="n"/>
      <c r="K88" s="47" t="n"/>
      <c r="L88" s="47" t="n"/>
      <c r="M88" s="47" t="n"/>
      <c r="N88" s="47" t="n"/>
      <c r="O88" s="44" t="n"/>
      <c r="P88" s="62" t="n"/>
      <c r="Q88" s="44" t="n"/>
      <c r="R88" s="66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1" t="n"/>
      <c r="BL88" s="61" t="n"/>
      <c r="BM88" s="61" t="n"/>
      <c r="BN88" s="61" t="n"/>
      <c r="BO88" s="61" t="n"/>
      <c r="BP88" s="61" t="n"/>
      <c r="BQ88" s="61" t="n"/>
      <c r="BR88" s="61" t="n"/>
      <c r="BS88" s="61" t="n"/>
      <c r="BT88" s="61" t="n"/>
      <c r="BU88" s="61" t="n"/>
      <c r="BV88" s="61" t="n"/>
      <c r="BW88" s="61" t="n"/>
      <c r="BX88" s="61" t="n"/>
      <c r="BY88" s="61" t="n"/>
      <c r="BZ88" s="61" t="n"/>
      <c r="CA88" s="61" t="n"/>
      <c r="CB88" s="61" t="n"/>
      <c r="CC88" s="61" t="n"/>
      <c r="CD88" s="61" t="n"/>
      <c r="CE88" s="61" t="n"/>
      <c r="CF88" s="61" t="n"/>
      <c r="CG88" s="61" t="n"/>
      <c r="CH88" s="61" t="n"/>
    </row>
    <row r="89" ht="19.5" customHeight="1" s="98">
      <c r="A89" s="5" t="n"/>
      <c r="B89" s="132" t="n"/>
      <c r="C89" s="133" t="n"/>
      <c r="D89" s="134" t="n"/>
      <c r="E89" s="135" t="n"/>
      <c r="F89" s="134" t="n"/>
      <c r="G89" s="134" t="n"/>
      <c r="H89" s="134" t="n"/>
      <c r="I89" s="134" t="n"/>
      <c r="J89" s="134" t="n"/>
      <c r="K89" s="136" t="n"/>
      <c r="L89" s="136" t="n"/>
      <c r="M89" s="136" t="n"/>
      <c r="N89" s="136" t="n"/>
      <c r="O89" s="134" t="n"/>
      <c r="P89" s="134" t="n"/>
      <c r="Q89" s="134" t="n"/>
      <c r="R89" s="134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1" t="n"/>
      <c r="BL89" s="61" t="n"/>
      <c r="BM89" s="61" t="n"/>
      <c r="BN89" s="61" t="n"/>
      <c r="BO89" s="61" t="n"/>
      <c r="BP89" s="61" t="n"/>
      <c r="BQ89" s="61" t="n"/>
      <c r="BR89" s="61" t="n"/>
      <c r="BS89" s="61" t="n"/>
      <c r="BT89" s="61" t="n"/>
      <c r="BU89" s="61" t="n"/>
      <c r="BV89" s="61" t="n"/>
      <c r="BW89" s="61" t="n"/>
      <c r="BX89" s="61" t="n"/>
      <c r="BY89" s="61" t="n"/>
      <c r="BZ89" s="61" t="n"/>
      <c r="CA89" s="61" t="n"/>
      <c r="CB89" s="61" t="n"/>
      <c r="CC89" s="61" t="n"/>
      <c r="CD89" s="61" t="n"/>
      <c r="CE89" s="61" t="n"/>
      <c r="CF89" s="61" t="n"/>
      <c r="CG89" s="61" t="n"/>
      <c r="CH89" s="61" t="n"/>
    </row>
    <row r="90" ht="18.75" customHeight="1" s="98">
      <c r="A90" s="5" t="n"/>
      <c r="B90" s="59" t="n"/>
      <c r="C90" s="44" t="n"/>
      <c r="D90" s="59" t="n"/>
      <c r="E90" s="88" t="n"/>
      <c r="F90" s="66" t="n"/>
      <c r="G90" s="59" t="n"/>
      <c r="H90" s="44" t="n"/>
      <c r="I90" s="45" t="n"/>
      <c r="J90" s="59" t="n"/>
      <c r="K90" s="47" t="n"/>
      <c r="L90" s="47" t="n"/>
      <c r="M90" s="47" t="n"/>
      <c r="N90" s="47" t="n"/>
      <c r="O90" s="44" t="n"/>
      <c r="P90" s="62" t="n"/>
      <c r="Q90" s="59" t="n"/>
      <c r="R90" s="66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1" t="n"/>
      <c r="BL90" s="61" t="n"/>
      <c r="BM90" s="61" t="n"/>
      <c r="BN90" s="61" t="n"/>
      <c r="BO90" s="61" t="n"/>
      <c r="BP90" s="61" t="n"/>
      <c r="BQ90" s="61" t="n"/>
      <c r="BR90" s="61" t="n"/>
      <c r="BS90" s="61" t="n"/>
      <c r="BT90" s="61" t="n"/>
      <c r="BU90" s="61" t="n"/>
      <c r="BV90" s="61" t="n"/>
      <c r="BW90" s="61" t="n"/>
      <c r="BX90" s="61" t="n"/>
      <c r="BY90" s="61" t="n"/>
      <c r="BZ90" s="61" t="n"/>
      <c r="CA90" s="61" t="n"/>
      <c r="CB90" s="61" t="n"/>
      <c r="CC90" s="61" t="n"/>
      <c r="CD90" s="61" t="n"/>
      <c r="CE90" s="61" t="n"/>
      <c r="CF90" s="61" t="n"/>
      <c r="CG90" s="61" t="n"/>
      <c r="CH90" s="61" t="n"/>
    </row>
    <row r="91" ht="18.75" customHeight="1" s="98">
      <c r="A91" s="5" t="n"/>
      <c r="B91" s="59" t="n"/>
      <c r="C91" s="44" t="n"/>
      <c r="D91" s="59" t="n"/>
      <c r="E91" s="88" t="n"/>
      <c r="F91" s="66" t="n"/>
      <c r="G91" s="59" t="n"/>
      <c r="H91" s="44" t="n"/>
      <c r="I91" s="45" t="n"/>
      <c r="J91" s="59" t="n"/>
      <c r="K91" s="47" t="n"/>
      <c r="L91" s="47" t="n"/>
      <c r="M91" s="47" t="n"/>
      <c r="N91" s="47" t="n"/>
      <c r="O91" s="44" t="n"/>
      <c r="P91" s="62" t="n"/>
      <c r="Q91" s="59" t="n"/>
      <c r="R91" s="66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1" t="n"/>
      <c r="BL91" s="61" t="n"/>
      <c r="BM91" s="61" t="n"/>
      <c r="BN91" s="61" t="n"/>
      <c r="BO91" s="61" t="n"/>
      <c r="BP91" s="61" t="n"/>
      <c r="BQ91" s="61" t="n"/>
      <c r="BR91" s="61" t="n"/>
      <c r="BS91" s="61" t="n"/>
      <c r="BT91" s="61" t="n"/>
      <c r="BU91" s="61" t="n"/>
      <c r="BV91" s="61" t="n"/>
      <c r="BW91" s="61" t="n"/>
      <c r="BX91" s="61" t="n"/>
      <c r="BY91" s="61" t="n"/>
      <c r="BZ91" s="61" t="n"/>
      <c r="CA91" s="61" t="n"/>
      <c r="CB91" s="61" t="n"/>
      <c r="CC91" s="61" t="n"/>
      <c r="CD91" s="61" t="n"/>
      <c r="CE91" s="61" t="n"/>
      <c r="CF91" s="61" t="n"/>
      <c r="CG91" s="61" t="n"/>
      <c r="CH91" s="61" t="n"/>
    </row>
    <row r="92" ht="18.75" customHeight="1" s="98">
      <c r="A92" s="5" t="n"/>
      <c r="B92" s="59" t="n"/>
      <c r="C92" s="44" t="n"/>
      <c r="D92" s="59" t="n"/>
      <c r="E92" s="88" t="n"/>
      <c r="F92" s="66" t="n"/>
      <c r="G92" s="59" t="n"/>
      <c r="H92" s="44" t="n"/>
      <c r="I92" s="45" t="n"/>
      <c r="J92" s="59" t="n"/>
      <c r="K92" s="47" t="n"/>
      <c r="L92" s="47" t="n"/>
      <c r="M92" s="47" t="n"/>
      <c r="N92" s="47" t="n"/>
      <c r="O92" s="44" t="n"/>
      <c r="P92" s="62" t="n"/>
      <c r="Q92" s="44" t="n"/>
      <c r="R92" s="66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1" t="n"/>
      <c r="BL92" s="61" t="n"/>
      <c r="BM92" s="61" t="n"/>
      <c r="BN92" s="61" t="n"/>
      <c r="BO92" s="61" t="n"/>
      <c r="BP92" s="61" t="n"/>
      <c r="BQ92" s="61" t="n"/>
      <c r="BR92" s="61" t="n"/>
      <c r="BS92" s="61" t="n"/>
      <c r="BT92" s="61" t="n"/>
      <c r="BU92" s="61" t="n"/>
      <c r="BV92" s="61" t="n"/>
      <c r="BW92" s="61" t="n"/>
      <c r="BX92" s="61" t="n"/>
      <c r="BY92" s="61" t="n"/>
      <c r="BZ92" s="61" t="n"/>
      <c r="CA92" s="61" t="n"/>
      <c r="CB92" s="61" t="n"/>
      <c r="CC92" s="61" t="n"/>
      <c r="CD92" s="61" t="n"/>
      <c r="CE92" s="61" t="n"/>
      <c r="CF92" s="61" t="n"/>
      <c r="CG92" s="61" t="n"/>
      <c r="CH92" s="61" t="n"/>
    </row>
    <row r="93" ht="18.75" customHeight="1" s="98">
      <c r="A93" s="5" t="n"/>
      <c r="B93" s="59" t="n"/>
      <c r="C93" s="44" t="n"/>
      <c r="D93" s="59" t="n"/>
      <c r="E93" s="88" t="n"/>
      <c r="F93" s="66" t="n"/>
      <c r="G93" s="59" t="n"/>
      <c r="H93" s="44" t="n"/>
      <c r="I93" s="45" t="n"/>
      <c r="J93" s="59" t="n"/>
      <c r="K93" s="47" t="n"/>
      <c r="L93" s="47" t="n"/>
      <c r="M93" s="47" t="n"/>
      <c r="N93" s="47" t="n"/>
      <c r="O93" s="44" t="n"/>
      <c r="P93" s="62" t="n"/>
      <c r="Q93" s="44" t="n"/>
      <c r="R93" s="66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1" t="n"/>
      <c r="BL93" s="61" t="n"/>
      <c r="BM93" s="61" t="n"/>
      <c r="BN93" s="61" t="n"/>
      <c r="BO93" s="61" t="n"/>
      <c r="BP93" s="61" t="n"/>
      <c r="BQ93" s="61" t="n"/>
      <c r="BR93" s="61" t="n"/>
      <c r="BS93" s="61" t="n"/>
      <c r="BT93" s="61" t="n"/>
      <c r="BU93" s="61" t="n"/>
      <c r="BV93" s="61" t="n"/>
      <c r="BW93" s="61" t="n"/>
      <c r="BX93" s="61" t="n"/>
      <c r="BY93" s="61" t="n"/>
      <c r="BZ93" s="61" t="n"/>
      <c r="CA93" s="61" t="n"/>
      <c r="CB93" s="61" t="n"/>
      <c r="CC93" s="61" t="n"/>
      <c r="CD93" s="61" t="n"/>
      <c r="CE93" s="61" t="n"/>
      <c r="CF93" s="61" t="n"/>
      <c r="CG93" s="61" t="n"/>
      <c r="CH93" s="61" t="n"/>
    </row>
    <row r="94" ht="18.75" customHeight="1" s="98">
      <c r="A94" s="5" t="n"/>
      <c r="B94" s="59" t="n"/>
      <c r="C94" s="44" t="n"/>
      <c r="D94" s="59" t="n"/>
      <c r="E94" s="88" t="n"/>
      <c r="F94" s="66" t="n"/>
      <c r="G94" s="59" t="n"/>
      <c r="H94" s="44" t="n"/>
      <c r="I94" s="45" t="n"/>
      <c r="J94" s="59" t="n"/>
      <c r="K94" s="47" t="n"/>
      <c r="L94" s="47" t="n"/>
      <c r="M94" s="47" t="n"/>
      <c r="N94" s="47" t="n"/>
      <c r="O94" s="44" t="n"/>
      <c r="P94" s="62" t="n"/>
      <c r="Q94" s="44" t="n"/>
      <c r="R94" s="66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1" t="n"/>
      <c r="BL94" s="61" t="n"/>
      <c r="BM94" s="61" t="n"/>
      <c r="BN94" s="61" t="n"/>
      <c r="BO94" s="61" t="n"/>
      <c r="BP94" s="61" t="n"/>
      <c r="BQ94" s="61" t="n"/>
      <c r="BR94" s="61" t="n"/>
      <c r="BS94" s="61" t="n"/>
      <c r="BT94" s="61" t="n"/>
      <c r="BU94" s="61" t="n"/>
      <c r="BV94" s="61" t="n"/>
      <c r="BW94" s="61" t="n"/>
      <c r="BX94" s="61" t="n"/>
      <c r="BY94" s="61" t="n"/>
      <c r="BZ94" s="61" t="n"/>
      <c r="CA94" s="61" t="n"/>
      <c r="CB94" s="61" t="n"/>
      <c r="CC94" s="61" t="n"/>
      <c r="CD94" s="61" t="n"/>
      <c r="CE94" s="61" t="n"/>
      <c r="CF94" s="61" t="n"/>
      <c r="CG94" s="61" t="n"/>
      <c r="CH94" s="61" t="n"/>
    </row>
    <row r="95" ht="18.75" customHeight="1" s="98">
      <c r="A95" s="5" t="n"/>
      <c r="B95" s="59" t="n"/>
      <c r="C95" s="44" t="n"/>
      <c r="D95" s="59" t="n"/>
      <c r="E95" s="88" t="n"/>
      <c r="F95" s="66" t="n"/>
      <c r="G95" s="59" t="n"/>
      <c r="H95" s="44" t="n"/>
      <c r="I95" s="45" t="n"/>
      <c r="J95" s="59" t="n"/>
      <c r="K95" s="47" t="n"/>
      <c r="L95" s="47" t="n"/>
      <c r="M95" s="47" t="n"/>
      <c r="N95" s="47" t="n"/>
      <c r="O95" s="44" t="n"/>
      <c r="P95" s="62" t="n"/>
      <c r="Q95" s="59" t="n"/>
      <c r="R95" s="66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1" t="n"/>
      <c r="BL95" s="61" t="n"/>
      <c r="BM95" s="61" t="n"/>
      <c r="BN95" s="61" t="n"/>
      <c r="BO95" s="61" t="n"/>
      <c r="BP95" s="61" t="n"/>
      <c r="BQ95" s="61" t="n"/>
      <c r="BR95" s="61" t="n"/>
      <c r="BS95" s="61" t="n"/>
      <c r="BT95" s="61" t="n"/>
      <c r="BU95" s="61" t="n"/>
      <c r="BV95" s="61" t="n"/>
      <c r="BW95" s="61" t="n"/>
      <c r="BX95" s="61" t="n"/>
      <c r="BY95" s="61" t="n"/>
      <c r="BZ95" s="61" t="n"/>
      <c r="CA95" s="61" t="n"/>
      <c r="CB95" s="61" t="n"/>
      <c r="CC95" s="61" t="n"/>
      <c r="CD95" s="61" t="n"/>
      <c r="CE95" s="61" t="n"/>
      <c r="CF95" s="61" t="n"/>
      <c r="CG95" s="61" t="n"/>
      <c r="CH95" s="61" t="n"/>
    </row>
    <row r="96" ht="18.75" customHeight="1" s="98">
      <c r="A96" s="5" t="n"/>
      <c r="B96" s="59" t="n"/>
      <c r="C96" s="44" t="n"/>
      <c r="D96" s="59" t="n"/>
      <c r="E96" s="88" t="n"/>
      <c r="F96" s="66" t="n"/>
      <c r="G96" s="59" t="n"/>
      <c r="H96" s="44" t="n"/>
      <c r="I96" s="45" t="n"/>
      <c r="J96" s="59" t="n"/>
      <c r="K96" s="47" t="n"/>
      <c r="L96" s="47" t="n"/>
      <c r="M96" s="47" t="n"/>
      <c r="N96" s="47" t="n"/>
      <c r="O96" s="44" t="n"/>
      <c r="P96" s="62" t="n"/>
      <c r="Q96" s="44" t="n"/>
      <c r="R96" s="66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1" t="n"/>
      <c r="BL96" s="61" t="n"/>
      <c r="BM96" s="61" t="n"/>
      <c r="BN96" s="61" t="n"/>
      <c r="BO96" s="61" t="n"/>
      <c r="BP96" s="61" t="n"/>
      <c r="BQ96" s="61" t="n"/>
      <c r="BR96" s="61" t="n"/>
      <c r="BS96" s="61" t="n"/>
      <c r="BT96" s="61" t="n"/>
      <c r="BU96" s="61" t="n"/>
      <c r="BV96" s="61" t="n"/>
      <c r="BW96" s="61" t="n"/>
      <c r="BX96" s="61" t="n"/>
      <c r="BY96" s="61" t="n"/>
      <c r="BZ96" s="61" t="n"/>
      <c r="CA96" s="61" t="n"/>
      <c r="CB96" s="61" t="n"/>
      <c r="CC96" s="61" t="n"/>
      <c r="CD96" s="61" t="n"/>
      <c r="CE96" s="61" t="n"/>
      <c r="CF96" s="61" t="n"/>
      <c r="CG96" s="61" t="n"/>
      <c r="CH96" s="61" t="n"/>
    </row>
    <row r="97" ht="18.75" customHeight="1" s="98">
      <c r="A97" s="5" t="n"/>
      <c r="B97" s="59" t="n"/>
      <c r="C97" s="44" t="n"/>
      <c r="D97" s="59" t="n"/>
      <c r="E97" s="88" t="n"/>
      <c r="F97" s="66" t="n"/>
      <c r="G97" s="59" t="n"/>
      <c r="H97" s="44" t="n"/>
      <c r="I97" s="45" t="n"/>
      <c r="J97" s="59" t="n"/>
      <c r="K97" s="47" t="n"/>
      <c r="L97" s="47" t="n"/>
      <c r="M97" s="47" t="n"/>
      <c r="N97" s="47" t="n"/>
      <c r="O97" s="44" t="n"/>
      <c r="P97" s="62" t="n"/>
      <c r="Q97" s="44" t="n"/>
      <c r="R97" s="66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1" t="n"/>
      <c r="BL97" s="61" t="n"/>
      <c r="BM97" s="61" t="n"/>
      <c r="BN97" s="61" t="n"/>
      <c r="BO97" s="61" t="n"/>
      <c r="BP97" s="61" t="n"/>
      <c r="BQ97" s="61" t="n"/>
      <c r="BR97" s="61" t="n"/>
      <c r="BS97" s="61" t="n"/>
      <c r="BT97" s="61" t="n"/>
      <c r="BU97" s="61" t="n"/>
      <c r="BV97" s="61" t="n"/>
      <c r="BW97" s="61" t="n"/>
      <c r="BX97" s="61" t="n"/>
      <c r="BY97" s="61" t="n"/>
      <c r="BZ97" s="61" t="n"/>
      <c r="CA97" s="61" t="n"/>
      <c r="CB97" s="61" t="n"/>
      <c r="CC97" s="61" t="n"/>
      <c r="CD97" s="61" t="n"/>
      <c r="CE97" s="61" t="n"/>
      <c r="CF97" s="61" t="n"/>
      <c r="CG97" s="61" t="n"/>
      <c r="CH97" s="61" t="n"/>
    </row>
    <row r="98" ht="18.75" customHeight="1" s="98">
      <c r="A98" s="5" t="n"/>
      <c r="B98" s="59" t="n"/>
      <c r="C98" s="44" t="n"/>
      <c r="D98" s="59" t="n"/>
      <c r="E98" s="88" t="n"/>
      <c r="F98" s="66" t="n"/>
      <c r="G98" s="59" t="n"/>
      <c r="H98" s="44" t="n"/>
      <c r="I98" s="45" t="n"/>
      <c r="J98" s="59" t="n"/>
      <c r="K98" s="47" t="n"/>
      <c r="L98" s="47" t="n"/>
      <c r="M98" s="47" t="n"/>
      <c r="N98" s="47" t="n"/>
      <c r="O98" s="44" t="n"/>
      <c r="P98" s="62" t="n"/>
      <c r="Q98" s="44" t="n"/>
      <c r="R98" s="66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1" t="n"/>
      <c r="BL98" s="61" t="n"/>
      <c r="BM98" s="61" t="n"/>
      <c r="BN98" s="61" t="n"/>
      <c r="BO98" s="61" t="n"/>
      <c r="BP98" s="61" t="n"/>
      <c r="BQ98" s="61" t="n"/>
      <c r="BR98" s="61" t="n"/>
      <c r="BS98" s="61" t="n"/>
      <c r="BT98" s="61" t="n"/>
      <c r="BU98" s="61" t="n"/>
      <c r="BV98" s="61" t="n"/>
      <c r="BW98" s="61" t="n"/>
      <c r="BX98" s="61" t="n"/>
      <c r="BY98" s="61" t="n"/>
      <c r="BZ98" s="61" t="n"/>
      <c r="CA98" s="61" t="n"/>
      <c r="CB98" s="61" t="n"/>
      <c r="CC98" s="61" t="n"/>
      <c r="CD98" s="61" t="n"/>
      <c r="CE98" s="61" t="n"/>
      <c r="CF98" s="61" t="n"/>
      <c r="CG98" s="61" t="n"/>
      <c r="CH98" s="61" t="n"/>
    </row>
    <row r="99" ht="18.75" customHeight="1" s="98">
      <c r="A99" s="5" t="n"/>
      <c r="B99" s="59" t="n"/>
      <c r="C99" s="44" t="n"/>
      <c r="D99" s="59" t="n"/>
      <c r="E99" s="88" t="n"/>
      <c r="F99" s="66" t="n"/>
      <c r="G99" s="59" t="n"/>
      <c r="H99" s="44" t="n"/>
      <c r="I99" s="45" t="n"/>
      <c r="J99" s="59" t="n"/>
      <c r="K99" s="47" t="n"/>
      <c r="L99" s="47" t="n"/>
      <c r="M99" s="47" t="n"/>
      <c r="N99" s="47" t="n"/>
      <c r="O99" s="44" t="n"/>
      <c r="P99" s="62" t="n"/>
      <c r="Q99" s="44" t="n"/>
      <c r="R99" s="66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1" t="n"/>
      <c r="BL99" s="61" t="n"/>
      <c r="BM99" s="61" t="n"/>
      <c r="BN99" s="61" t="n"/>
      <c r="BO99" s="61" t="n"/>
      <c r="BP99" s="61" t="n"/>
      <c r="BQ99" s="61" t="n"/>
      <c r="BR99" s="61" t="n"/>
      <c r="BS99" s="61" t="n"/>
      <c r="BT99" s="61" t="n"/>
      <c r="BU99" s="61" t="n"/>
      <c r="BV99" s="61" t="n"/>
      <c r="BW99" s="61" t="n"/>
      <c r="BX99" s="61" t="n"/>
      <c r="BY99" s="61" t="n"/>
      <c r="BZ99" s="61" t="n"/>
      <c r="CA99" s="61" t="n"/>
      <c r="CB99" s="61" t="n"/>
      <c r="CC99" s="61" t="n"/>
      <c r="CD99" s="61" t="n"/>
      <c r="CE99" s="61" t="n"/>
      <c r="CF99" s="61" t="n"/>
      <c r="CG99" s="61" t="n"/>
      <c r="CH99" s="61" t="n"/>
    </row>
    <row r="100" ht="18.75" customHeight="1" s="98">
      <c r="A100" s="5" t="n"/>
      <c r="B100" s="59" t="n"/>
      <c r="C100" s="44" t="n"/>
      <c r="D100" s="59" t="n"/>
      <c r="E100" s="88" t="n"/>
      <c r="F100" s="66" t="n"/>
      <c r="G100" s="59" t="n"/>
      <c r="H100" s="44" t="n"/>
      <c r="I100" s="45" t="n"/>
      <c r="J100" s="59" t="n"/>
      <c r="K100" s="47" t="n"/>
      <c r="L100" s="47" t="n"/>
      <c r="M100" s="47" t="n"/>
      <c r="N100" s="47" t="n"/>
      <c r="O100" s="44" t="n"/>
      <c r="P100" s="62" t="n"/>
      <c r="Q100" s="44" t="n"/>
      <c r="R100" s="66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1" t="n"/>
      <c r="BL100" s="61" t="n"/>
      <c r="BM100" s="61" t="n"/>
      <c r="BN100" s="61" t="n"/>
      <c r="BO100" s="61" t="n"/>
      <c r="BP100" s="61" t="n"/>
      <c r="BQ100" s="61" t="n"/>
      <c r="BR100" s="61" t="n"/>
      <c r="BS100" s="61" t="n"/>
      <c r="BT100" s="61" t="n"/>
      <c r="BU100" s="61" t="n"/>
      <c r="BV100" s="61" t="n"/>
      <c r="BW100" s="61" t="n"/>
      <c r="BX100" s="61" t="n"/>
      <c r="BY100" s="61" t="n"/>
      <c r="BZ100" s="61" t="n"/>
      <c r="CA100" s="61" t="n"/>
      <c r="CB100" s="61" t="n"/>
      <c r="CC100" s="61" t="n"/>
      <c r="CD100" s="61" t="n"/>
      <c r="CE100" s="61" t="n"/>
      <c r="CF100" s="61" t="n"/>
      <c r="CG100" s="61" t="n"/>
      <c r="CH100" s="61" t="n"/>
    </row>
    <row r="101" ht="18.75" customHeight="1" s="98">
      <c r="A101" s="5" t="n"/>
      <c r="B101" s="59" t="n"/>
      <c r="C101" s="44" t="n"/>
      <c r="D101" s="59" t="n"/>
      <c r="E101" s="88" t="n"/>
      <c r="F101" s="66" t="n"/>
      <c r="G101" s="59" t="n"/>
      <c r="H101" s="44" t="n"/>
      <c r="I101" s="45" t="n"/>
      <c r="J101" s="59" t="n"/>
      <c r="K101" s="47" t="n"/>
      <c r="L101" s="47" t="n"/>
      <c r="M101" s="47" t="n"/>
      <c r="N101" s="47" t="n"/>
      <c r="O101" s="44" t="n"/>
      <c r="P101" s="62" t="n"/>
      <c r="Q101" s="59" t="n"/>
      <c r="R101" s="66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1" t="n"/>
      <c r="BL101" s="61" t="n"/>
      <c r="BM101" s="61" t="n"/>
      <c r="BN101" s="61" t="n"/>
      <c r="BO101" s="61" t="n"/>
      <c r="BP101" s="61" t="n"/>
      <c r="BQ101" s="61" t="n"/>
      <c r="BR101" s="61" t="n"/>
      <c r="BS101" s="61" t="n"/>
      <c r="BT101" s="61" t="n"/>
      <c r="BU101" s="61" t="n"/>
      <c r="BV101" s="61" t="n"/>
      <c r="BW101" s="61" t="n"/>
      <c r="BX101" s="61" t="n"/>
      <c r="BY101" s="61" t="n"/>
      <c r="BZ101" s="61" t="n"/>
      <c r="CA101" s="61" t="n"/>
      <c r="CB101" s="61" t="n"/>
      <c r="CC101" s="61" t="n"/>
      <c r="CD101" s="61" t="n"/>
      <c r="CE101" s="61" t="n"/>
      <c r="CF101" s="61" t="n"/>
      <c r="CG101" s="61" t="n"/>
      <c r="CH101" s="61" t="n"/>
    </row>
    <row r="102" ht="18.75" customHeight="1" s="98">
      <c r="A102" s="5" t="n"/>
      <c r="B102" s="59" t="n"/>
      <c r="C102" s="44" t="n"/>
      <c r="D102" s="59" t="n"/>
      <c r="E102" s="88" t="n"/>
      <c r="F102" s="66" t="n"/>
      <c r="G102" s="59" t="n"/>
      <c r="H102" s="44" t="n"/>
      <c r="I102" s="45" t="n"/>
      <c r="J102" s="59" t="n"/>
      <c r="K102" s="47" t="n"/>
      <c r="L102" s="47" t="n"/>
      <c r="M102" s="47" t="n"/>
      <c r="N102" s="47" t="n"/>
      <c r="O102" s="44" t="n"/>
      <c r="P102" s="62" t="n"/>
      <c r="Q102" s="59" t="n"/>
      <c r="R102" s="66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1" t="n"/>
      <c r="BL102" s="61" t="n"/>
      <c r="BM102" s="61" t="n"/>
      <c r="BN102" s="61" t="n"/>
      <c r="BO102" s="61" t="n"/>
      <c r="BP102" s="61" t="n"/>
      <c r="BQ102" s="61" t="n"/>
      <c r="BR102" s="61" t="n"/>
      <c r="BS102" s="61" t="n"/>
      <c r="BT102" s="61" t="n"/>
      <c r="BU102" s="61" t="n"/>
      <c r="BV102" s="61" t="n"/>
      <c r="BW102" s="61" t="n"/>
      <c r="BX102" s="61" t="n"/>
      <c r="BY102" s="61" t="n"/>
      <c r="BZ102" s="61" t="n"/>
      <c r="CA102" s="61" t="n"/>
      <c r="CB102" s="61" t="n"/>
      <c r="CC102" s="61" t="n"/>
      <c r="CD102" s="61" t="n"/>
      <c r="CE102" s="61" t="n"/>
      <c r="CF102" s="61" t="n"/>
      <c r="CG102" s="61" t="n"/>
      <c r="CH102" s="61" t="n"/>
    </row>
    <row r="103" ht="18.75" customHeight="1" s="98">
      <c r="A103" s="5" t="n"/>
      <c r="B103" s="59" t="n"/>
      <c r="C103" s="44" t="n"/>
      <c r="D103" s="59" t="n"/>
      <c r="E103" s="88" t="n"/>
      <c r="F103" s="66" t="n"/>
      <c r="G103" s="59" t="n"/>
      <c r="H103" s="44" t="n"/>
      <c r="I103" s="45" t="n"/>
      <c r="J103" s="59" t="n"/>
      <c r="K103" s="47" t="n"/>
      <c r="L103" s="47" t="n"/>
      <c r="M103" s="47" t="n"/>
      <c r="N103" s="47" t="n"/>
      <c r="O103" s="44" t="n"/>
      <c r="P103" s="62" t="n"/>
      <c r="Q103" s="59" t="n"/>
      <c r="R103" s="66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1" t="n"/>
      <c r="BL103" s="61" t="n"/>
      <c r="BM103" s="61" t="n"/>
      <c r="BN103" s="61" t="n"/>
      <c r="BO103" s="61" t="n"/>
      <c r="BP103" s="61" t="n"/>
      <c r="BQ103" s="61" t="n"/>
      <c r="BR103" s="61" t="n"/>
      <c r="BS103" s="61" t="n"/>
      <c r="BT103" s="61" t="n"/>
      <c r="BU103" s="61" t="n"/>
      <c r="BV103" s="61" t="n"/>
      <c r="BW103" s="61" t="n"/>
      <c r="BX103" s="61" t="n"/>
      <c r="BY103" s="61" t="n"/>
      <c r="BZ103" s="61" t="n"/>
      <c r="CA103" s="61" t="n"/>
      <c r="CB103" s="61" t="n"/>
      <c r="CC103" s="61" t="n"/>
      <c r="CD103" s="61" t="n"/>
      <c r="CE103" s="61" t="n"/>
      <c r="CF103" s="61" t="n"/>
      <c r="CG103" s="61" t="n"/>
      <c r="CH103" s="61" t="n"/>
    </row>
    <row r="104" ht="18.75" customHeight="1" s="98">
      <c r="A104" s="5" t="n"/>
      <c r="B104" s="59" t="n"/>
      <c r="C104" s="44" t="n"/>
      <c r="D104" s="59" t="n"/>
      <c r="E104" s="88" t="n"/>
      <c r="F104" s="66" t="n"/>
      <c r="G104" s="59" t="n"/>
      <c r="H104" s="44" t="n"/>
      <c r="I104" s="45" t="n"/>
      <c r="J104" s="59" t="n"/>
      <c r="K104" s="47" t="n"/>
      <c r="L104" s="47" t="n"/>
      <c r="M104" s="47" t="n"/>
      <c r="N104" s="47" t="n"/>
      <c r="O104" s="44" t="n"/>
      <c r="P104" s="62" t="n"/>
      <c r="Q104" s="59" t="n"/>
      <c r="R104" s="66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1" t="n"/>
      <c r="BL104" s="61" t="n"/>
      <c r="BM104" s="61" t="n"/>
      <c r="BN104" s="61" t="n"/>
      <c r="BO104" s="61" t="n"/>
      <c r="BP104" s="61" t="n"/>
      <c r="BQ104" s="61" t="n"/>
      <c r="BR104" s="61" t="n"/>
      <c r="BS104" s="61" t="n"/>
      <c r="BT104" s="61" t="n"/>
      <c r="BU104" s="61" t="n"/>
      <c r="BV104" s="61" t="n"/>
      <c r="BW104" s="61" t="n"/>
      <c r="BX104" s="61" t="n"/>
      <c r="BY104" s="61" t="n"/>
      <c r="BZ104" s="61" t="n"/>
      <c r="CA104" s="61" t="n"/>
      <c r="CB104" s="61" t="n"/>
      <c r="CC104" s="61" t="n"/>
      <c r="CD104" s="61" t="n"/>
      <c r="CE104" s="61" t="n"/>
      <c r="CF104" s="61" t="n"/>
      <c r="CG104" s="61" t="n"/>
      <c r="CH104" s="61" t="n"/>
    </row>
    <row r="105" ht="18.75" customHeight="1" s="98">
      <c r="A105" s="5" t="n"/>
      <c r="B105" s="59" t="n"/>
      <c r="C105" s="44" t="n"/>
      <c r="D105" s="59" t="n"/>
      <c r="E105" s="88" t="n"/>
      <c r="F105" s="66" t="n"/>
      <c r="G105" s="59" t="n"/>
      <c r="H105" s="44" t="n"/>
      <c r="I105" s="45" t="n"/>
      <c r="J105" s="59" t="n"/>
      <c r="K105" s="47" t="n"/>
      <c r="L105" s="47" t="n"/>
      <c r="M105" s="47" t="n"/>
      <c r="N105" s="47" t="n"/>
      <c r="O105" s="44" t="n"/>
      <c r="P105" s="62" t="n"/>
      <c r="Q105" s="59" t="n"/>
      <c r="R105" s="66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1" t="n"/>
      <c r="BL105" s="61" t="n"/>
      <c r="BM105" s="61" t="n"/>
      <c r="BN105" s="61" t="n"/>
      <c r="BO105" s="61" t="n"/>
      <c r="BP105" s="61" t="n"/>
      <c r="BQ105" s="61" t="n"/>
      <c r="BR105" s="61" t="n"/>
      <c r="BS105" s="61" t="n"/>
      <c r="BT105" s="61" t="n"/>
      <c r="BU105" s="61" t="n"/>
      <c r="BV105" s="61" t="n"/>
      <c r="BW105" s="61" t="n"/>
      <c r="BX105" s="61" t="n"/>
      <c r="BY105" s="61" t="n"/>
      <c r="BZ105" s="61" t="n"/>
      <c r="CA105" s="61" t="n"/>
      <c r="CB105" s="61" t="n"/>
      <c r="CC105" s="61" t="n"/>
      <c r="CD105" s="61" t="n"/>
      <c r="CE105" s="61" t="n"/>
      <c r="CF105" s="61" t="n"/>
      <c r="CG105" s="61" t="n"/>
      <c r="CH105" s="61" t="n"/>
    </row>
    <row r="106" ht="18.75" customHeight="1" s="98">
      <c r="A106" s="5" t="n"/>
      <c r="B106" s="59" t="n"/>
      <c r="C106" s="44" t="n"/>
      <c r="D106" s="59" t="n"/>
      <c r="E106" s="88" t="n"/>
      <c r="F106" s="66" t="n"/>
      <c r="G106" s="59" t="n"/>
      <c r="H106" s="44" t="n"/>
      <c r="I106" s="45" t="n"/>
      <c r="J106" s="59" t="n"/>
      <c r="K106" s="47" t="n"/>
      <c r="L106" s="47" t="n"/>
      <c r="M106" s="47" t="n"/>
      <c r="N106" s="47" t="n"/>
      <c r="O106" s="44" t="n"/>
      <c r="P106" s="62" t="n"/>
      <c r="Q106" s="59" t="n"/>
      <c r="R106" s="66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1" t="n"/>
      <c r="BL106" s="61" t="n"/>
      <c r="BM106" s="61" t="n"/>
      <c r="BN106" s="61" t="n"/>
      <c r="BO106" s="61" t="n"/>
      <c r="BP106" s="61" t="n"/>
      <c r="BQ106" s="61" t="n"/>
      <c r="BR106" s="61" t="n"/>
      <c r="BS106" s="61" t="n"/>
      <c r="BT106" s="61" t="n"/>
      <c r="BU106" s="61" t="n"/>
      <c r="BV106" s="61" t="n"/>
      <c r="BW106" s="61" t="n"/>
      <c r="BX106" s="61" t="n"/>
      <c r="BY106" s="61" t="n"/>
      <c r="BZ106" s="61" t="n"/>
      <c r="CA106" s="61" t="n"/>
      <c r="CB106" s="61" t="n"/>
      <c r="CC106" s="61" t="n"/>
      <c r="CD106" s="61" t="n"/>
      <c r="CE106" s="61" t="n"/>
      <c r="CF106" s="61" t="n"/>
      <c r="CG106" s="61" t="n"/>
      <c r="CH106" s="61" t="n"/>
    </row>
    <row r="107" ht="18.75" customHeight="1" s="98">
      <c r="A107" s="5" t="n"/>
      <c r="B107" s="59" t="n"/>
      <c r="C107" s="44" t="n"/>
      <c r="D107" s="59" t="n"/>
      <c r="E107" s="88" t="n"/>
      <c r="F107" s="66" t="n"/>
      <c r="G107" s="59" t="n"/>
      <c r="H107" s="44" t="n"/>
      <c r="I107" s="45" t="n"/>
      <c r="J107" s="59" t="n"/>
      <c r="K107" s="47" t="n"/>
      <c r="L107" s="47" t="n"/>
      <c r="M107" s="47" t="n"/>
      <c r="N107" s="47" t="n"/>
      <c r="O107" s="44" t="n"/>
      <c r="P107" s="62" t="n"/>
      <c r="Q107" s="59" t="n"/>
      <c r="R107" s="66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1" t="n"/>
      <c r="BL107" s="61" t="n"/>
      <c r="BM107" s="61" t="n"/>
      <c r="BN107" s="61" t="n"/>
      <c r="BO107" s="61" t="n"/>
      <c r="BP107" s="61" t="n"/>
      <c r="BQ107" s="61" t="n"/>
      <c r="BR107" s="61" t="n"/>
      <c r="BS107" s="61" t="n"/>
      <c r="BT107" s="61" t="n"/>
      <c r="BU107" s="61" t="n"/>
      <c r="BV107" s="61" t="n"/>
      <c r="BW107" s="61" t="n"/>
      <c r="BX107" s="61" t="n"/>
      <c r="BY107" s="61" t="n"/>
      <c r="BZ107" s="61" t="n"/>
      <c r="CA107" s="61" t="n"/>
      <c r="CB107" s="61" t="n"/>
      <c r="CC107" s="61" t="n"/>
      <c r="CD107" s="61" t="n"/>
      <c r="CE107" s="61" t="n"/>
      <c r="CF107" s="61" t="n"/>
      <c r="CG107" s="61" t="n"/>
      <c r="CH107" s="61" t="n"/>
    </row>
    <row r="108" ht="18.75" customHeight="1" s="98">
      <c r="A108" s="5" t="n"/>
      <c r="B108" s="59" t="n"/>
      <c r="C108" s="44" t="n"/>
      <c r="D108" s="59" t="n"/>
      <c r="E108" s="88" t="n"/>
      <c r="F108" s="66" t="n"/>
      <c r="G108" s="59" t="n"/>
      <c r="H108" s="44" t="n"/>
      <c r="I108" s="45" t="n"/>
      <c r="J108" s="59" t="n"/>
      <c r="K108" s="47" t="n"/>
      <c r="L108" s="47" t="n"/>
      <c r="M108" s="47" t="n"/>
      <c r="N108" s="47" t="n"/>
      <c r="O108" s="44" t="n"/>
      <c r="P108" s="62" t="n"/>
      <c r="Q108" s="44" t="n"/>
      <c r="R108" s="66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1" t="n"/>
      <c r="BL108" s="61" t="n"/>
      <c r="BM108" s="61" t="n"/>
      <c r="BN108" s="61" t="n"/>
      <c r="BO108" s="61" t="n"/>
      <c r="BP108" s="61" t="n"/>
      <c r="BQ108" s="61" t="n"/>
      <c r="BR108" s="61" t="n"/>
      <c r="BS108" s="61" t="n"/>
      <c r="BT108" s="61" t="n"/>
      <c r="BU108" s="61" t="n"/>
      <c r="BV108" s="61" t="n"/>
      <c r="BW108" s="61" t="n"/>
      <c r="BX108" s="61" t="n"/>
      <c r="BY108" s="61" t="n"/>
      <c r="BZ108" s="61" t="n"/>
      <c r="CA108" s="61" t="n"/>
      <c r="CB108" s="61" t="n"/>
      <c r="CC108" s="61" t="n"/>
      <c r="CD108" s="61" t="n"/>
      <c r="CE108" s="61" t="n"/>
      <c r="CF108" s="61" t="n"/>
      <c r="CG108" s="61" t="n"/>
      <c r="CH108" s="61" t="n"/>
    </row>
    <row r="109" ht="18.75" customHeight="1" s="98">
      <c r="A109" s="5" t="n"/>
      <c r="B109" s="59" t="n"/>
      <c r="C109" s="44" t="n"/>
      <c r="D109" s="59" t="n"/>
      <c r="E109" s="88" t="n"/>
      <c r="F109" s="66" t="n"/>
      <c r="G109" s="59" t="n"/>
      <c r="H109" s="44" t="n"/>
      <c r="I109" s="45" t="n"/>
      <c r="J109" s="59" t="n"/>
      <c r="K109" s="47" t="n"/>
      <c r="L109" s="47" t="n"/>
      <c r="M109" s="47" t="n"/>
      <c r="N109" s="47" t="n"/>
      <c r="O109" s="44" t="n"/>
      <c r="P109" s="62" t="n"/>
      <c r="Q109" s="44" t="n"/>
      <c r="R109" s="66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1" t="n"/>
      <c r="BL109" s="61" t="n"/>
      <c r="BM109" s="61" t="n"/>
      <c r="BN109" s="61" t="n"/>
      <c r="BO109" s="61" t="n"/>
      <c r="BP109" s="61" t="n"/>
      <c r="BQ109" s="61" t="n"/>
      <c r="BR109" s="61" t="n"/>
      <c r="BS109" s="61" t="n"/>
      <c r="BT109" s="61" t="n"/>
      <c r="BU109" s="61" t="n"/>
      <c r="BV109" s="61" t="n"/>
      <c r="BW109" s="61" t="n"/>
      <c r="BX109" s="61" t="n"/>
      <c r="BY109" s="61" t="n"/>
      <c r="BZ109" s="61" t="n"/>
      <c r="CA109" s="61" t="n"/>
      <c r="CB109" s="61" t="n"/>
      <c r="CC109" s="61" t="n"/>
      <c r="CD109" s="61" t="n"/>
      <c r="CE109" s="61" t="n"/>
      <c r="CF109" s="61" t="n"/>
      <c r="CG109" s="61" t="n"/>
      <c r="CH109" s="61" t="n"/>
    </row>
    <row r="110" ht="18.75" customHeight="1" s="98">
      <c r="A110" s="5" t="n"/>
      <c r="B110" s="59" t="n"/>
      <c r="C110" s="44" t="n"/>
      <c r="D110" s="59" t="n"/>
      <c r="E110" s="88" t="n"/>
      <c r="F110" s="66" t="n"/>
      <c r="G110" s="59" t="n"/>
      <c r="H110" s="44" t="n"/>
      <c r="I110" s="45" t="n"/>
      <c r="J110" s="59" t="n"/>
      <c r="K110" s="47" t="n"/>
      <c r="L110" s="47" t="n"/>
      <c r="M110" s="47" t="n"/>
      <c r="N110" s="47" t="n"/>
      <c r="O110" s="44" t="n"/>
      <c r="P110" s="62" t="n"/>
      <c r="Q110" s="59" t="n"/>
      <c r="R110" s="66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1" t="n"/>
      <c r="BL110" s="61" t="n"/>
      <c r="BM110" s="61" t="n"/>
      <c r="BN110" s="61" t="n"/>
      <c r="BO110" s="61" t="n"/>
      <c r="BP110" s="61" t="n"/>
      <c r="BQ110" s="61" t="n"/>
      <c r="BR110" s="61" t="n"/>
      <c r="BS110" s="61" t="n"/>
      <c r="BT110" s="61" t="n"/>
      <c r="BU110" s="61" t="n"/>
      <c r="BV110" s="61" t="n"/>
      <c r="BW110" s="61" t="n"/>
      <c r="BX110" s="61" t="n"/>
      <c r="BY110" s="61" t="n"/>
      <c r="BZ110" s="61" t="n"/>
      <c r="CA110" s="61" t="n"/>
      <c r="CB110" s="61" t="n"/>
      <c r="CC110" s="61" t="n"/>
      <c r="CD110" s="61" t="n"/>
      <c r="CE110" s="61" t="n"/>
      <c r="CF110" s="61" t="n"/>
      <c r="CG110" s="61" t="n"/>
      <c r="CH110" s="61" t="n"/>
    </row>
    <row r="111" ht="18.75" customHeight="1" s="98">
      <c r="A111" s="5" t="n"/>
      <c r="B111" s="59" t="n"/>
      <c r="C111" s="44" t="n"/>
      <c r="D111" s="59" t="n"/>
      <c r="E111" s="88" t="n"/>
      <c r="F111" s="66" t="n"/>
      <c r="G111" s="59" t="n"/>
      <c r="H111" s="44" t="n"/>
      <c r="I111" s="45" t="n"/>
      <c r="J111" s="59" t="n"/>
      <c r="K111" s="47" t="n"/>
      <c r="L111" s="47" t="n"/>
      <c r="M111" s="47" t="n"/>
      <c r="N111" s="47" t="n"/>
      <c r="O111" s="44" t="n"/>
      <c r="P111" s="62" t="n"/>
      <c r="Q111" s="44" t="n"/>
      <c r="R111" s="66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1" t="n"/>
      <c r="BL111" s="61" t="n"/>
      <c r="BM111" s="61" t="n"/>
      <c r="BN111" s="61" t="n"/>
      <c r="BO111" s="61" t="n"/>
      <c r="BP111" s="61" t="n"/>
      <c r="BQ111" s="61" t="n"/>
      <c r="BR111" s="61" t="n"/>
      <c r="BS111" s="61" t="n"/>
      <c r="BT111" s="61" t="n"/>
      <c r="BU111" s="61" t="n"/>
      <c r="BV111" s="61" t="n"/>
      <c r="BW111" s="61" t="n"/>
      <c r="BX111" s="61" t="n"/>
      <c r="BY111" s="61" t="n"/>
      <c r="BZ111" s="61" t="n"/>
      <c r="CA111" s="61" t="n"/>
      <c r="CB111" s="61" t="n"/>
      <c r="CC111" s="61" t="n"/>
      <c r="CD111" s="61" t="n"/>
      <c r="CE111" s="61" t="n"/>
      <c r="CF111" s="61" t="n"/>
      <c r="CG111" s="61" t="n"/>
      <c r="CH111" s="61" t="n"/>
    </row>
    <row r="112" ht="18.75" customHeight="1" s="98">
      <c r="A112" s="5" t="n"/>
      <c r="B112" s="59" t="n"/>
      <c r="C112" s="44" t="n"/>
      <c r="D112" s="59" t="n"/>
      <c r="E112" s="88" t="n"/>
      <c r="F112" s="66" t="n"/>
      <c r="G112" s="59" t="n"/>
      <c r="H112" s="44" t="n"/>
      <c r="I112" s="45" t="n"/>
      <c r="J112" s="59" t="n"/>
      <c r="K112" s="47" t="n"/>
      <c r="L112" s="47" t="n"/>
      <c r="M112" s="47" t="n"/>
      <c r="N112" s="47" t="n"/>
      <c r="O112" s="44" t="n"/>
      <c r="P112" s="62" t="n"/>
      <c r="Q112" s="44" t="n"/>
      <c r="R112" s="66" t="n"/>
      <c r="S112" s="61" t="n"/>
      <c r="T112" s="61" t="n"/>
      <c r="U112" s="61" t="n"/>
      <c r="V112" s="61" t="n"/>
      <c r="W112" s="61" t="n"/>
      <c r="X112" s="61" t="n"/>
      <c r="Y112" s="61" t="n"/>
      <c r="Z112" s="61" t="n"/>
      <c r="AA112" s="61" t="n"/>
      <c r="AB112" s="61" t="n"/>
      <c r="AC112" s="61" t="n"/>
      <c r="AD112" s="61" t="n"/>
      <c r="AE112" s="61" t="n"/>
      <c r="AF112" s="61" t="n"/>
      <c r="AG112" s="61" t="n"/>
      <c r="AH112" s="61" t="n"/>
      <c r="AI112" s="61" t="n"/>
      <c r="AJ112" s="61" t="n"/>
      <c r="AK112" s="61" t="n"/>
      <c r="AL112" s="61" t="n"/>
      <c r="AM112" s="61" t="n"/>
      <c r="AN112" s="61" t="n"/>
      <c r="AO112" s="61" t="n"/>
      <c r="AP112" s="61" t="n"/>
      <c r="AQ112" s="61" t="n"/>
      <c r="AR112" s="61" t="n"/>
      <c r="AS112" s="61" t="n"/>
      <c r="AT112" s="61" t="n"/>
      <c r="AU112" s="61" t="n"/>
      <c r="AV112" s="61" t="n"/>
      <c r="AW112" s="61" t="n"/>
      <c r="AX112" s="61" t="n"/>
      <c r="AY112" s="61" t="n"/>
      <c r="AZ112" s="61" t="n"/>
      <c r="BA112" s="61" t="n"/>
      <c r="BB112" s="61" t="n"/>
      <c r="BC112" s="61" t="n"/>
      <c r="BD112" s="61" t="n"/>
      <c r="BE112" s="61" t="n"/>
      <c r="BF112" s="61" t="n"/>
      <c r="BG112" s="61" t="n"/>
      <c r="BH112" s="61" t="n"/>
      <c r="BI112" s="61" t="n"/>
      <c r="BJ112" s="61" t="n"/>
      <c r="BK112" s="61" t="n"/>
      <c r="BL112" s="61" t="n"/>
      <c r="BM112" s="61" t="n"/>
      <c r="BN112" s="61" t="n"/>
      <c r="BO112" s="61" t="n"/>
      <c r="BP112" s="61" t="n"/>
      <c r="BQ112" s="61" t="n"/>
      <c r="BR112" s="61" t="n"/>
      <c r="BS112" s="61" t="n"/>
      <c r="BT112" s="61" t="n"/>
      <c r="BU112" s="61" t="n"/>
      <c r="BV112" s="61" t="n"/>
      <c r="BW112" s="61" t="n"/>
      <c r="BX112" s="61" t="n"/>
      <c r="BY112" s="61" t="n"/>
      <c r="BZ112" s="61" t="n"/>
      <c r="CA112" s="61" t="n"/>
      <c r="CB112" s="61" t="n"/>
      <c r="CC112" s="61" t="n"/>
      <c r="CD112" s="61" t="n"/>
      <c r="CE112" s="61" t="n"/>
      <c r="CF112" s="61" t="n"/>
      <c r="CG112" s="61" t="n"/>
      <c r="CH112" s="61" t="n"/>
    </row>
    <row r="113" ht="18.75" customHeight="1" s="98">
      <c r="A113" s="5" t="n"/>
      <c r="B113" s="59" t="n"/>
      <c r="C113" s="44" t="n"/>
      <c r="D113" s="59" t="n"/>
      <c r="E113" s="88" t="n"/>
      <c r="F113" s="66" t="n"/>
      <c r="G113" s="59" t="n"/>
      <c r="H113" s="44" t="n"/>
      <c r="I113" s="45" t="n"/>
      <c r="J113" s="59" t="n"/>
      <c r="K113" s="47" t="n"/>
      <c r="L113" s="47" t="n"/>
      <c r="M113" s="47" t="n"/>
      <c r="N113" s="47" t="n"/>
      <c r="O113" s="44" t="n"/>
      <c r="P113" s="62" t="n"/>
      <c r="Q113" s="44" t="n"/>
      <c r="R113" s="66" t="n"/>
      <c r="S113" s="61" t="n"/>
      <c r="T113" s="61" t="n"/>
      <c r="U113" s="61" t="n"/>
      <c r="V113" s="61" t="n"/>
      <c r="W113" s="61" t="n"/>
      <c r="X113" s="61" t="n"/>
      <c r="Y113" s="61" t="n"/>
      <c r="Z113" s="61" t="n"/>
      <c r="AA113" s="61" t="n"/>
      <c r="AB113" s="61" t="n"/>
      <c r="AC113" s="61" t="n"/>
      <c r="AD113" s="61" t="n"/>
      <c r="AE113" s="61" t="n"/>
      <c r="AF113" s="61" t="n"/>
      <c r="AG113" s="61" t="n"/>
      <c r="AH113" s="61" t="n"/>
      <c r="AI113" s="61" t="n"/>
      <c r="AJ113" s="61" t="n"/>
      <c r="AK113" s="61" t="n"/>
      <c r="AL113" s="61" t="n"/>
      <c r="AM113" s="61" t="n"/>
      <c r="AN113" s="61" t="n"/>
      <c r="AO113" s="61" t="n"/>
      <c r="AP113" s="61" t="n"/>
      <c r="AQ113" s="61" t="n"/>
      <c r="AR113" s="61" t="n"/>
      <c r="AS113" s="61" t="n"/>
      <c r="AT113" s="61" t="n"/>
      <c r="AU113" s="61" t="n"/>
      <c r="AV113" s="61" t="n"/>
      <c r="AW113" s="61" t="n"/>
      <c r="AX113" s="61" t="n"/>
      <c r="AY113" s="61" t="n"/>
      <c r="AZ113" s="61" t="n"/>
      <c r="BA113" s="61" t="n"/>
      <c r="BB113" s="61" t="n"/>
      <c r="BC113" s="61" t="n"/>
      <c r="BD113" s="61" t="n"/>
      <c r="BE113" s="61" t="n"/>
      <c r="BF113" s="61" t="n"/>
      <c r="BG113" s="61" t="n"/>
      <c r="BH113" s="61" t="n"/>
      <c r="BI113" s="61" t="n"/>
      <c r="BJ113" s="61" t="n"/>
      <c r="BK113" s="61" t="n"/>
      <c r="BL113" s="61" t="n"/>
      <c r="BM113" s="61" t="n"/>
      <c r="BN113" s="61" t="n"/>
      <c r="BO113" s="61" t="n"/>
      <c r="BP113" s="61" t="n"/>
      <c r="BQ113" s="61" t="n"/>
      <c r="BR113" s="61" t="n"/>
      <c r="BS113" s="61" t="n"/>
      <c r="BT113" s="61" t="n"/>
      <c r="BU113" s="61" t="n"/>
      <c r="BV113" s="61" t="n"/>
      <c r="BW113" s="61" t="n"/>
      <c r="BX113" s="61" t="n"/>
      <c r="BY113" s="61" t="n"/>
      <c r="BZ113" s="61" t="n"/>
      <c r="CA113" s="61" t="n"/>
      <c r="CB113" s="61" t="n"/>
      <c r="CC113" s="61" t="n"/>
      <c r="CD113" s="61" t="n"/>
      <c r="CE113" s="61" t="n"/>
      <c r="CF113" s="61" t="n"/>
      <c r="CG113" s="61" t="n"/>
      <c r="CH113" s="61" t="n"/>
    </row>
    <row r="114" ht="18.75" customHeight="1" s="98">
      <c r="A114" s="5" t="n"/>
      <c r="B114" s="59" t="n"/>
      <c r="C114" s="44" t="n"/>
      <c r="D114" s="59" t="n"/>
      <c r="E114" s="88" t="n"/>
      <c r="F114" s="66" t="n"/>
      <c r="G114" s="59" t="n"/>
      <c r="H114" s="44" t="n"/>
      <c r="I114" s="45" t="n"/>
      <c r="J114" s="59" t="n"/>
      <c r="K114" s="47" t="n"/>
      <c r="L114" s="47" t="n"/>
      <c r="M114" s="47" t="n"/>
      <c r="N114" s="47" t="n"/>
      <c r="O114" s="44" t="n"/>
      <c r="P114" s="62" t="n"/>
      <c r="Q114" s="44" t="n"/>
      <c r="R114" s="66" t="n"/>
      <c r="S114" s="61" t="n"/>
      <c r="T114" s="61" t="n"/>
      <c r="U114" s="61" t="n"/>
      <c r="V114" s="61" t="n"/>
      <c r="W114" s="61" t="n"/>
      <c r="X114" s="61" t="n"/>
      <c r="Y114" s="61" t="n"/>
      <c r="Z114" s="61" t="n"/>
      <c r="AA114" s="61" t="n"/>
      <c r="AB114" s="61" t="n"/>
      <c r="AC114" s="61" t="n"/>
      <c r="AD114" s="61" t="n"/>
      <c r="AE114" s="61" t="n"/>
      <c r="AF114" s="61" t="n"/>
      <c r="AG114" s="61" t="n"/>
      <c r="AH114" s="61" t="n"/>
      <c r="AI114" s="61" t="n"/>
      <c r="AJ114" s="61" t="n"/>
      <c r="AK114" s="61" t="n"/>
      <c r="AL114" s="61" t="n"/>
      <c r="AM114" s="61" t="n"/>
      <c r="AN114" s="61" t="n"/>
      <c r="AO114" s="61" t="n"/>
      <c r="AP114" s="61" t="n"/>
      <c r="AQ114" s="61" t="n"/>
      <c r="AR114" s="61" t="n"/>
      <c r="AS114" s="61" t="n"/>
      <c r="AT114" s="61" t="n"/>
      <c r="AU114" s="61" t="n"/>
      <c r="AV114" s="61" t="n"/>
      <c r="AW114" s="61" t="n"/>
      <c r="AX114" s="61" t="n"/>
      <c r="AY114" s="61" t="n"/>
      <c r="AZ114" s="61" t="n"/>
      <c r="BA114" s="61" t="n"/>
      <c r="BB114" s="61" t="n"/>
      <c r="BC114" s="61" t="n"/>
      <c r="BD114" s="61" t="n"/>
      <c r="BE114" s="61" t="n"/>
      <c r="BF114" s="61" t="n"/>
      <c r="BG114" s="61" t="n"/>
      <c r="BH114" s="61" t="n"/>
      <c r="BI114" s="61" t="n"/>
      <c r="BJ114" s="61" t="n"/>
      <c r="BK114" s="61" t="n"/>
      <c r="BL114" s="61" t="n"/>
      <c r="BM114" s="61" t="n"/>
      <c r="BN114" s="61" t="n"/>
      <c r="BO114" s="61" t="n"/>
      <c r="BP114" s="61" t="n"/>
      <c r="BQ114" s="61" t="n"/>
      <c r="BR114" s="61" t="n"/>
      <c r="BS114" s="61" t="n"/>
      <c r="BT114" s="61" t="n"/>
      <c r="BU114" s="61" t="n"/>
      <c r="BV114" s="61" t="n"/>
      <c r="BW114" s="61" t="n"/>
      <c r="BX114" s="61" t="n"/>
      <c r="BY114" s="61" t="n"/>
      <c r="BZ114" s="61" t="n"/>
      <c r="CA114" s="61" t="n"/>
      <c r="CB114" s="61" t="n"/>
      <c r="CC114" s="61" t="n"/>
      <c r="CD114" s="61" t="n"/>
      <c r="CE114" s="61" t="n"/>
      <c r="CF114" s="61" t="n"/>
      <c r="CG114" s="61" t="n"/>
      <c r="CH114" s="61" t="n"/>
    </row>
    <row r="115" ht="18.75" customHeight="1" s="98">
      <c r="A115" s="5" t="n"/>
      <c r="B115" s="59" t="n"/>
      <c r="C115" s="44" t="n"/>
      <c r="D115" s="59" t="n"/>
      <c r="E115" s="88" t="n"/>
      <c r="F115" s="66" t="n"/>
      <c r="G115" s="59" t="n"/>
      <c r="H115" s="44" t="n"/>
      <c r="I115" s="45" t="n"/>
      <c r="J115" s="59" t="n"/>
      <c r="K115" s="47" t="n"/>
      <c r="L115" s="47" t="n"/>
      <c r="M115" s="47" t="n"/>
      <c r="N115" s="47" t="n"/>
      <c r="O115" s="44" t="n"/>
      <c r="P115" s="62" t="n"/>
      <c r="Q115" s="44" t="n"/>
      <c r="R115" s="66" t="n"/>
      <c r="S115" s="61" t="n"/>
      <c r="T115" s="61" t="n"/>
      <c r="U115" s="61" t="n"/>
      <c r="V115" s="61" t="n"/>
      <c r="W115" s="61" t="n"/>
      <c r="X115" s="61" t="n"/>
      <c r="Y115" s="61" t="n"/>
      <c r="Z115" s="61" t="n"/>
      <c r="AA115" s="61" t="n"/>
      <c r="AB115" s="61" t="n"/>
      <c r="AC115" s="61" t="n"/>
      <c r="AD115" s="61" t="n"/>
      <c r="AE115" s="61" t="n"/>
      <c r="AF115" s="61" t="n"/>
      <c r="AG115" s="61" t="n"/>
      <c r="AH115" s="61" t="n"/>
      <c r="AI115" s="61" t="n"/>
      <c r="AJ115" s="61" t="n"/>
      <c r="AK115" s="61" t="n"/>
      <c r="AL115" s="61" t="n"/>
      <c r="AM115" s="61" t="n"/>
      <c r="AN115" s="61" t="n"/>
      <c r="AO115" s="61" t="n"/>
      <c r="AP115" s="61" t="n"/>
      <c r="AQ115" s="61" t="n"/>
      <c r="AR115" s="61" t="n"/>
      <c r="AS115" s="61" t="n"/>
      <c r="AT115" s="61" t="n"/>
      <c r="AU115" s="61" t="n"/>
      <c r="AV115" s="61" t="n"/>
      <c r="AW115" s="61" t="n"/>
      <c r="AX115" s="61" t="n"/>
      <c r="AY115" s="61" t="n"/>
      <c r="AZ115" s="61" t="n"/>
      <c r="BA115" s="61" t="n"/>
      <c r="BB115" s="61" t="n"/>
      <c r="BC115" s="61" t="n"/>
      <c r="BD115" s="61" t="n"/>
      <c r="BE115" s="61" t="n"/>
      <c r="BF115" s="61" t="n"/>
      <c r="BG115" s="61" t="n"/>
      <c r="BH115" s="61" t="n"/>
      <c r="BI115" s="61" t="n"/>
      <c r="BJ115" s="61" t="n"/>
      <c r="BK115" s="61" t="n"/>
      <c r="BL115" s="61" t="n"/>
      <c r="BM115" s="61" t="n"/>
      <c r="BN115" s="61" t="n"/>
      <c r="BO115" s="61" t="n"/>
      <c r="BP115" s="61" t="n"/>
      <c r="BQ115" s="61" t="n"/>
      <c r="BR115" s="61" t="n"/>
      <c r="BS115" s="61" t="n"/>
      <c r="BT115" s="61" t="n"/>
      <c r="BU115" s="61" t="n"/>
      <c r="BV115" s="61" t="n"/>
      <c r="BW115" s="61" t="n"/>
      <c r="BX115" s="61" t="n"/>
      <c r="BY115" s="61" t="n"/>
      <c r="BZ115" s="61" t="n"/>
      <c r="CA115" s="61" t="n"/>
      <c r="CB115" s="61" t="n"/>
      <c r="CC115" s="61" t="n"/>
      <c r="CD115" s="61" t="n"/>
      <c r="CE115" s="61" t="n"/>
      <c r="CF115" s="61" t="n"/>
      <c r="CG115" s="61" t="n"/>
      <c r="CH115" s="61" t="n"/>
    </row>
    <row r="116" ht="18.75" customHeight="1" s="98">
      <c r="A116" s="5" t="n"/>
      <c r="B116" s="59" t="n"/>
      <c r="C116" s="44" t="n"/>
      <c r="D116" s="59" t="n"/>
      <c r="E116" s="88" t="n"/>
      <c r="F116" s="66" t="n"/>
      <c r="G116" s="59" t="n"/>
      <c r="H116" s="44" t="n"/>
      <c r="I116" s="45" t="n"/>
      <c r="J116" s="59" t="n"/>
      <c r="K116" s="47" t="n"/>
      <c r="L116" s="47" t="n"/>
      <c r="M116" s="47" t="n"/>
      <c r="N116" s="47" t="n"/>
      <c r="O116" s="44" t="n"/>
      <c r="P116" s="62" t="n"/>
      <c r="Q116" s="44" t="n"/>
      <c r="R116" s="66" t="n"/>
      <c r="S116" s="61" t="n"/>
      <c r="T116" s="61" t="n"/>
      <c r="U116" s="61" t="n"/>
      <c r="V116" s="61" t="n"/>
      <c r="W116" s="61" t="n"/>
      <c r="X116" s="61" t="n"/>
      <c r="Y116" s="61" t="n"/>
      <c r="Z116" s="61" t="n"/>
      <c r="AA116" s="61" t="n"/>
      <c r="AB116" s="61" t="n"/>
      <c r="AC116" s="61" t="n"/>
      <c r="AD116" s="61" t="n"/>
      <c r="AE116" s="61" t="n"/>
      <c r="AF116" s="61" t="n"/>
      <c r="AG116" s="61" t="n"/>
      <c r="AH116" s="61" t="n"/>
      <c r="AI116" s="61" t="n"/>
      <c r="AJ116" s="61" t="n"/>
      <c r="AK116" s="61" t="n"/>
      <c r="AL116" s="61" t="n"/>
      <c r="AM116" s="61" t="n"/>
      <c r="AN116" s="61" t="n"/>
      <c r="AO116" s="61" t="n"/>
      <c r="AP116" s="61" t="n"/>
      <c r="AQ116" s="61" t="n"/>
      <c r="AR116" s="61" t="n"/>
      <c r="AS116" s="61" t="n"/>
      <c r="AT116" s="61" t="n"/>
      <c r="AU116" s="61" t="n"/>
      <c r="AV116" s="61" t="n"/>
      <c r="AW116" s="61" t="n"/>
      <c r="AX116" s="61" t="n"/>
      <c r="AY116" s="61" t="n"/>
      <c r="AZ116" s="61" t="n"/>
      <c r="BA116" s="61" t="n"/>
      <c r="BB116" s="61" t="n"/>
      <c r="BC116" s="61" t="n"/>
      <c r="BD116" s="61" t="n"/>
      <c r="BE116" s="61" t="n"/>
      <c r="BF116" s="61" t="n"/>
      <c r="BG116" s="61" t="n"/>
      <c r="BH116" s="61" t="n"/>
      <c r="BI116" s="61" t="n"/>
      <c r="BJ116" s="61" t="n"/>
      <c r="BK116" s="61" t="n"/>
      <c r="BL116" s="61" t="n"/>
      <c r="BM116" s="61" t="n"/>
      <c r="BN116" s="61" t="n"/>
      <c r="BO116" s="61" t="n"/>
      <c r="BP116" s="61" t="n"/>
      <c r="BQ116" s="61" t="n"/>
      <c r="BR116" s="61" t="n"/>
      <c r="BS116" s="61" t="n"/>
      <c r="BT116" s="61" t="n"/>
      <c r="BU116" s="61" t="n"/>
      <c r="BV116" s="61" t="n"/>
      <c r="BW116" s="61" t="n"/>
      <c r="BX116" s="61" t="n"/>
      <c r="BY116" s="61" t="n"/>
      <c r="BZ116" s="61" t="n"/>
      <c r="CA116" s="61" t="n"/>
      <c r="CB116" s="61" t="n"/>
      <c r="CC116" s="61" t="n"/>
      <c r="CD116" s="61" t="n"/>
      <c r="CE116" s="61" t="n"/>
      <c r="CF116" s="61" t="n"/>
      <c r="CG116" s="61" t="n"/>
      <c r="CH116" s="61" t="n"/>
    </row>
    <row r="117" ht="18.75" customHeight="1" s="98">
      <c r="A117" s="5" t="n"/>
      <c r="B117" s="59" t="n"/>
      <c r="C117" s="44" t="n"/>
      <c r="D117" s="59" t="n"/>
      <c r="E117" s="88" t="n"/>
      <c r="F117" s="66" t="n"/>
      <c r="G117" s="59" t="n"/>
      <c r="H117" s="44" t="n"/>
      <c r="I117" s="45" t="n"/>
      <c r="J117" s="59" t="n"/>
      <c r="K117" s="47" t="n"/>
      <c r="L117" s="47" t="n"/>
      <c r="M117" s="47" t="n"/>
      <c r="N117" s="47" t="n"/>
      <c r="O117" s="44" t="n"/>
      <c r="P117" s="62" t="n"/>
      <c r="Q117" s="44" t="n"/>
      <c r="R117" s="66" t="n"/>
      <c r="S117" s="61" t="n"/>
      <c r="T117" s="61" t="n"/>
      <c r="U117" s="61" t="n"/>
      <c r="V117" s="61" t="n"/>
      <c r="W117" s="61" t="n"/>
      <c r="X117" s="61" t="n"/>
      <c r="Y117" s="61" t="n"/>
      <c r="Z117" s="61" t="n"/>
      <c r="AA117" s="61" t="n"/>
      <c r="AB117" s="61" t="n"/>
      <c r="AC117" s="61" t="n"/>
      <c r="AD117" s="61" t="n"/>
      <c r="AE117" s="61" t="n"/>
      <c r="AF117" s="61" t="n"/>
      <c r="AG117" s="61" t="n"/>
      <c r="AH117" s="61" t="n"/>
      <c r="AI117" s="61" t="n"/>
      <c r="AJ117" s="61" t="n"/>
      <c r="AK117" s="61" t="n"/>
      <c r="AL117" s="61" t="n"/>
      <c r="AM117" s="61" t="n"/>
      <c r="AN117" s="61" t="n"/>
      <c r="AO117" s="61" t="n"/>
      <c r="AP117" s="61" t="n"/>
      <c r="AQ117" s="61" t="n"/>
      <c r="AR117" s="61" t="n"/>
      <c r="AS117" s="61" t="n"/>
      <c r="AT117" s="61" t="n"/>
      <c r="AU117" s="61" t="n"/>
      <c r="AV117" s="61" t="n"/>
      <c r="AW117" s="61" t="n"/>
      <c r="AX117" s="61" t="n"/>
      <c r="AY117" s="61" t="n"/>
      <c r="AZ117" s="61" t="n"/>
      <c r="BA117" s="61" t="n"/>
      <c r="BB117" s="61" t="n"/>
      <c r="BC117" s="61" t="n"/>
      <c r="BD117" s="61" t="n"/>
      <c r="BE117" s="61" t="n"/>
      <c r="BF117" s="61" t="n"/>
      <c r="BG117" s="61" t="n"/>
      <c r="BH117" s="61" t="n"/>
      <c r="BI117" s="61" t="n"/>
      <c r="BJ117" s="61" t="n"/>
      <c r="BK117" s="61" t="n"/>
      <c r="BL117" s="61" t="n"/>
      <c r="BM117" s="61" t="n"/>
      <c r="BN117" s="61" t="n"/>
      <c r="BO117" s="61" t="n"/>
      <c r="BP117" s="61" t="n"/>
      <c r="BQ117" s="61" t="n"/>
      <c r="BR117" s="61" t="n"/>
      <c r="BS117" s="61" t="n"/>
      <c r="BT117" s="61" t="n"/>
      <c r="BU117" s="61" t="n"/>
      <c r="BV117" s="61" t="n"/>
      <c r="BW117" s="61" t="n"/>
      <c r="BX117" s="61" t="n"/>
      <c r="BY117" s="61" t="n"/>
      <c r="BZ117" s="61" t="n"/>
      <c r="CA117" s="61" t="n"/>
      <c r="CB117" s="61" t="n"/>
      <c r="CC117" s="61" t="n"/>
      <c r="CD117" s="61" t="n"/>
      <c r="CE117" s="61" t="n"/>
      <c r="CF117" s="61" t="n"/>
      <c r="CG117" s="61" t="n"/>
      <c r="CH117" s="61" t="n"/>
    </row>
    <row r="118" ht="18.75" customHeight="1" s="98">
      <c r="A118" s="5" t="n"/>
      <c r="B118" s="59" t="n"/>
      <c r="C118" s="44" t="n"/>
      <c r="D118" s="59" t="n"/>
      <c r="E118" s="88" t="n"/>
      <c r="F118" s="66" t="n"/>
      <c r="G118" s="59" t="n"/>
      <c r="H118" s="44" t="n"/>
      <c r="I118" s="45" t="n"/>
      <c r="J118" s="59" t="n"/>
      <c r="K118" s="47" t="n"/>
      <c r="L118" s="47" t="n"/>
      <c r="M118" s="47" t="n"/>
      <c r="N118" s="47" t="n"/>
      <c r="O118" s="44" t="n"/>
      <c r="P118" s="62" t="n"/>
      <c r="Q118" s="44" t="n"/>
      <c r="R118" s="66" t="n"/>
      <c r="S118" s="61" t="n"/>
      <c r="T118" s="61" t="n"/>
      <c r="U118" s="61" t="n"/>
      <c r="V118" s="61" t="n"/>
      <c r="W118" s="61" t="n"/>
      <c r="X118" s="61" t="n"/>
      <c r="Y118" s="61" t="n"/>
      <c r="Z118" s="61" t="n"/>
      <c r="AA118" s="61" t="n"/>
      <c r="AB118" s="61" t="n"/>
      <c r="AC118" s="61" t="n"/>
      <c r="AD118" s="61" t="n"/>
      <c r="AE118" s="61" t="n"/>
      <c r="AF118" s="61" t="n"/>
      <c r="AG118" s="61" t="n"/>
      <c r="AH118" s="61" t="n"/>
      <c r="AI118" s="61" t="n"/>
      <c r="AJ118" s="61" t="n"/>
      <c r="AK118" s="61" t="n"/>
      <c r="AL118" s="61" t="n"/>
      <c r="AM118" s="61" t="n"/>
      <c r="AN118" s="61" t="n"/>
      <c r="AO118" s="61" t="n"/>
      <c r="AP118" s="61" t="n"/>
      <c r="AQ118" s="61" t="n"/>
      <c r="AR118" s="61" t="n"/>
      <c r="AS118" s="61" t="n"/>
      <c r="AT118" s="61" t="n"/>
      <c r="AU118" s="61" t="n"/>
      <c r="AV118" s="61" t="n"/>
      <c r="AW118" s="61" t="n"/>
      <c r="AX118" s="61" t="n"/>
      <c r="AY118" s="61" t="n"/>
      <c r="AZ118" s="61" t="n"/>
      <c r="BA118" s="61" t="n"/>
      <c r="BB118" s="61" t="n"/>
      <c r="BC118" s="61" t="n"/>
      <c r="BD118" s="61" t="n"/>
      <c r="BE118" s="61" t="n"/>
      <c r="BF118" s="61" t="n"/>
      <c r="BG118" s="61" t="n"/>
      <c r="BH118" s="61" t="n"/>
      <c r="BI118" s="61" t="n"/>
      <c r="BJ118" s="61" t="n"/>
      <c r="BK118" s="61" t="n"/>
      <c r="BL118" s="61" t="n"/>
      <c r="BM118" s="61" t="n"/>
      <c r="BN118" s="61" t="n"/>
      <c r="BO118" s="61" t="n"/>
      <c r="BP118" s="61" t="n"/>
      <c r="BQ118" s="61" t="n"/>
      <c r="BR118" s="61" t="n"/>
      <c r="BS118" s="61" t="n"/>
      <c r="BT118" s="61" t="n"/>
      <c r="BU118" s="61" t="n"/>
      <c r="BV118" s="61" t="n"/>
      <c r="BW118" s="61" t="n"/>
      <c r="BX118" s="61" t="n"/>
      <c r="BY118" s="61" t="n"/>
      <c r="BZ118" s="61" t="n"/>
      <c r="CA118" s="61" t="n"/>
      <c r="CB118" s="61" t="n"/>
      <c r="CC118" s="61" t="n"/>
      <c r="CD118" s="61" t="n"/>
      <c r="CE118" s="61" t="n"/>
      <c r="CF118" s="61" t="n"/>
      <c r="CG118" s="61" t="n"/>
      <c r="CH118" s="61" t="n"/>
    </row>
    <row r="119" ht="18.75" customHeight="1" s="98">
      <c r="A119" s="5" t="n"/>
      <c r="B119" s="59" t="n"/>
      <c r="C119" s="44" t="n"/>
      <c r="D119" s="59" t="n"/>
      <c r="E119" s="88" t="n"/>
      <c r="F119" s="66" t="n"/>
      <c r="G119" s="59" t="n"/>
      <c r="H119" s="44" t="n"/>
      <c r="I119" s="45" t="n"/>
      <c r="J119" s="59" t="n"/>
      <c r="K119" s="47" t="n"/>
      <c r="L119" s="47" t="n"/>
      <c r="M119" s="47" t="n"/>
      <c r="N119" s="47" t="n"/>
      <c r="O119" s="44" t="n"/>
      <c r="P119" s="62" t="n"/>
      <c r="Q119" s="59" t="n"/>
      <c r="R119" s="66" t="n"/>
      <c r="S119" s="61" t="n"/>
      <c r="T119" s="61" t="n"/>
      <c r="U119" s="61" t="n"/>
      <c r="V119" s="61" t="n"/>
      <c r="W119" s="61" t="n"/>
      <c r="X119" s="61" t="n"/>
      <c r="Y119" s="61" t="n"/>
      <c r="Z119" s="61" t="n"/>
      <c r="AA119" s="61" t="n"/>
      <c r="AB119" s="61" t="n"/>
      <c r="AC119" s="61" t="n"/>
      <c r="AD119" s="61" t="n"/>
      <c r="AE119" s="61" t="n"/>
      <c r="AF119" s="61" t="n"/>
      <c r="AG119" s="61" t="n"/>
      <c r="AH119" s="61" t="n"/>
      <c r="AI119" s="61" t="n"/>
      <c r="AJ119" s="61" t="n"/>
      <c r="AK119" s="61" t="n"/>
      <c r="AL119" s="61" t="n"/>
      <c r="AM119" s="61" t="n"/>
      <c r="AN119" s="61" t="n"/>
      <c r="AO119" s="61" t="n"/>
      <c r="AP119" s="61" t="n"/>
      <c r="AQ119" s="61" t="n"/>
      <c r="AR119" s="61" t="n"/>
      <c r="AS119" s="61" t="n"/>
      <c r="AT119" s="61" t="n"/>
      <c r="AU119" s="61" t="n"/>
      <c r="AV119" s="61" t="n"/>
      <c r="AW119" s="61" t="n"/>
      <c r="AX119" s="61" t="n"/>
      <c r="AY119" s="61" t="n"/>
      <c r="AZ119" s="61" t="n"/>
      <c r="BA119" s="61" t="n"/>
      <c r="BB119" s="61" t="n"/>
      <c r="BC119" s="61" t="n"/>
      <c r="BD119" s="61" t="n"/>
      <c r="BE119" s="61" t="n"/>
      <c r="BF119" s="61" t="n"/>
      <c r="BG119" s="61" t="n"/>
      <c r="BH119" s="61" t="n"/>
      <c r="BI119" s="61" t="n"/>
      <c r="BJ119" s="61" t="n"/>
      <c r="BK119" s="61" t="n"/>
      <c r="BL119" s="61" t="n"/>
      <c r="BM119" s="61" t="n"/>
      <c r="BN119" s="61" t="n"/>
      <c r="BO119" s="61" t="n"/>
      <c r="BP119" s="61" t="n"/>
      <c r="BQ119" s="61" t="n"/>
      <c r="BR119" s="61" t="n"/>
      <c r="BS119" s="61" t="n"/>
      <c r="BT119" s="61" t="n"/>
      <c r="BU119" s="61" t="n"/>
      <c r="BV119" s="61" t="n"/>
      <c r="BW119" s="61" t="n"/>
      <c r="BX119" s="61" t="n"/>
      <c r="BY119" s="61" t="n"/>
      <c r="BZ119" s="61" t="n"/>
      <c r="CA119" s="61" t="n"/>
      <c r="CB119" s="61" t="n"/>
      <c r="CC119" s="61" t="n"/>
      <c r="CD119" s="61" t="n"/>
      <c r="CE119" s="61" t="n"/>
      <c r="CF119" s="61" t="n"/>
      <c r="CG119" s="61" t="n"/>
      <c r="CH119" s="61" t="n"/>
    </row>
    <row r="120" ht="18.75" customHeight="1" s="98">
      <c r="A120" s="5" t="n"/>
      <c r="B120" s="59" t="n"/>
      <c r="C120" s="44" t="n"/>
      <c r="D120" s="59" t="n"/>
      <c r="E120" s="88" t="n"/>
      <c r="F120" s="66" t="n"/>
      <c r="G120" s="59" t="n"/>
      <c r="H120" s="44" t="n"/>
      <c r="I120" s="45" t="n"/>
      <c r="J120" s="59" t="n"/>
      <c r="K120" s="47" t="n"/>
      <c r="L120" s="47" t="n"/>
      <c r="M120" s="47" t="n"/>
      <c r="N120" s="47" t="n"/>
      <c r="O120" s="44" t="n"/>
      <c r="P120" s="62" t="n"/>
      <c r="Q120" s="44" t="n"/>
      <c r="R120" s="66" t="n"/>
      <c r="S120" s="61" t="n"/>
      <c r="T120" s="61" t="n"/>
      <c r="U120" s="61" t="n"/>
      <c r="V120" s="61" t="n"/>
      <c r="W120" s="61" t="n"/>
      <c r="X120" s="61" t="n"/>
      <c r="Y120" s="61" t="n"/>
      <c r="Z120" s="61" t="n"/>
      <c r="AA120" s="61" t="n"/>
      <c r="AB120" s="61" t="n"/>
      <c r="AC120" s="61" t="n"/>
      <c r="AD120" s="61" t="n"/>
      <c r="AE120" s="61" t="n"/>
      <c r="AF120" s="61" t="n"/>
      <c r="AG120" s="61" t="n"/>
      <c r="AH120" s="61" t="n"/>
      <c r="AI120" s="61" t="n"/>
      <c r="AJ120" s="61" t="n"/>
      <c r="AK120" s="61" t="n"/>
      <c r="AL120" s="61" t="n"/>
      <c r="AM120" s="61" t="n"/>
      <c r="AN120" s="61" t="n"/>
      <c r="AO120" s="61" t="n"/>
      <c r="AP120" s="61" t="n"/>
      <c r="AQ120" s="61" t="n"/>
      <c r="AR120" s="61" t="n"/>
      <c r="AS120" s="61" t="n"/>
      <c r="AT120" s="61" t="n"/>
      <c r="AU120" s="61" t="n"/>
      <c r="AV120" s="61" t="n"/>
      <c r="AW120" s="61" t="n"/>
      <c r="AX120" s="61" t="n"/>
      <c r="AY120" s="61" t="n"/>
      <c r="AZ120" s="61" t="n"/>
      <c r="BA120" s="61" t="n"/>
      <c r="BB120" s="61" t="n"/>
      <c r="BC120" s="61" t="n"/>
      <c r="BD120" s="61" t="n"/>
      <c r="BE120" s="61" t="n"/>
      <c r="BF120" s="61" t="n"/>
      <c r="BG120" s="61" t="n"/>
      <c r="BH120" s="61" t="n"/>
      <c r="BI120" s="61" t="n"/>
      <c r="BJ120" s="61" t="n"/>
      <c r="BK120" s="61" t="n"/>
      <c r="BL120" s="61" t="n"/>
      <c r="BM120" s="61" t="n"/>
      <c r="BN120" s="61" t="n"/>
      <c r="BO120" s="61" t="n"/>
      <c r="BP120" s="61" t="n"/>
      <c r="BQ120" s="61" t="n"/>
      <c r="BR120" s="61" t="n"/>
      <c r="BS120" s="61" t="n"/>
      <c r="BT120" s="61" t="n"/>
      <c r="BU120" s="61" t="n"/>
      <c r="BV120" s="61" t="n"/>
      <c r="BW120" s="61" t="n"/>
      <c r="BX120" s="61" t="n"/>
      <c r="BY120" s="61" t="n"/>
      <c r="BZ120" s="61" t="n"/>
      <c r="CA120" s="61" t="n"/>
      <c r="CB120" s="61" t="n"/>
      <c r="CC120" s="61" t="n"/>
      <c r="CD120" s="61" t="n"/>
      <c r="CE120" s="61" t="n"/>
      <c r="CF120" s="61" t="n"/>
      <c r="CG120" s="61" t="n"/>
      <c r="CH120" s="61" t="n"/>
    </row>
    <row r="121" ht="18.75" customHeight="1" s="98">
      <c r="A121" s="5" t="n"/>
      <c r="B121" s="59" t="n"/>
      <c r="C121" s="44" t="n"/>
      <c r="D121" s="59" t="n"/>
      <c r="E121" s="88" t="n"/>
      <c r="F121" s="66" t="n"/>
      <c r="G121" s="59" t="n"/>
      <c r="H121" s="44" t="n"/>
      <c r="I121" s="45" t="n"/>
      <c r="J121" s="59" t="n"/>
      <c r="K121" s="47" t="n"/>
      <c r="L121" s="47" t="n"/>
      <c r="M121" s="47" t="n"/>
      <c r="N121" s="47" t="n"/>
      <c r="O121" s="44" t="n"/>
      <c r="P121" s="62" t="n"/>
      <c r="Q121" s="44" t="n"/>
      <c r="R121" s="66" t="n"/>
      <c r="S121" s="61" t="n"/>
      <c r="T121" s="61" t="n"/>
      <c r="U121" s="61" t="n"/>
      <c r="V121" s="61" t="n"/>
      <c r="W121" s="61" t="n"/>
      <c r="X121" s="61" t="n"/>
      <c r="Y121" s="61" t="n"/>
      <c r="Z121" s="61" t="n"/>
      <c r="AA121" s="61" t="n"/>
      <c r="AB121" s="61" t="n"/>
      <c r="AC121" s="61" t="n"/>
      <c r="AD121" s="61" t="n"/>
      <c r="AE121" s="61" t="n"/>
      <c r="AF121" s="61" t="n"/>
      <c r="AG121" s="61" t="n"/>
      <c r="AH121" s="61" t="n"/>
      <c r="AI121" s="61" t="n"/>
      <c r="AJ121" s="61" t="n"/>
      <c r="AK121" s="61" t="n"/>
      <c r="AL121" s="61" t="n"/>
      <c r="AM121" s="61" t="n"/>
      <c r="AN121" s="61" t="n"/>
      <c r="AO121" s="61" t="n"/>
      <c r="AP121" s="61" t="n"/>
      <c r="AQ121" s="61" t="n"/>
      <c r="AR121" s="61" t="n"/>
      <c r="AS121" s="61" t="n"/>
      <c r="AT121" s="61" t="n"/>
      <c r="AU121" s="61" t="n"/>
      <c r="AV121" s="61" t="n"/>
      <c r="AW121" s="61" t="n"/>
      <c r="AX121" s="61" t="n"/>
      <c r="AY121" s="61" t="n"/>
      <c r="AZ121" s="61" t="n"/>
      <c r="BA121" s="61" t="n"/>
      <c r="BB121" s="61" t="n"/>
      <c r="BC121" s="61" t="n"/>
      <c r="BD121" s="61" t="n"/>
      <c r="BE121" s="61" t="n"/>
      <c r="BF121" s="61" t="n"/>
      <c r="BG121" s="61" t="n"/>
      <c r="BH121" s="61" t="n"/>
      <c r="BI121" s="61" t="n"/>
      <c r="BJ121" s="61" t="n"/>
      <c r="BK121" s="61" t="n"/>
      <c r="BL121" s="61" t="n"/>
      <c r="BM121" s="61" t="n"/>
      <c r="BN121" s="61" t="n"/>
      <c r="BO121" s="61" t="n"/>
      <c r="BP121" s="61" t="n"/>
      <c r="BQ121" s="61" t="n"/>
      <c r="BR121" s="61" t="n"/>
      <c r="BS121" s="61" t="n"/>
      <c r="BT121" s="61" t="n"/>
      <c r="BU121" s="61" t="n"/>
      <c r="BV121" s="61" t="n"/>
      <c r="BW121" s="61" t="n"/>
      <c r="BX121" s="61" t="n"/>
      <c r="BY121" s="61" t="n"/>
      <c r="BZ121" s="61" t="n"/>
      <c r="CA121" s="61" t="n"/>
      <c r="CB121" s="61" t="n"/>
      <c r="CC121" s="61" t="n"/>
      <c r="CD121" s="61" t="n"/>
      <c r="CE121" s="61" t="n"/>
      <c r="CF121" s="61" t="n"/>
      <c r="CG121" s="61" t="n"/>
      <c r="CH121" s="61" t="n"/>
    </row>
    <row r="122" ht="18.75" customHeight="1" s="98">
      <c r="A122" s="5" t="n"/>
      <c r="B122" s="59" t="n"/>
      <c r="C122" s="44" t="n"/>
      <c r="D122" s="59" t="n"/>
      <c r="E122" s="88" t="n"/>
      <c r="F122" s="66" t="n"/>
      <c r="G122" s="59" t="n"/>
      <c r="H122" s="44" t="n"/>
      <c r="I122" s="45" t="n"/>
      <c r="J122" s="59" t="n"/>
      <c r="K122" s="47" t="n"/>
      <c r="L122" s="47" t="n"/>
      <c r="M122" s="47" t="n"/>
      <c r="N122" s="47" t="n"/>
      <c r="O122" s="44" t="n"/>
      <c r="P122" s="62" t="n"/>
      <c r="Q122" s="44" t="n"/>
      <c r="R122" s="66" t="n"/>
      <c r="S122" s="61" t="n"/>
      <c r="T122" s="61" t="n"/>
      <c r="U122" s="61" t="n"/>
      <c r="V122" s="61" t="n"/>
      <c r="W122" s="61" t="n"/>
      <c r="X122" s="61" t="n"/>
      <c r="Y122" s="61" t="n"/>
      <c r="Z122" s="61" t="n"/>
      <c r="AA122" s="61" t="n"/>
      <c r="AB122" s="61" t="n"/>
      <c r="AC122" s="61" t="n"/>
      <c r="AD122" s="61" t="n"/>
      <c r="AE122" s="61" t="n"/>
      <c r="AF122" s="61" t="n"/>
      <c r="AG122" s="61" t="n"/>
      <c r="AH122" s="61" t="n"/>
      <c r="AI122" s="61" t="n"/>
      <c r="AJ122" s="61" t="n"/>
      <c r="AK122" s="61" t="n"/>
      <c r="AL122" s="61" t="n"/>
      <c r="AM122" s="61" t="n"/>
      <c r="AN122" s="61" t="n"/>
      <c r="AO122" s="61" t="n"/>
      <c r="AP122" s="61" t="n"/>
      <c r="AQ122" s="61" t="n"/>
      <c r="AR122" s="61" t="n"/>
      <c r="AS122" s="61" t="n"/>
      <c r="AT122" s="61" t="n"/>
      <c r="AU122" s="61" t="n"/>
      <c r="AV122" s="61" t="n"/>
      <c r="AW122" s="61" t="n"/>
      <c r="AX122" s="61" t="n"/>
      <c r="AY122" s="61" t="n"/>
      <c r="AZ122" s="61" t="n"/>
      <c r="BA122" s="61" t="n"/>
      <c r="BB122" s="61" t="n"/>
      <c r="BC122" s="61" t="n"/>
      <c r="BD122" s="61" t="n"/>
      <c r="BE122" s="61" t="n"/>
      <c r="BF122" s="61" t="n"/>
      <c r="BG122" s="61" t="n"/>
      <c r="BH122" s="61" t="n"/>
      <c r="BI122" s="61" t="n"/>
      <c r="BJ122" s="61" t="n"/>
      <c r="BK122" s="61" t="n"/>
      <c r="BL122" s="61" t="n"/>
      <c r="BM122" s="61" t="n"/>
      <c r="BN122" s="61" t="n"/>
      <c r="BO122" s="61" t="n"/>
      <c r="BP122" s="61" t="n"/>
      <c r="BQ122" s="61" t="n"/>
      <c r="BR122" s="61" t="n"/>
      <c r="BS122" s="61" t="n"/>
      <c r="BT122" s="61" t="n"/>
      <c r="BU122" s="61" t="n"/>
      <c r="BV122" s="61" t="n"/>
      <c r="BW122" s="61" t="n"/>
      <c r="BX122" s="61" t="n"/>
      <c r="BY122" s="61" t="n"/>
      <c r="BZ122" s="61" t="n"/>
      <c r="CA122" s="61" t="n"/>
      <c r="CB122" s="61" t="n"/>
      <c r="CC122" s="61" t="n"/>
      <c r="CD122" s="61" t="n"/>
      <c r="CE122" s="61" t="n"/>
      <c r="CF122" s="61" t="n"/>
      <c r="CG122" s="61" t="n"/>
      <c r="CH122" s="61" t="n"/>
    </row>
    <row r="123" ht="18.75" customHeight="1" s="98">
      <c r="A123" s="5" t="n"/>
      <c r="B123" s="59" t="n"/>
      <c r="C123" s="44" t="n"/>
      <c r="D123" s="59" t="n"/>
      <c r="E123" s="88" t="n"/>
      <c r="F123" s="66" t="n"/>
      <c r="G123" s="59" t="n"/>
      <c r="H123" s="44" t="n"/>
      <c r="I123" s="45" t="n"/>
      <c r="J123" s="59" t="n"/>
      <c r="K123" s="47" t="n"/>
      <c r="L123" s="47" t="n"/>
      <c r="M123" s="47" t="n"/>
      <c r="N123" s="47" t="n"/>
      <c r="O123" s="44" t="n"/>
      <c r="P123" s="62" t="n"/>
      <c r="Q123" s="59" t="n"/>
      <c r="R123" s="66" t="n"/>
      <c r="S123" s="61" t="n"/>
      <c r="T123" s="61" t="n"/>
      <c r="U123" s="61" t="n"/>
      <c r="V123" s="61" t="n"/>
      <c r="W123" s="61" t="n"/>
      <c r="X123" s="61" t="n"/>
      <c r="Y123" s="61" t="n"/>
      <c r="Z123" s="61" t="n"/>
      <c r="AA123" s="61" t="n"/>
      <c r="AB123" s="61" t="n"/>
      <c r="AC123" s="61" t="n"/>
      <c r="AD123" s="61" t="n"/>
      <c r="AE123" s="61" t="n"/>
      <c r="AF123" s="61" t="n"/>
      <c r="AG123" s="61" t="n"/>
      <c r="AH123" s="61" t="n"/>
      <c r="AI123" s="61" t="n"/>
      <c r="AJ123" s="61" t="n"/>
      <c r="AK123" s="61" t="n"/>
      <c r="AL123" s="61" t="n"/>
      <c r="AM123" s="61" t="n"/>
      <c r="AN123" s="61" t="n"/>
      <c r="AO123" s="61" t="n"/>
      <c r="AP123" s="61" t="n"/>
      <c r="AQ123" s="61" t="n"/>
      <c r="AR123" s="61" t="n"/>
      <c r="AS123" s="61" t="n"/>
      <c r="AT123" s="61" t="n"/>
      <c r="AU123" s="61" t="n"/>
      <c r="AV123" s="61" t="n"/>
      <c r="AW123" s="61" t="n"/>
      <c r="AX123" s="61" t="n"/>
      <c r="AY123" s="61" t="n"/>
      <c r="AZ123" s="61" t="n"/>
      <c r="BA123" s="61" t="n"/>
      <c r="BB123" s="61" t="n"/>
      <c r="BC123" s="61" t="n"/>
      <c r="BD123" s="61" t="n"/>
      <c r="BE123" s="61" t="n"/>
      <c r="BF123" s="61" t="n"/>
      <c r="BG123" s="61" t="n"/>
      <c r="BH123" s="61" t="n"/>
      <c r="BI123" s="61" t="n"/>
      <c r="BJ123" s="61" t="n"/>
      <c r="BK123" s="61" t="n"/>
      <c r="BL123" s="61" t="n"/>
      <c r="BM123" s="61" t="n"/>
      <c r="BN123" s="61" t="n"/>
      <c r="BO123" s="61" t="n"/>
      <c r="BP123" s="61" t="n"/>
      <c r="BQ123" s="61" t="n"/>
      <c r="BR123" s="61" t="n"/>
      <c r="BS123" s="61" t="n"/>
      <c r="BT123" s="61" t="n"/>
      <c r="BU123" s="61" t="n"/>
      <c r="BV123" s="61" t="n"/>
      <c r="BW123" s="61" t="n"/>
      <c r="BX123" s="61" t="n"/>
      <c r="BY123" s="61" t="n"/>
      <c r="BZ123" s="61" t="n"/>
      <c r="CA123" s="61" t="n"/>
      <c r="CB123" s="61" t="n"/>
      <c r="CC123" s="61" t="n"/>
      <c r="CD123" s="61" t="n"/>
      <c r="CE123" s="61" t="n"/>
      <c r="CF123" s="61" t="n"/>
      <c r="CG123" s="61" t="n"/>
      <c r="CH123" s="61" t="n"/>
    </row>
    <row r="124" ht="18.75" customHeight="1" s="98">
      <c r="A124" s="5" t="n"/>
      <c r="B124" s="59" t="n"/>
      <c r="C124" s="44" t="n"/>
      <c r="D124" s="59" t="n"/>
      <c r="E124" s="88" t="n"/>
      <c r="F124" s="66" t="n"/>
      <c r="G124" s="59" t="n"/>
      <c r="H124" s="44" t="n"/>
      <c r="I124" s="45" t="n"/>
      <c r="J124" s="59" t="n"/>
      <c r="K124" s="47" t="n"/>
      <c r="L124" s="47" t="n"/>
      <c r="M124" s="47" t="n"/>
      <c r="N124" s="47" t="n"/>
      <c r="O124" s="44" t="n"/>
      <c r="P124" s="62" t="n"/>
      <c r="Q124" s="59" t="n"/>
      <c r="R124" s="66" t="n"/>
      <c r="S124" s="61" t="n"/>
      <c r="T124" s="61" t="n"/>
      <c r="U124" s="61" t="n"/>
      <c r="V124" s="61" t="n"/>
      <c r="W124" s="61" t="n"/>
      <c r="X124" s="61" t="n"/>
      <c r="Y124" s="61" t="n"/>
      <c r="Z124" s="61" t="n"/>
      <c r="AA124" s="61" t="n"/>
      <c r="AB124" s="61" t="n"/>
      <c r="AC124" s="61" t="n"/>
      <c r="AD124" s="61" t="n"/>
      <c r="AE124" s="61" t="n"/>
      <c r="AF124" s="61" t="n"/>
      <c r="AG124" s="61" t="n"/>
      <c r="AH124" s="61" t="n"/>
      <c r="AI124" s="61" t="n"/>
      <c r="AJ124" s="61" t="n"/>
      <c r="AK124" s="61" t="n"/>
      <c r="AL124" s="61" t="n"/>
      <c r="AM124" s="61" t="n"/>
      <c r="AN124" s="61" t="n"/>
      <c r="AO124" s="61" t="n"/>
      <c r="AP124" s="61" t="n"/>
      <c r="AQ124" s="61" t="n"/>
      <c r="AR124" s="61" t="n"/>
      <c r="AS124" s="61" t="n"/>
      <c r="AT124" s="61" t="n"/>
      <c r="AU124" s="61" t="n"/>
      <c r="AV124" s="61" t="n"/>
      <c r="AW124" s="61" t="n"/>
      <c r="AX124" s="61" t="n"/>
      <c r="AY124" s="61" t="n"/>
      <c r="AZ124" s="61" t="n"/>
      <c r="BA124" s="61" t="n"/>
      <c r="BB124" s="61" t="n"/>
      <c r="BC124" s="61" t="n"/>
      <c r="BD124" s="61" t="n"/>
      <c r="BE124" s="61" t="n"/>
      <c r="BF124" s="61" t="n"/>
      <c r="BG124" s="61" t="n"/>
      <c r="BH124" s="61" t="n"/>
      <c r="BI124" s="61" t="n"/>
      <c r="BJ124" s="61" t="n"/>
      <c r="BK124" s="61" t="n"/>
      <c r="BL124" s="61" t="n"/>
      <c r="BM124" s="61" t="n"/>
      <c r="BN124" s="61" t="n"/>
      <c r="BO124" s="61" t="n"/>
      <c r="BP124" s="61" t="n"/>
      <c r="BQ124" s="61" t="n"/>
      <c r="BR124" s="61" t="n"/>
      <c r="BS124" s="61" t="n"/>
      <c r="BT124" s="61" t="n"/>
      <c r="BU124" s="61" t="n"/>
      <c r="BV124" s="61" t="n"/>
      <c r="BW124" s="61" t="n"/>
      <c r="BX124" s="61" t="n"/>
      <c r="BY124" s="61" t="n"/>
      <c r="BZ124" s="61" t="n"/>
      <c r="CA124" s="61" t="n"/>
      <c r="CB124" s="61" t="n"/>
      <c r="CC124" s="61" t="n"/>
      <c r="CD124" s="61" t="n"/>
      <c r="CE124" s="61" t="n"/>
      <c r="CF124" s="61" t="n"/>
      <c r="CG124" s="61" t="n"/>
      <c r="CH124" s="61" t="n"/>
    </row>
    <row r="125" ht="18.75" customHeight="1" s="98">
      <c r="A125" s="5" t="n"/>
      <c r="B125" s="59" t="n"/>
      <c r="C125" s="44" t="n"/>
      <c r="D125" s="59" t="n"/>
      <c r="E125" s="88" t="n"/>
      <c r="F125" s="66" t="n"/>
      <c r="G125" s="59" t="n"/>
      <c r="H125" s="44" t="n"/>
      <c r="I125" s="45" t="n"/>
      <c r="J125" s="59" t="n"/>
      <c r="K125" s="47" t="n"/>
      <c r="L125" s="47" t="n"/>
      <c r="M125" s="47" t="n"/>
      <c r="N125" s="47" t="n"/>
      <c r="O125" s="44" t="n"/>
      <c r="P125" s="62" t="n"/>
      <c r="Q125" s="59" t="n"/>
      <c r="R125" s="66" t="n"/>
      <c r="S125" s="61" t="n"/>
      <c r="T125" s="61" t="n"/>
      <c r="U125" s="61" t="n"/>
      <c r="V125" s="61" t="n"/>
      <c r="W125" s="61" t="n"/>
      <c r="X125" s="61" t="n"/>
      <c r="Y125" s="61" t="n"/>
      <c r="Z125" s="61" t="n"/>
      <c r="AA125" s="61" t="n"/>
      <c r="AB125" s="61" t="n"/>
      <c r="AC125" s="61" t="n"/>
      <c r="AD125" s="61" t="n"/>
      <c r="AE125" s="61" t="n"/>
      <c r="AF125" s="61" t="n"/>
      <c r="AG125" s="61" t="n"/>
      <c r="AH125" s="61" t="n"/>
      <c r="AI125" s="61" t="n"/>
      <c r="AJ125" s="61" t="n"/>
      <c r="AK125" s="61" t="n"/>
      <c r="AL125" s="61" t="n"/>
      <c r="AM125" s="61" t="n"/>
      <c r="AN125" s="61" t="n"/>
      <c r="AO125" s="61" t="n"/>
      <c r="AP125" s="61" t="n"/>
      <c r="AQ125" s="61" t="n"/>
      <c r="AR125" s="61" t="n"/>
      <c r="AS125" s="61" t="n"/>
      <c r="AT125" s="61" t="n"/>
      <c r="AU125" s="61" t="n"/>
      <c r="AV125" s="61" t="n"/>
      <c r="AW125" s="61" t="n"/>
      <c r="AX125" s="61" t="n"/>
      <c r="AY125" s="61" t="n"/>
      <c r="AZ125" s="61" t="n"/>
      <c r="BA125" s="61" t="n"/>
      <c r="BB125" s="61" t="n"/>
      <c r="BC125" s="61" t="n"/>
      <c r="BD125" s="61" t="n"/>
      <c r="BE125" s="61" t="n"/>
      <c r="BF125" s="61" t="n"/>
      <c r="BG125" s="61" t="n"/>
      <c r="BH125" s="61" t="n"/>
      <c r="BI125" s="61" t="n"/>
      <c r="BJ125" s="61" t="n"/>
      <c r="BK125" s="61" t="n"/>
      <c r="BL125" s="61" t="n"/>
      <c r="BM125" s="61" t="n"/>
      <c r="BN125" s="61" t="n"/>
      <c r="BO125" s="61" t="n"/>
      <c r="BP125" s="61" t="n"/>
      <c r="BQ125" s="61" t="n"/>
      <c r="BR125" s="61" t="n"/>
      <c r="BS125" s="61" t="n"/>
      <c r="BT125" s="61" t="n"/>
      <c r="BU125" s="61" t="n"/>
      <c r="BV125" s="61" t="n"/>
      <c r="BW125" s="61" t="n"/>
      <c r="BX125" s="61" t="n"/>
      <c r="BY125" s="61" t="n"/>
      <c r="BZ125" s="61" t="n"/>
      <c r="CA125" s="61" t="n"/>
      <c r="CB125" s="61" t="n"/>
      <c r="CC125" s="61" t="n"/>
      <c r="CD125" s="61" t="n"/>
      <c r="CE125" s="61" t="n"/>
      <c r="CF125" s="61" t="n"/>
      <c r="CG125" s="61" t="n"/>
      <c r="CH125" s="61" t="n"/>
    </row>
    <row r="126" ht="18.75" customHeight="1" s="98">
      <c r="A126" s="5" t="n"/>
      <c r="B126" s="59" t="n"/>
      <c r="C126" s="44" t="n"/>
      <c r="D126" s="59" t="n"/>
      <c r="E126" s="88" t="n"/>
      <c r="F126" s="66" t="n"/>
      <c r="G126" s="59" t="n"/>
      <c r="H126" s="44" t="n"/>
      <c r="I126" s="45" t="n"/>
      <c r="J126" s="59" t="n"/>
      <c r="K126" s="47" t="n"/>
      <c r="L126" s="47" t="n"/>
      <c r="M126" s="47" t="n"/>
      <c r="N126" s="47" t="n"/>
      <c r="O126" s="44" t="n"/>
      <c r="P126" s="62" t="n"/>
      <c r="Q126" s="59" t="n"/>
      <c r="R126" s="66" t="n"/>
      <c r="S126" s="61" t="n"/>
      <c r="T126" s="61" t="n"/>
      <c r="U126" s="61" t="n"/>
      <c r="V126" s="61" t="n"/>
      <c r="W126" s="61" t="n"/>
      <c r="X126" s="61" t="n"/>
      <c r="Y126" s="61" t="n"/>
      <c r="Z126" s="61" t="n"/>
      <c r="AA126" s="61" t="n"/>
      <c r="AB126" s="61" t="n"/>
      <c r="AC126" s="61" t="n"/>
      <c r="AD126" s="61" t="n"/>
      <c r="AE126" s="61" t="n"/>
      <c r="AF126" s="61" t="n"/>
      <c r="AG126" s="61" t="n"/>
      <c r="AH126" s="61" t="n"/>
      <c r="AI126" s="61" t="n"/>
      <c r="AJ126" s="61" t="n"/>
      <c r="AK126" s="61" t="n"/>
      <c r="AL126" s="61" t="n"/>
      <c r="AM126" s="61" t="n"/>
      <c r="AN126" s="61" t="n"/>
      <c r="AO126" s="61" t="n"/>
      <c r="AP126" s="61" t="n"/>
      <c r="AQ126" s="61" t="n"/>
      <c r="AR126" s="61" t="n"/>
      <c r="AS126" s="61" t="n"/>
      <c r="AT126" s="61" t="n"/>
      <c r="AU126" s="61" t="n"/>
      <c r="AV126" s="61" t="n"/>
      <c r="AW126" s="61" t="n"/>
      <c r="AX126" s="61" t="n"/>
      <c r="AY126" s="61" t="n"/>
      <c r="AZ126" s="61" t="n"/>
      <c r="BA126" s="61" t="n"/>
      <c r="BB126" s="61" t="n"/>
      <c r="BC126" s="61" t="n"/>
      <c r="BD126" s="61" t="n"/>
      <c r="BE126" s="61" t="n"/>
      <c r="BF126" s="61" t="n"/>
      <c r="BG126" s="61" t="n"/>
      <c r="BH126" s="61" t="n"/>
      <c r="BI126" s="61" t="n"/>
      <c r="BJ126" s="61" t="n"/>
      <c r="BK126" s="61" t="n"/>
      <c r="BL126" s="61" t="n"/>
      <c r="BM126" s="61" t="n"/>
      <c r="BN126" s="61" t="n"/>
      <c r="BO126" s="61" t="n"/>
      <c r="BP126" s="61" t="n"/>
      <c r="BQ126" s="61" t="n"/>
      <c r="BR126" s="61" t="n"/>
      <c r="BS126" s="61" t="n"/>
      <c r="BT126" s="61" t="n"/>
      <c r="BU126" s="61" t="n"/>
      <c r="BV126" s="61" t="n"/>
      <c r="BW126" s="61" t="n"/>
      <c r="BX126" s="61" t="n"/>
      <c r="BY126" s="61" t="n"/>
      <c r="BZ126" s="61" t="n"/>
      <c r="CA126" s="61" t="n"/>
      <c r="CB126" s="61" t="n"/>
      <c r="CC126" s="61" t="n"/>
      <c r="CD126" s="61" t="n"/>
      <c r="CE126" s="61" t="n"/>
      <c r="CF126" s="61" t="n"/>
      <c r="CG126" s="61" t="n"/>
      <c r="CH126" s="61" t="n"/>
    </row>
    <row r="127" ht="18.75" customHeight="1" s="98">
      <c r="A127" s="5" t="n"/>
      <c r="B127" s="59" t="n"/>
      <c r="C127" s="44" t="n"/>
      <c r="D127" s="59" t="n"/>
      <c r="E127" s="88" t="n"/>
      <c r="F127" s="66" t="n"/>
      <c r="G127" s="59" t="n"/>
      <c r="H127" s="44" t="n"/>
      <c r="I127" s="45" t="n"/>
      <c r="J127" s="59" t="n"/>
      <c r="K127" s="47" t="n"/>
      <c r="L127" s="47" t="n"/>
      <c r="M127" s="47" t="n"/>
      <c r="N127" s="47" t="n"/>
      <c r="O127" s="44" t="n"/>
      <c r="P127" s="62" t="n"/>
      <c r="Q127" s="44" t="n"/>
      <c r="R127" s="66" t="n"/>
      <c r="S127" s="61" t="n"/>
      <c r="T127" s="61" t="n"/>
      <c r="U127" s="61" t="n"/>
      <c r="V127" s="61" t="n"/>
      <c r="W127" s="61" t="n"/>
      <c r="X127" s="61" t="n"/>
      <c r="Y127" s="61" t="n"/>
      <c r="Z127" s="61" t="n"/>
      <c r="AA127" s="61" t="n"/>
      <c r="AB127" s="61" t="n"/>
      <c r="AC127" s="61" t="n"/>
      <c r="AD127" s="61" t="n"/>
      <c r="AE127" s="61" t="n"/>
      <c r="AF127" s="61" t="n"/>
      <c r="AG127" s="61" t="n"/>
      <c r="AH127" s="61" t="n"/>
      <c r="AI127" s="61" t="n"/>
      <c r="AJ127" s="61" t="n"/>
      <c r="AK127" s="61" t="n"/>
      <c r="AL127" s="61" t="n"/>
      <c r="AM127" s="61" t="n"/>
      <c r="AN127" s="61" t="n"/>
      <c r="AO127" s="61" t="n"/>
      <c r="AP127" s="61" t="n"/>
      <c r="AQ127" s="61" t="n"/>
      <c r="AR127" s="61" t="n"/>
      <c r="AS127" s="61" t="n"/>
      <c r="AT127" s="61" t="n"/>
      <c r="AU127" s="61" t="n"/>
      <c r="AV127" s="61" t="n"/>
      <c r="AW127" s="61" t="n"/>
      <c r="AX127" s="61" t="n"/>
      <c r="AY127" s="61" t="n"/>
      <c r="AZ127" s="61" t="n"/>
      <c r="BA127" s="61" t="n"/>
      <c r="BB127" s="61" t="n"/>
      <c r="BC127" s="61" t="n"/>
      <c r="BD127" s="61" t="n"/>
      <c r="BE127" s="61" t="n"/>
      <c r="BF127" s="61" t="n"/>
      <c r="BG127" s="61" t="n"/>
      <c r="BH127" s="61" t="n"/>
      <c r="BI127" s="61" t="n"/>
      <c r="BJ127" s="61" t="n"/>
      <c r="BK127" s="61" t="n"/>
      <c r="BL127" s="61" t="n"/>
      <c r="BM127" s="61" t="n"/>
      <c r="BN127" s="61" t="n"/>
      <c r="BO127" s="61" t="n"/>
      <c r="BP127" s="61" t="n"/>
      <c r="BQ127" s="61" t="n"/>
      <c r="BR127" s="61" t="n"/>
      <c r="BS127" s="61" t="n"/>
      <c r="BT127" s="61" t="n"/>
      <c r="BU127" s="61" t="n"/>
      <c r="BV127" s="61" t="n"/>
      <c r="BW127" s="61" t="n"/>
      <c r="BX127" s="61" t="n"/>
      <c r="BY127" s="61" t="n"/>
      <c r="BZ127" s="61" t="n"/>
      <c r="CA127" s="61" t="n"/>
      <c r="CB127" s="61" t="n"/>
      <c r="CC127" s="61" t="n"/>
      <c r="CD127" s="61" t="n"/>
      <c r="CE127" s="61" t="n"/>
      <c r="CF127" s="61" t="n"/>
      <c r="CG127" s="61" t="n"/>
      <c r="CH127" s="61" t="n"/>
    </row>
    <row r="128" ht="18.75" customHeight="1" s="98">
      <c r="A128" s="5" t="n"/>
      <c r="B128" s="59" t="n"/>
      <c r="C128" s="44" t="n"/>
      <c r="D128" s="59" t="n"/>
      <c r="E128" s="88" t="n"/>
      <c r="F128" s="66" t="n"/>
      <c r="G128" s="59" t="n"/>
      <c r="H128" s="44" t="n"/>
      <c r="I128" s="45" t="n"/>
      <c r="J128" s="59" t="n"/>
      <c r="K128" s="47" t="n"/>
      <c r="L128" s="47" t="n"/>
      <c r="M128" s="47" t="n"/>
      <c r="N128" s="47" t="n"/>
      <c r="O128" s="44" t="n"/>
      <c r="P128" s="62" t="n"/>
      <c r="Q128" s="44" t="n"/>
      <c r="R128" s="66" t="n"/>
      <c r="S128" s="61" t="n"/>
      <c r="T128" s="61" t="n"/>
      <c r="U128" s="61" t="n"/>
      <c r="V128" s="61" t="n"/>
      <c r="W128" s="61" t="n"/>
      <c r="X128" s="61" t="n"/>
      <c r="Y128" s="61" t="n"/>
      <c r="Z128" s="61" t="n"/>
      <c r="AA128" s="61" t="n"/>
      <c r="AB128" s="61" t="n"/>
      <c r="AC128" s="61" t="n"/>
      <c r="AD128" s="61" t="n"/>
      <c r="AE128" s="61" t="n"/>
      <c r="AF128" s="61" t="n"/>
      <c r="AG128" s="61" t="n"/>
      <c r="AH128" s="61" t="n"/>
      <c r="AI128" s="61" t="n"/>
      <c r="AJ128" s="61" t="n"/>
      <c r="AK128" s="61" t="n"/>
      <c r="AL128" s="61" t="n"/>
      <c r="AM128" s="61" t="n"/>
      <c r="AN128" s="61" t="n"/>
      <c r="AO128" s="61" t="n"/>
      <c r="AP128" s="61" t="n"/>
      <c r="AQ128" s="61" t="n"/>
      <c r="AR128" s="61" t="n"/>
      <c r="AS128" s="61" t="n"/>
      <c r="AT128" s="61" t="n"/>
      <c r="AU128" s="61" t="n"/>
      <c r="AV128" s="61" t="n"/>
      <c r="AW128" s="61" t="n"/>
      <c r="AX128" s="61" t="n"/>
      <c r="AY128" s="61" t="n"/>
      <c r="AZ128" s="61" t="n"/>
      <c r="BA128" s="61" t="n"/>
      <c r="BB128" s="61" t="n"/>
      <c r="BC128" s="61" t="n"/>
      <c r="BD128" s="61" t="n"/>
      <c r="BE128" s="61" t="n"/>
      <c r="BF128" s="61" t="n"/>
      <c r="BG128" s="61" t="n"/>
      <c r="BH128" s="61" t="n"/>
      <c r="BI128" s="61" t="n"/>
      <c r="BJ128" s="61" t="n"/>
      <c r="BK128" s="61" t="n"/>
      <c r="BL128" s="61" t="n"/>
      <c r="BM128" s="61" t="n"/>
      <c r="BN128" s="61" t="n"/>
      <c r="BO128" s="61" t="n"/>
      <c r="BP128" s="61" t="n"/>
      <c r="BQ128" s="61" t="n"/>
      <c r="BR128" s="61" t="n"/>
      <c r="BS128" s="61" t="n"/>
      <c r="BT128" s="61" t="n"/>
      <c r="BU128" s="61" t="n"/>
      <c r="BV128" s="61" t="n"/>
      <c r="BW128" s="61" t="n"/>
      <c r="BX128" s="61" t="n"/>
      <c r="BY128" s="61" t="n"/>
      <c r="BZ128" s="61" t="n"/>
      <c r="CA128" s="61" t="n"/>
      <c r="CB128" s="61" t="n"/>
      <c r="CC128" s="61" t="n"/>
      <c r="CD128" s="61" t="n"/>
      <c r="CE128" s="61" t="n"/>
      <c r="CF128" s="61" t="n"/>
      <c r="CG128" s="61" t="n"/>
      <c r="CH128" s="61" t="n"/>
    </row>
    <row r="129" ht="18.75" customHeight="1" s="98">
      <c r="A129" s="5" t="n"/>
      <c r="B129" s="59" t="n"/>
      <c r="C129" s="44" t="n"/>
      <c r="D129" s="59" t="n"/>
      <c r="E129" s="88" t="n"/>
      <c r="F129" s="66" t="n"/>
      <c r="G129" s="59" t="n"/>
      <c r="H129" s="44" t="n"/>
      <c r="I129" s="45" t="n"/>
      <c r="J129" s="59" t="n"/>
      <c r="K129" s="47" t="n"/>
      <c r="L129" s="47" t="n"/>
      <c r="M129" s="47" t="n"/>
      <c r="N129" s="47" t="n"/>
      <c r="O129" s="44" t="n"/>
      <c r="P129" s="62" t="n"/>
      <c r="Q129" s="59" t="n"/>
      <c r="R129" s="66" t="n"/>
      <c r="S129" s="61" t="n"/>
      <c r="T129" s="61" t="n"/>
      <c r="U129" s="61" t="n"/>
      <c r="V129" s="61" t="n"/>
      <c r="W129" s="61" t="n"/>
      <c r="X129" s="61" t="n"/>
      <c r="Y129" s="61" t="n"/>
      <c r="Z129" s="61" t="n"/>
      <c r="AA129" s="61" t="n"/>
      <c r="AB129" s="61" t="n"/>
      <c r="AC129" s="61" t="n"/>
      <c r="AD129" s="61" t="n"/>
      <c r="AE129" s="61" t="n"/>
      <c r="AF129" s="61" t="n"/>
      <c r="AG129" s="61" t="n"/>
      <c r="AH129" s="61" t="n"/>
      <c r="AI129" s="61" t="n"/>
      <c r="AJ129" s="61" t="n"/>
      <c r="AK129" s="61" t="n"/>
      <c r="AL129" s="61" t="n"/>
      <c r="AM129" s="61" t="n"/>
      <c r="AN129" s="61" t="n"/>
      <c r="AO129" s="61" t="n"/>
      <c r="AP129" s="61" t="n"/>
      <c r="AQ129" s="61" t="n"/>
      <c r="AR129" s="61" t="n"/>
      <c r="AS129" s="61" t="n"/>
      <c r="AT129" s="61" t="n"/>
      <c r="AU129" s="61" t="n"/>
      <c r="AV129" s="61" t="n"/>
      <c r="AW129" s="61" t="n"/>
      <c r="AX129" s="61" t="n"/>
      <c r="AY129" s="61" t="n"/>
      <c r="AZ129" s="61" t="n"/>
      <c r="BA129" s="61" t="n"/>
      <c r="BB129" s="61" t="n"/>
      <c r="BC129" s="61" t="n"/>
      <c r="BD129" s="61" t="n"/>
      <c r="BE129" s="61" t="n"/>
      <c r="BF129" s="61" t="n"/>
      <c r="BG129" s="61" t="n"/>
      <c r="BH129" s="61" t="n"/>
      <c r="BI129" s="61" t="n"/>
      <c r="BJ129" s="61" t="n"/>
      <c r="BK129" s="61" t="n"/>
      <c r="BL129" s="61" t="n"/>
      <c r="BM129" s="61" t="n"/>
      <c r="BN129" s="61" t="n"/>
      <c r="BO129" s="61" t="n"/>
      <c r="BP129" s="61" t="n"/>
      <c r="BQ129" s="61" t="n"/>
      <c r="BR129" s="61" t="n"/>
      <c r="BS129" s="61" t="n"/>
      <c r="BT129" s="61" t="n"/>
      <c r="BU129" s="61" t="n"/>
      <c r="BV129" s="61" t="n"/>
      <c r="BW129" s="61" t="n"/>
      <c r="BX129" s="61" t="n"/>
      <c r="BY129" s="61" t="n"/>
      <c r="BZ129" s="61" t="n"/>
      <c r="CA129" s="61" t="n"/>
      <c r="CB129" s="61" t="n"/>
      <c r="CC129" s="61" t="n"/>
      <c r="CD129" s="61" t="n"/>
      <c r="CE129" s="61" t="n"/>
      <c r="CF129" s="61" t="n"/>
      <c r="CG129" s="61" t="n"/>
      <c r="CH129" s="61" t="n"/>
    </row>
    <row r="130" ht="18.75" customHeight="1" s="98">
      <c r="A130" s="5" t="n"/>
      <c r="B130" s="59" t="n"/>
      <c r="C130" s="44" t="n"/>
      <c r="D130" s="59" t="n"/>
      <c r="E130" s="88" t="n"/>
      <c r="F130" s="66" t="n"/>
      <c r="G130" s="59" t="n"/>
      <c r="H130" s="44" t="n"/>
      <c r="I130" s="45" t="n"/>
      <c r="J130" s="59" t="n"/>
      <c r="K130" s="47" t="n"/>
      <c r="L130" s="47" t="n"/>
      <c r="M130" s="47" t="n"/>
      <c r="N130" s="47" t="n"/>
      <c r="O130" s="44" t="n"/>
      <c r="P130" s="62" t="n"/>
      <c r="Q130" s="44" t="n"/>
      <c r="R130" s="66" t="n"/>
      <c r="S130" s="61" t="n"/>
      <c r="T130" s="61" t="n"/>
      <c r="U130" s="61" t="n"/>
      <c r="V130" s="61" t="n"/>
      <c r="W130" s="61" t="n"/>
      <c r="X130" s="61" t="n"/>
      <c r="Y130" s="61" t="n"/>
      <c r="Z130" s="61" t="n"/>
      <c r="AA130" s="61" t="n"/>
      <c r="AB130" s="61" t="n"/>
      <c r="AC130" s="61" t="n"/>
      <c r="AD130" s="61" t="n"/>
      <c r="AE130" s="61" t="n"/>
      <c r="AF130" s="61" t="n"/>
      <c r="AG130" s="61" t="n"/>
      <c r="AH130" s="61" t="n"/>
      <c r="AI130" s="61" t="n"/>
      <c r="AJ130" s="61" t="n"/>
      <c r="AK130" s="61" t="n"/>
      <c r="AL130" s="61" t="n"/>
      <c r="AM130" s="61" t="n"/>
      <c r="AN130" s="61" t="n"/>
      <c r="AO130" s="61" t="n"/>
      <c r="AP130" s="61" t="n"/>
      <c r="AQ130" s="61" t="n"/>
      <c r="AR130" s="61" t="n"/>
      <c r="AS130" s="61" t="n"/>
      <c r="AT130" s="61" t="n"/>
      <c r="AU130" s="61" t="n"/>
      <c r="AV130" s="61" t="n"/>
      <c r="AW130" s="61" t="n"/>
      <c r="AX130" s="61" t="n"/>
      <c r="AY130" s="61" t="n"/>
      <c r="AZ130" s="61" t="n"/>
      <c r="BA130" s="61" t="n"/>
      <c r="BB130" s="61" t="n"/>
      <c r="BC130" s="61" t="n"/>
      <c r="BD130" s="61" t="n"/>
      <c r="BE130" s="61" t="n"/>
      <c r="BF130" s="61" t="n"/>
      <c r="BG130" s="61" t="n"/>
      <c r="BH130" s="61" t="n"/>
      <c r="BI130" s="61" t="n"/>
      <c r="BJ130" s="61" t="n"/>
      <c r="BK130" s="61" t="n"/>
      <c r="BL130" s="61" t="n"/>
      <c r="BM130" s="61" t="n"/>
      <c r="BN130" s="61" t="n"/>
      <c r="BO130" s="61" t="n"/>
      <c r="BP130" s="61" t="n"/>
      <c r="BQ130" s="61" t="n"/>
      <c r="BR130" s="61" t="n"/>
      <c r="BS130" s="61" t="n"/>
      <c r="BT130" s="61" t="n"/>
      <c r="BU130" s="61" t="n"/>
      <c r="BV130" s="61" t="n"/>
      <c r="BW130" s="61" t="n"/>
      <c r="BX130" s="61" t="n"/>
      <c r="BY130" s="61" t="n"/>
      <c r="BZ130" s="61" t="n"/>
      <c r="CA130" s="61" t="n"/>
      <c r="CB130" s="61" t="n"/>
      <c r="CC130" s="61" t="n"/>
      <c r="CD130" s="61" t="n"/>
      <c r="CE130" s="61" t="n"/>
      <c r="CF130" s="61" t="n"/>
      <c r="CG130" s="61" t="n"/>
      <c r="CH130" s="61" t="n"/>
    </row>
    <row r="131" ht="18.75" customHeight="1" s="98">
      <c r="A131" s="5" t="n"/>
      <c r="B131" s="59" t="n"/>
      <c r="C131" s="44" t="n"/>
      <c r="D131" s="59" t="n"/>
      <c r="E131" s="88" t="n"/>
      <c r="F131" s="66" t="n"/>
      <c r="G131" s="59" t="n"/>
      <c r="H131" s="44" t="n"/>
      <c r="I131" s="45" t="n"/>
      <c r="J131" s="59" t="n"/>
      <c r="K131" s="47" t="n"/>
      <c r="L131" s="47" t="n"/>
      <c r="M131" s="47" t="n"/>
      <c r="N131" s="47" t="n"/>
      <c r="O131" s="44" t="n"/>
      <c r="P131" s="62" t="n"/>
      <c r="Q131" s="44" t="n"/>
      <c r="R131" s="66" t="n"/>
      <c r="S131" s="61" t="n"/>
      <c r="T131" s="61" t="n"/>
      <c r="U131" s="61" t="n"/>
      <c r="V131" s="61" t="n"/>
      <c r="W131" s="61" t="n"/>
      <c r="X131" s="61" t="n"/>
      <c r="Y131" s="61" t="n"/>
      <c r="Z131" s="61" t="n"/>
      <c r="AA131" s="61" t="n"/>
      <c r="AB131" s="61" t="n"/>
      <c r="AC131" s="61" t="n"/>
      <c r="AD131" s="61" t="n"/>
      <c r="AE131" s="61" t="n"/>
      <c r="AF131" s="61" t="n"/>
      <c r="AG131" s="61" t="n"/>
      <c r="AH131" s="61" t="n"/>
      <c r="AI131" s="61" t="n"/>
      <c r="AJ131" s="61" t="n"/>
      <c r="AK131" s="61" t="n"/>
      <c r="AL131" s="61" t="n"/>
      <c r="AM131" s="61" t="n"/>
      <c r="AN131" s="61" t="n"/>
      <c r="AO131" s="61" t="n"/>
      <c r="AP131" s="61" t="n"/>
      <c r="AQ131" s="61" t="n"/>
      <c r="AR131" s="61" t="n"/>
      <c r="AS131" s="61" t="n"/>
      <c r="AT131" s="61" t="n"/>
      <c r="AU131" s="61" t="n"/>
      <c r="AV131" s="61" t="n"/>
      <c r="AW131" s="61" t="n"/>
      <c r="AX131" s="61" t="n"/>
      <c r="AY131" s="61" t="n"/>
      <c r="AZ131" s="61" t="n"/>
      <c r="BA131" s="61" t="n"/>
      <c r="BB131" s="61" t="n"/>
      <c r="BC131" s="61" t="n"/>
      <c r="BD131" s="61" t="n"/>
      <c r="BE131" s="61" t="n"/>
      <c r="BF131" s="61" t="n"/>
      <c r="BG131" s="61" t="n"/>
      <c r="BH131" s="61" t="n"/>
      <c r="BI131" s="61" t="n"/>
      <c r="BJ131" s="61" t="n"/>
      <c r="BK131" s="61" t="n"/>
      <c r="BL131" s="61" t="n"/>
      <c r="BM131" s="61" t="n"/>
      <c r="BN131" s="61" t="n"/>
      <c r="BO131" s="61" t="n"/>
      <c r="BP131" s="61" t="n"/>
      <c r="BQ131" s="61" t="n"/>
      <c r="BR131" s="61" t="n"/>
      <c r="BS131" s="61" t="n"/>
      <c r="BT131" s="61" t="n"/>
      <c r="BU131" s="61" t="n"/>
      <c r="BV131" s="61" t="n"/>
      <c r="BW131" s="61" t="n"/>
      <c r="BX131" s="61" t="n"/>
      <c r="BY131" s="61" t="n"/>
      <c r="BZ131" s="61" t="n"/>
      <c r="CA131" s="61" t="n"/>
      <c r="CB131" s="61" t="n"/>
      <c r="CC131" s="61" t="n"/>
      <c r="CD131" s="61" t="n"/>
      <c r="CE131" s="61" t="n"/>
      <c r="CF131" s="61" t="n"/>
      <c r="CG131" s="61" t="n"/>
      <c r="CH131" s="61" t="n"/>
    </row>
    <row r="132" ht="18.75" customHeight="1" s="98">
      <c r="A132" s="5" t="n"/>
      <c r="B132" s="59" t="n"/>
      <c r="C132" s="44" t="n"/>
      <c r="D132" s="59" t="n"/>
      <c r="E132" s="88" t="n"/>
      <c r="F132" s="66" t="n"/>
      <c r="G132" s="59" t="n"/>
      <c r="H132" s="44" t="n"/>
      <c r="I132" s="45" t="n"/>
      <c r="J132" s="59" t="n"/>
      <c r="K132" s="47" t="n"/>
      <c r="L132" s="47" t="n"/>
      <c r="M132" s="47" t="n"/>
      <c r="N132" s="47" t="n"/>
      <c r="O132" s="44" t="n"/>
      <c r="P132" s="62" t="n"/>
      <c r="Q132" s="59" t="n"/>
      <c r="R132" s="66" t="n"/>
      <c r="S132" s="61" t="n"/>
      <c r="T132" s="61" t="n"/>
      <c r="U132" s="61" t="n"/>
      <c r="V132" s="61" t="n"/>
      <c r="W132" s="61" t="n"/>
      <c r="X132" s="61" t="n"/>
      <c r="Y132" s="61" t="n"/>
      <c r="Z132" s="61" t="n"/>
      <c r="AA132" s="61" t="n"/>
      <c r="AB132" s="61" t="n"/>
      <c r="AC132" s="61" t="n"/>
      <c r="AD132" s="61" t="n"/>
      <c r="AE132" s="61" t="n"/>
      <c r="AF132" s="61" t="n"/>
      <c r="AG132" s="61" t="n"/>
      <c r="AH132" s="61" t="n"/>
      <c r="AI132" s="61" t="n"/>
      <c r="AJ132" s="61" t="n"/>
      <c r="AK132" s="61" t="n"/>
      <c r="AL132" s="61" t="n"/>
      <c r="AM132" s="61" t="n"/>
      <c r="AN132" s="61" t="n"/>
      <c r="AO132" s="61" t="n"/>
      <c r="AP132" s="61" t="n"/>
      <c r="AQ132" s="61" t="n"/>
      <c r="AR132" s="61" t="n"/>
      <c r="AS132" s="61" t="n"/>
      <c r="AT132" s="61" t="n"/>
      <c r="AU132" s="61" t="n"/>
      <c r="AV132" s="61" t="n"/>
      <c r="AW132" s="61" t="n"/>
      <c r="AX132" s="61" t="n"/>
      <c r="AY132" s="61" t="n"/>
      <c r="AZ132" s="61" t="n"/>
      <c r="BA132" s="61" t="n"/>
      <c r="BB132" s="61" t="n"/>
      <c r="BC132" s="61" t="n"/>
      <c r="BD132" s="61" t="n"/>
      <c r="BE132" s="61" t="n"/>
      <c r="BF132" s="61" t="n"/>
      <c r="BG132" s="61" t="n"/>
      <c r="BH132" s="61" t="n"/>
      <c r="BI132" s="61" t="n"/>
      <c r="BJ132" s="61" t="n"/>
      <c r="BK132" s="61" t="n"/>
      <c r="BL132" s="61" t="n"/>
      <c r="BM132" s="61" t="n"/>
      <c r="BN132" s="61" t="n"/>
      <c r="BO132" s="61" t="n"/>
      <c r="BP132" s="61" t="n"/>
      <c r="BQ132" s="61" t="n"/>
      <c r="BR132" s="61" t="n"/>
      <c r="BS132" s="61" t="n"/>
      <c r="BT132" s="61" t="n"/>
      <c r="BU132" s="61" t="n"/>
      <c r="BV132" s="61" t="n"/>
      <c r="BW132" s="61" t="n"/>
      <c r="BX132" s="61" t="n"/>
      <c r="BY132" s="61" t="n"/>
      <c r="BZ132" s="61" t="n"/>
      <c r="CA132" s="61" t="n"/>
      <c r="CB132" s="61" t="n"/>
      <c r="CC132" s="61" t="n"/>
      <c r="CD132" s="61" t="n"/>
      <c r="CE132" s="61" t="n"/>
      <c r="CF132" s="61" t="n"/>
      <c r="CG132" s="61" t="n"/>
      <c r="CH132" s="61" t="n"/>
    </row>
    <row r="133" ht="18.75" customHeight="1" s="98">
      <c r="A133" s="5" t="n"/>
      <c r="B133" s="59" t="n"/>
      <c r="C133" s="44" t="n"/>
      <c r="D133" s="59" t="n"/>
      <c r="E133" s="88" t="n"/>
      <c r="F133" s="66" t="n"/>
      <c r="G133" s="59" t="n"/>
      <c r="H133" s="44" t="n"/>
      <c r="I133" s="45" t="n"/>
      <c r="J133" s="59" t="n"/>
      <c r="K133" s="47" t="n"/>
      <c r="L133" s="47" t="n"/>
      <c r="M133" s="47" t="n"/>
      <c r="N133" s="47" t="n"/>
      <c r="O133" s="44" t="n"/>
      <c r="P133" s="62" t="n"/>
      <c r="Q133" s="44" t="n"/>
      <c r="R133" s="66" t="n"/>
      <c r="S133" s="61" t="n"/>
      <c r="T133" s="61" t="n"/>
      <c r="U133" s="61" t="n"/>
      <c r="V133" s="61" t="n"/>
      <c r="W133" s="61" t="n"/>
      <c r="X133" s="61" t="n"/>
      <c r="Y133" s="61" t="n"/>
      <c r="Z133" s="61" t="n"/>
      <c r="AA133" s="61" t="n"/>
      <c r="AB133" s="61" t="n"/>
      <c r="AC133" s="61" t="n"/>
      <c r="AD133" s="61" t="n"/>
      <c r="AE133" s="61" t="n"/>
      <c r="AF133" s="61" t="n"/>
      <c r="AG133" s="61" t="n"/>
      <c r="AH133" s="61" t="n"/>
      <c r="AI133" s="61" t="n"/>
      <c r="AJ133" s="61" t="n"/>
      <c r="AK133" s="61" t="n"/>
      <c r="AL133" s="61" t="n"/>
      <c r="AM133" s="61" t="n"/>
      <c r="AN133" s="61" t="n"/>
      <c r="AO133" s="61" t="n"/>
      <c r="AP133" s="61" t="n"/>
      <c r="AQ133" s="61" t="n"/>
      <c r="AR133" s="61" t="n"/>
      <c r="AS133" s="61" t="n"/>
      <c r="AT133" s="61" t="n"/>
      <c r="AU133" s="61" t="n"/>
      <c r="AV133" s="61" t="n"/>
      <c r="AW133" s="61" t="n"/>
      <c r="AX133" s="61" t="n"/>
      <c r="AY133" s="61" t="n"/>
      <c r="AZ133" s="61" t="n"/>
      <c r="BA133" s="61" t="n"/>
      <c r="BB133" s="61" t="n"/>
      <c r="BC133" s="61" t="n"/>
      <c r="BD133" s="61" t="n"/>
      <c r="BE133" s="61" t="n"/>
      <c r="BF133" s="61" t="n"/>
      <c r="BG133" s="61" t="n"/>
      <c r="BH133" s="61" t="n"/>
      <c r="BI133" s="61" t="n"/>
      <c r="BJ133" s="61" t="n"/>
      <c r="BK133" s="61" t="n"/>
      <c r="BL133" s="61" t="n"/>
      <c r="BM133" s="61" t="n"/>
      <c r="BN133" s="61" t="n"/>
      <c r="BO133" s="61" t="n"/>
      <c r="BP133" s="61" t="n"/>
      <c r="BQ133" s="61" t="n"/>
      <c r="BR133" s="61" t="n"/>
      <c r="BS133" s="61" t="n"/>
      <c r="BT133" s="61" t="n"/>
      <c r="BU133" s="61" t="n"/>
      <c r="BV133" s="61" t="n"/>
      <c r="BW133" s="61" t="n"/>
      <c r="BX133" s="61" t="n"/>
      <c r="BY133" s="61" t="n"/>
      <c r="BZ133" s="61" t="n"/>
      <c r="CA133" s="61" t="n"/>
      <c r="CB133" s="61" t="n"/>
      <c r="CC133" s="61" t="n"/>
      <c r="CD133" s="61" t="n"/>
      <c r="CE133" s="61" t="n"/>
      <c r="CF133" s="61" t="n"/>
      <c r="CG133" s="61" t="n"/>
      <c r="CH133" s="61" t="n"/>
    </row>
    <row r="134" ht="18.75" customHeight="1" s="98">
      <c r="A134" s="5" t="n"/>
      <c r="B134" s="59" t="n"/>
      <c r="C134" s="44" t="n"/>
      <c r="D134" s="59" t="n"/>
      <c r="E134" s="88" t="n"/>
      <c r="F134" s="66" t="n"/>
      <c r="G134" s="59" t="n"/>
      <c r="H134" s="44" t="n"/>
      <c r="I134" s="45" t="n"/>
      <c r="J134" s="59" t="n"/>
      <c r="K134" s="47" t="n"/>
      <c r="L134" s="47" t="n"/>
      <c r="M134" s="47" t="n"/>
      <c r="N134" s="47" t="n"/>
      <c r="O134" s="44" t="n"/>
      <c r="P134" s="62" t="n"/>
      <c r="Q134" s="44" t="n"/>
      <c r="R134" s="66" t="n"/>
      <c r="S134" s="61" t="n"/>
      <c r="T134" s="61" t="n"/>
      <c r="U134" s="61" t="n"/>
      <c r="V134" s="61" t="n"/>
      <c r="W134" s="61" t="n"/>
      <c r="X134" s="61" t="n"/>
      <c r="Y134" s="61" t="n"/>
      <c r="Z134" s="61" t="n"/>
      <c r="AA134" s="61" t="n"/>
      <c r="AB134" s="61" t="n"/>
      <c r="AC134" s="61" t="n"/>
      <c r="AD134" s="61" t="n"/>
      <c r="AE134" s="61" t="n"/>
      <c r="AF134" s="61" t="n"/>
      <c r="AG134" s="61" t="n"/>
      <c r="AH134" s="61" t="n"/>
      <c r="AI134" s="61" t="n"/>
      <c r="AJ134" s="61" t="n"/>
      <c r="AK134" s="61" t="n"/>
      <c r="AL134" s="61" t="n"/>
      <c r="AM134" s="61" t="n"/>
      <c r="AN134" s="61" t="n"/>
      <c r="AO134" s="61" t="n"/>
      <c r="AP134" s="61" t="n"/>
      <c r="AQ134" s="61" t="n"/>
      <c r="AR134" s="61" t="n"/>
      <c r="AS134" s="61" t="n"/>
      <c r="AT134" s="61" t="n"/>
      <c r="AU134" s="61" t="n"/>
      <c r="AV134" s="61" t="n"/>
      <c r="AW134" s="61" t="n"/>
      <c r="AX134" s="61" t="n"/>
      <c r="AY134" s="61" t="n"/>
      <c r="AZ134" s="61" t="n"/>
      <c r="BA134" s="61" t="n"/>
      <c r="BB134" s="61" t="n"/>
      <c r="BC134" s="61" t="n"/>
      <c r="BD134" s="61" t="n"/>
      <c r="BE134" s="61" t="n"/>
      <c r="BF134" s="61" t="n"/>
      <c r="BG134" s="61" t="n"/>
      <c r="BH134" s="61" t="n"/>
      <c r="BI134" s="61" t="n"/>
      <c r="BJ134" s="61" t="n"/>
      <c r="BK134" s="61" t="n"/>
      <c r="BL134" s="61" t="n"/>
      <c r="BM134" s="61" t="n"/>
      <c r="BN134" s="61" t="n"/>
      <c r="BO134" s="61" t="n"/>
      <c r="BP134" s="61" t="n"/>
      <c r="BQ134" s="61" t="n"/>
      <c r="BR134" s="61" t="n"/>
      <c r="BS134" s="61" t="n"/>
      <c r="BT134" s="61" t="n"/>
      <c r="BU134" s="61" t="n"/>
      <c r="BV134" s="61" t="n"/>
      <c r="BW134" s="61" t="n"/>
      <c r="BX134" s="61" t="n"/>
      <c r="BY134" s="61" t="n"/>
      <c r="BZ134" s="61" t="n"/>
      <c r="CA134" s="61" t="n"/>
      <c r="CB134" s="61" t="n"/>
      <c r="CC134" s="61" t="n"/>
      <c r="CD134" s="61" t="n"/>
      <c r="CE134" s="61" t="n"/>
      <c r="CF134" s="61" t="n"/>
      <c r="CG134" s="61" t="n"/>
      <c r="CH134" s="61" t="n"/>
    </row>
    <row r="135" ht="18.75" customHeight="1" s="98">
      <c r="A135" s="5" t="n"/>
      <c r="B135" s="59" t="n"/>
      <c r="C135" s="44" t="n"/>
      <c r="D135" s="59" t="n"/>
      <c r="E135" s="88" t="n"/>
      <c r="F135" s="66" t="n"/>
      <c r="G135" s="59" t="n"/>
      <c r="H135" s="44" t="n"/>
      <c r="I135" s="45" t="n"/>
      <c r="J135" s="59" t="n"/>
      <c r="K135" s="47" t="n"/>
      <c r="L135" s="47" t="n"/>
      <c r="M135" s="47" t="n"/>
      <c r="N135" s="47" t="n"/>
      <c r="O135" s="44" t="n"/>
      <c r="P135" s="62" t="n"/>
      <c r="Q135" s="44" t="n"/>
      <c r="R135" s="66" t="n"/>
      <c r="S135" s="61" t="n"/>
      <c r="T135" s="61" t="n"/>
      <c r="U135" s="61" t="n"/>
      <c r="V135" s="61" t="n"/>
      <c r="W135" s="61" t="n"/>
      <c r="X135" s="61" t="n"/>
      <c r="Y135" s="61" t="n"/>
      <c r="Z135" s="61" t="n"/>
      <c r="AA135" s="61" t="n"/>
      <c r="AB135" s="61" t="n"/>
      <c r="AC135" s="61" t="n"/>
      <c r="AD135" s="61" t="n"/>
      <c r="AE135" s="61" t="n"/>
      <c r="AF135" s="61" t="n"/>
      <c r="AG135" s="61" t="n"/>
      <c r="AH135" s="61" t="n"/>
      <c r="AI135" s="61" t="n"/>
      <c r="AJ135" s="61" t="n"/>
      <c r="AK135" s="61" t="n"/>
      <c r="AL135" s="61" t="n"/>
      <c r="AM135" s="61" t="n"/>
      <c r="AN135" s="61" t="n"/>
      <c r="AO135" s="61" t="n"/>
      <c r="AP135" s="61" t="n"/>
      <c r="AQ135" s="61" t="n"/>
      <c r="AR135" s="61" t="n"/>
      <c r="AS135" s="61" t="n"/>
      <c r="AT135" s="61" t="n"/>
      <c r="AU135" s="61" t="n"/>
      <c r="AV135" s="61" t="n"/>
      <c r="AW135" s="61" t="n"/>
      <c r="AX135" s="61" t="n"/>
      <c r="AY135" s="61" t="n"/>
      <c r="AZ135" s="61" t="n"/>
      <c r="BA135" s="61" t="n"/>
      <c r="BB135" s="61" t="n"/>
      <c r="BC135" s="61" t="n"/>
      <c r="BD135" s="61" t="n"/>
      <c r="BE135" s="61" t="n"/>
      <c r="BF135" s="61" t="n"/>
      <c r="BG135" s="61" t="n"/>
      <c r="BH135" s="61" t="n"/>
      <c r="BI135" s="61" t="n"/>
      <c r="BJ135" s="61" t="n"/>
      <c r="BK135" s="61" t="n"/>
      <c r="BL135" s="61" t="n"/>
      <c r="BM135" s="61" t="n"/>
      <c r="BN135" s="61" t="n"/>
      <c r="BO135" s="61" t="n"/>
      <c r="BP135" s="61" t="n"/>
      <c r="BQ135" s="61" t="n"/>
      <c r="BR135" s="61" t="n"/>
      <c r="BS135" s="61" t="n"/>
      <c r="BT135" s="61" t="n"/>
      <c r="BU135" s="61" t="n"/>
      <c r="BV135" s="61" t="n"/>
      <c r="BW135" s="61" t="n"/>
      <c r="BX135" s="61" t="n"/>
      <c r="BY135" s="61" t="n"/>
      <c r="BZ135" s="61" t="n"/>
      <c r="CA135" s="61" t="n"/>
      <c r="CB135" s="61" t="n"/>
      <c r="CC135" s="61" t="n"/>
      <c r="CD135" s="61" t="n"/>
      <c r="CE135" s="61" t="n"/>
      <c r="CF135" s="61" t="n"/>
      <c r="CG135" s="61" t="n"/>
      <c r="CH135" s="61" t="n"/>
    </row>
    <row r="136" ht="18.75" customHeight="1" s="98">
      <c r="A136" s="5" t="n"/>
      <c r="B136" s="59" t="n"/>
      <c r="C136" s="44" t="n"/>
      <c r="D136" s="59" t="n"/>
      <c r="E136" s="88" t="n"/>
      <c r="F136" s="66" t="n"/>
      <c r="G136" s="59" t="n"/>
      <c r="H136" s="44" t="n"/>
      <c r="I136" s="45" t="n"/>
      <c r="J136" s="59" t="n"/>
      <c r="K136" s="47" t="n"/>
      <c r="L136" s="47" t="n"/>
      <c r="M136" s="47" t="n"/>
      <c r="N136" s="47" t="n"/>
      <c r="O136" s="44" t="n"/>
      <c r="P136" s="62" t="n"/>
      <c r="Q136" s="59" t="n"/>
      <c r="R136" s="66" t="n"/>
      <c r="S136" s="61" t="n"/>
      <c r="T136" s="61" t="n"/>
      <c r="U136" s="61" t="n"/>
      <c r="V136" s="61" t="n"/>
      <c r="W136" s="61" t="n"/>
      <c r="X136" s="61" t="n"/>
      <c r="Y136" s="61" t="n"/>
      <c r="Z136" s="61" t="n"/>
      <c r="AA136" s="61" t="n"/>
      <c r="AB136" s="61" t="n"/>
      <c r="AC136" s="61" t="n"/>
      <c r="AD136" s="61" t="n"/>
      <c r="AE136" s="61" t="n"/>
      <c r="AF136" s="61" t="n"/>
      <c r="AG136" s="61" t="n"/>
      <c r="AH136" s="61" t="n"/>
      <c r="AI136" s="61" t="n"/>
      <c r="AJ136" s="61" t="n"/>
      <c r="AK136" s="61" t="n"/>
      <c r="AL136" s="61" t="n"/>
      <c r="AM136" s="61" t="n"/>
      <c r="AN136" s="61" t="n"/>
      <c r="AO136" s="61" t="n"/>
      <c r="AP136" s="61" t="n"/>
      <c r="AQ136" s="61" t="n"/>
      <c r="AR136" s="61" t="n"/>
      <c r="AS136" s="61" t="n"/>
      <c r="AT136" s="61" t="n"/>
      <c r="AU136" s="61" t="n"/>
      <c r="AV136" s="61" t="n"/>
      <c r="AW136" s="61" t="n"/>
      <c r="AX136" s="61" t="n"/>
      <c r="AY136" s="61" t="n"/>
      <c r="AZ136" s="61" t="n"/>
      <c r="BA136" s="61" t="n"/>
      <c r="BB136" s="61" t="n"/>
      <c r="BC136" s="61" t="n"/>
      <c r="BD136" s="61" t="n"/>
      <c r="BE136" s="61" t="n"/>
      <c r="BF136" s="61" t="n"/>
      <c r="BG136" s="61" t="n"/>
      <c r="BH136" s="61" t="n"/>
      <c r="BI136" s="61" t="n"/>
      <c r="BJ136" s="61" t="n"/>
      <c r="BK136" s="61" t="n"/>
      <c r="BL136" s="61" t="n"/>
      <c r="BM136" s="61" t="n"/>
      <c r="BN136" s="61" t="n"/>
      <c r="BO136" s="61" t="n"/>
      <c r="BP136" s="61" t="n"/>
      <c r="BQ136" s="61" t="n"/>
      <c r="BR136" s="61" t="n"/>
      <c r="BS136" s="61" t="n"/>
      <c r="BT136" s="61" t="n"/>
      <c r="BU136" s="61" t="n"/>
      <c r="BV136" s="61" t="n"/>
      <c r="BW136" s="61" t="n"/>
      <c r="BX136" s="61" t="n"/>
      <c r="BY136" s="61" t="n"/>
      <c r="BZ136" s="61" t="n"/>
      <c r="CA136" s="61" t="n"/>
      <c r="CB136" s="61" t="n"/>
      <c r="CC136" s="61" t="n"/>
      <c r="CD136" s="61" t="n"/>
      <c r="CE136" s="61" t="n"/>
      <c r="CF136" s="61" t="n"/>
      <c r="CG136" s="61" t="n"/>
      <c r="CH136" s="61" t="n"/>
    </row>
    <row r="137" ht="18.75" customHeight="1" s="98">
      <c r="A137" s="5" t="n"/>
      <c r="B137" s="59" t="n"/>
      <c r="C137" s="44" t="n"/>
      <c r="D137" s="59" t="n"/>
      <c r="E137" s="88" t="n"/>
      <c r="F137" s="66" t="n"/>
      <c r="G137" s="59" t="n"/>
      <c r="H137" s="44" t="n"/>
      <c r="I137" s="45" t="n"/>
      <c r="J137" s="59" t="n"/>
      <c r="K137" s="47" t="n"/>
      <c r="L137" s="47" t="n"/>
      <c r="M137" s="47" t="n"/>
      <c r="N137" s="47" t="n"/>
      <c r="O137" s="44" t="n"/>
      <c r="P137" s="62" t="n"/>
      <c r="Q137" s="44" t="n"/>
      <c r="R137" s="66" t="n"/>
      <c r="S137" s="61" t="n"/>
      <c r="T137" s="61" t="n"/>
      <c r="U137" s="61" t="n"/>
      <c r="V137" s="61" t="n"/>
      <c r="W137" s="61" t="n"/>
      <c r="X137" s="61" t="n"/>
      <c r="Y137" s="61" t="n"/>
      <c r="Z137" s="61" t="n"/>
      <c r="AA137" s="61" t="n"/>
      <c r="AB137" s="61" t="n"/>
      <c r="AC137" s="61" t="n"/>
      <c r="AD137" s="61" t="n"/>
      <c r="AE137" s="61" t="n"/>
      <c r="AF137" s="61" t="n"/>
      <c r="AG137" s="61" t="n"/>
      <c r="AH137" s="61" t="n"/>
      <c r="AI137" s="61" t="n"/>
      <c r="AJ137" s="61" t="n"/>
      <c r="AK137" s="61" t="n"/>
      <c r="AL137" s="61" t="n"/>
      <c r="AM137" s="61" t="n"/>
      <c r="AN137" s="61" t="n"/>
      <c r="AO137" s="61" t="n"/>
      <c r="AP137" s="61" t="n"/>
      <c r="AQ137" s="61" t="n"/>
      <c r="AR137" s="61" t="n"/>
      <c r="AS137" s="61" t="n"/>
      <c r="AT137" s="61" t="n"/>
      <c r="AU137" s="61" t="n"/>
      <c r="AV137" s="61" t="n"/>
      <c r="AW137" s="61" t="n"/>
      <c r="AX137" s="61" t="n"/>
      <c r="AY137" s="61" t="n"/>
      <c r="AZ137" s="61" t="n"/>
      <c r="BA137" s="61" t="n"/>
      <c r="BB137" s="61" t="n"/>
      <c r="BC137" s="61" t="n"/>
      <c r="BD137" s="61" t="n"/>
      <c r="BE137" s="61" t="n"/>
      <c r="BF137" s="61" t="n"/>
      <c r="BG137" s="61" t="n"/>
      <c r="BH137" s="61" t="n"/>
      <c r="BI137" s="61" t="n"/>
      <c r="BJ137" s="61" t="n"/>
      <c r="BK137" s="61" t="n"/>
      <c r="BL137" s="61" t="n"/>
      <c r="BM137" s="61" t="n"/>
      <c r="BN137" s="61" t="n"/>
      <c r="BO137" s="61" t="n"/>
      <c r="BP137" s="61" t="n"/>
      <c r="BQ137" s="61" t="n"/>
      <c r="BR137" s="61" t="n"/>
      <c r="BS137" s="61" t="n"/>
      <c r="BT137" s="61" t="n"/>
      <c r="BU137" s="61" t="n"/>
      <c r="BV137" s="61" t="n"/>
      <c r="BW137" s="61" t="n"/>
      <c r="BX137" s="61" t="n"/>
      <c r="BY137" s="61" t="n"/>
      <c r="BZ137" s="61" t="n"/>
      <c r="CA137" s="61" t="n"/>
      <c r="CB137" s="61" t="n"/>
      <c r="CC137" s="61" t="n"/>
      <c r="CD137" s="61" t="n"/>
      <c r="CE137" s="61" t="n"/>
      <c r="CF137" s="61" t="n"/>
      <c r="CG137" s="61" t="n"/>
      <c r="CH137" s="61" t="n"/>
    </row>
    <row r="138" ht="18.75" customHeight="1" s="98">
      <c r="A138" s="5" t="n"/>
      <c r="B138" s="59" t="n"/>
      <c r="C138" s="44" t="n"/>
      <c r="D138" s="59" t="n"/>
      <c r="E138" s="88" t="n"/>
      <c r="F138" s="66" t="n"/>
      <c r="G138" s="59" t="n"/>
      <c r="H138" s="44" t="n"/>
      <c r="I138" s="45" t="n"/>
      <c r="J138" s="59" t="n"/>
      <c r="K138" s="47" t="n"/>
      <c r="L138" s="47" t="n"/>
      <c r="M138" s="47" t="n"/>
      <c r="N138" s="47" t="n"/>
      <c r="O138" s="44" t="n"/>
      <c r="P138" s="62" t="n"/>
      <c r="Q138" s="44" t="n"/>
      <c r="R138" s="66" t="n"/>
      <c r="S138" s="61" t="n"/>
      <c r="T138" s="61" t="n"/>
      <c r="U138" s="61" t="n"/>
      <c r="V138" s="61" t="n"/>
      <c r="W138" s="61" t="n"/>
      <c r="X138" s="61" t="n"/>
      <c r="Y138" s="61" t="n"/>
      <c r="Z138" s="61" t="n"/>
      <c r="AA138" s="61" t="n"/>
      <c r="AB138" s="61" t="n"/>
      <c r="AC138" s="61" t="n"/>
      <c r="AD138" s="61" t="n"/>
      <c r="AE138" s="61" t="n"/>
      <c r="AF138" s="61" t="n"/>
      <c r="AG138" s="61" t="n"/>
      <c r="AH138" s="61" t="n"/>
      <c r="AI138" s="61" t="n"/>
      <c r="AJ138" s="61" t="n"/>
      <c r="AK138" s="61" t="n"/>
      <c r="AL138" s="61" t="n"/>
      <c r="AM138" s="61" t="n"/>
      <c r="AN138" s="61" t="n"/>
      <c r="AO138" s="61" t="n"/>
      <c r="AP138" s="61" t="n"/>
      <c r="AQ138" s="61" t="n"/>
      <c r="AR138" s="61" t="n"/>
      <c r="AS138" s="61" t="n"/>
      <c r="AT138" s="61" t="n"/>
      <c r="AU138" s="61" t="n"/>
      <c r="AV138" s="61" t="n"/>
      <c r="AW138" s="61" t="n"/>
      <c r="AX138" s="61" t="n"/>
      <c r="AY138" s="61" t="n"/>
      <c r="AZ138" s="61" t="n"/>
      <c r="BA138" s="61" t="n"/>
      <c r="BB138" s="61" t="n"/>
      <c r="BC138" s="61" t="n"/>
      <c r="BD138" s="61" t="n"/>
      <c r="BE138" s="61" t="n"/>
      <c r="BF138" s="61" t="n"/>
      <c r="BG138" s="61" t="n"/>
      <c r="BH138" s="61" t="n"/>
      <c r="BI138" s="61" t="n"/>
      <c r="BJ138" s="61" t="n"/>
      <c r="BK138" s="61" t="n"/>
      <c r="BL138" s="61" t="n"/>
      <c r="BM138" s="61" t="n"/>
      <c r="BN138" s="61" t="n"/>
      <c r="BO138" s="61" t="n"/>
      <c r="BP138" s="61" t="n"/>
      <c r="BQ138" s="61" t="n"/>
      <c r="BR138" s="61" t="n"/>
      <c r="BS138" s="61" t="n"/>
      <c r="BT138" s="61" t="n"/>
      <c r="BU138" s="61" t="n"/>
      <c r="BV138" s="61" t="n"/>
      <c r="BW138" s="61" t="n"/>
      <c r="BX138" s="61" t="n"/>
      <c r="BY138" s="61" t="n"/>
      <c r="BZ138" s="61" t="n"/>
      <c r="CA138" s="61" t="n"/>
      <c r="CB138" s="61" t="n"/>
      <c r="CC138" s="61" t="n"/>
      <c r="CD138" s="61" t="n"/>
      <c r="CE138" s="61" t="n"/>
      <c r="CF138" s="61" t="n"/>
      <c r="CG138" s="61" t="n"/>
      <c r="CH138" s="61" t="n"/>
    </row>
    <row r="139" ht="18.75" customHeight="1" s="98">
      <c r="A139" s="5" t="n"/>
      <c r="B139" s="59" t="n"/>
      <c r="C139" s="44" t="n"/>
      <c r="D139" s="59" t="n"/>
      <c r="E139" s="88" t="n"/>
      <c r="F139" s="66" t="n"/>
      <c r="G139" s="59" t="n"/>
      <c r="H139" s="44" t="n"/>
      <c r="I139" s="45" t="n"/>
      <c r="J139" s="59" t="n"/>
      <c r="K139" s="47" t="n"/>
      <c r="L139" s="47" t="n"/>
      <c r="M139" s="47" t="n"/>
      <c r="N139" s="47" t="n"/>
      <c r="O139" s="44" t="n"/>
      <c r="P139" s="62" t="n"/>
      <c r="Q139" s="44" t="n"/>
      <c r="R139" s="66" t="n"/>
      <c r="S139" s="61" t="n"/>
      <c r="T139" s="61" t="n"/>
      <c r="U139" s="61" t="n"/>
      <c r="V139" s="61" t="n"/>
      <c r="W139" s="61" t="n"/>
      <c r="X139" s="61" t="n"/>
      <c r="Y139" s="61" t="n"/>
      <c r="Z139" s="61" t="n"/>
      <c r="AA139" s="61" t="n"/>
      <c r="AB139" s="61" t="n"/>
      <c r="AC139" s="61" t="n"/>
      <c r="AD139" s="61" t="n"/>
      <c r="AE139" s="61" t="n"/>
      <c r="AF139" s="61" t="n"/>
      <c r="AG139" s="61" t="n"/>
      <c r="AH139" s="61" t="n"/>
      <c r="AI139" s="61" t="n"/>
      <c r="AJ139" s="61" t="n"/>
      <c r="AK139" s="61" t="n"/>
      <c r="AL139" s="61" t="n"/>
      <c r="AM139" s="61" t="n"/>
      <c r="AN139" s="61" t="n"/>
      <c r="AO139" s="61" t="n"/>
      <c r="AP139" s="61" t="n"/>
      <c r="AQ139" s="61" t="n"/>
      <c r="AR139" s="61" t="n"/>
      <c r="AS139" s="61" t="n"/>
      <c r="AT139" s="61" t="n"/>
      <c r="AU139" s="61" t="n"/>
      <c r="AV139" s="61" t="n"/>
      <c r="AW139" s="61" t="n"/>
      <c r="AX139" s="61" t="n"/>
      <c r="AY139" s="61" t="n"/>
      <c r="AZ139" s="61" t="n"/>
      <c r="BA139" s="61" t="n"/>
      <c r="BB139" s="61" t="n"/>
      <c r="BC139" s="61" t="n"/>
      <c r="BD139" s="61" t="n"/>
      <c r="BE139" s="61" t="n"/>
      <c r="BF139" s="61" t="n"/>
      <c r="BG139" s="61" t="n"/>
      <c r="BH139" s="61" t="n"/>
      <c r="BI139" s="61" t="n"/>
      <c r="BJ139" s="61" t="n"/>
      <c r="BK139" s="61" t="n"/>
      <c r="BL139" s="61" t="n"/>
      <c r="BM139" s="61" t="n"/>
      <c r="BN139" s="61" t="n"/>
      <c r="BO139" s="61" t="n"/>
      <c r="BP139" s="61" t="n"/>
      <c r="BQ139" s="61" t="n"/>
      <c r="BR139" s="61" t="n"/>
      <c r="BS139" s="61" t="n"/>
      <c r="BT139" s="61" t="n"/>
      <c r="BU139" s="61" t="n"/>
      <c r="BV139" s="61" t="n"/>
      <c r="BW139" s="61" t="n"/>
      <c r="BX139" s="61" t="n"/>
      <c r="BY139" s="61" t="n"/>
      <c r="BZ139" s="61" t="n"/>
      <c r="CA139" s="61" t="n"/>
      <c r="CB139" s="61" t="n"/>
      <c r="CC139" s="61" t="n"/>
      <c r="CD139" s="61" t="n"/>
      <c r="CE139" s="61" t="n"/>
      <c r="CF139" s="61" t="n"/>
      <c r="CG139" s="61" t="n"/>
      <c r="CH139" s="61" t="n"/>
    </row>
    <row r="140" ht="18.75" customHeight="1" s="98">
      <c r="A140" s="5" t="n"/>
      <c r="B140" s="59" t="n"/>
      <c r="C140" s="44" t="n"/>
      <c r="D140" s="59" t="n"/>
      <c r="E140" s="88" t="n"/>
      <c r="F140" s="66" t="n"/>
      <c r="G140" s="59" t="n"/>
      <c r="H140" s="44" t="n"/>
      <c r="I140" s="45" t="n"/>
      <c r="J140" s="59" t="n"/>
      <c r="K140" s="47" t="n"/>
      <c r="L140" s="47" t="n"/>
      <c r="M140" s="47" t="n"/>
      <c r="N140" s="47" t="n"/>
      <c r="O140" s="44" t="n"/>
      <c r="P140" s="62" t="n"/>
      <c r="Q140" s="44" t="n"/>
      <c r="R140" s="66" t="n"/>
      <c r="S140" s="61" t="n"/>
      <c r="T140" s="61" t="n"/>
      <c r="U140" s="61" t="n"/>
      <c r="V140" s="61" t="n"/>
      <c r="W140" s="61" t="n"/>
      <c r="X140" s="61" t="n"/>
      <c r="Y140" s="61" t="n"/>
      <c r="Z140" s="61" t="n"/>
      <c r="AA140" s="61" t="n"/>
      <c r="AB140" s="61" t="n"/>
      <c r="AC140" s="61" t="n"/>
      <c r="AD140" s="61" t="n"/>
      <c r="AE140" s="61" t="n"/>
      <c r="AF140" s="61" t="n"/>
      <c r="AG140" s="61" t="n"/>
      <c r="AH140" s="61" t="n"/>
      <c r="AI140" s="61" t="n"/>
      <c r="AJ140" s="61" t="n"/>
      <c r="AK140" s="61" t="n"/>
      <c r="AL140" s="61" t="n"/>
      <c r="AM140" s="61" t="n"/>
      <c r="AN140" s="61" t="n"/>
      <c r="AO140" s="61" t="n"/>
      <c r="AP140" s="61" t="n"/>
      <c r="AQ140" s="61" t="n"/>
      <c r="AR140" s="61" t="n"/>
      <c r="AS140" s="61" t="n"/>
      <c r="AT140" s="61" t="n"/>
      <c r="AU140" s="61" t="n"/>
      <c r="AV140" s="61" t="n"/>
      <c r="AW140" s="61" t="n"/>
      <c r="AX140" s="61" t="n"/>
      <c r="AY140" s="61" t="n"/>
      <c r="AZ140" s="61" t="n"/>
      <c r="BA140" s="61" t="n"/>
      <c r="BB140" s="61" t="n"/>
      <c r="BC140" s="61" t="n"/>
      <c r="BD140" s="61" t="n"/>
      <c r="BE140" s="61" t="n"/>
      <c r="BF140" s="61" t="n"/>
      <c r="BG140" s="61" t="n"/>
      <c r="BH140" s="61" t="n"/>
      <c r="BI140" s="61" t="n"/>
      <c r="BJ140" s="61" t="n"/>
      <c r="BK140" s="61" t="n"/>
      <c r="BL140" s="61" t="n"/>
      <c r="BM140" s="61" t="n"/>
      <c r="BN140" s="61" t="n"/>
      <c r="BO140" s="61" t="n"/>
      <c r="BP140" s="61" t="n"/>
      <c r="BQ140" s="61" t="n"/>
      <c r="BR140" s="61" t="n"/>
      <c r="BS140" s="61" t="n"/>
      <c r="BT140" s="61" t="n"/>
      <c r="BU140" s="61" t="n"/>
      <c r="BV140" s="61" t="n"/>
      <c r="BW140" s="61" t="n"/>
      <c r="BX140" s="61" t="n"/>
      <c r="BY140" s="61" t="n"/>
      <c r="BZ140" s="61" t="n"/>
      <c r="CA140" s="61" t="n"/>
      <c r="CB140" s="61" t="n"/>
      <c r="CC140" s="61" t="n"/>
      <c r="CD140" s="61" t="n"/>
      <c r="CE140" s="61" t="n"/>
      <c r="CF140" s="61" t="n"/>
      <c r="CG140" s="61" t="n"/>
      <c r="CH140" s="61" t="n"/>
    </row>
    <row r="141" ht="18.75" customHeight="1" s="98">
      <c r="A141" s="5" t="n"/>
      <c r="B141" s="59" t="n"/>
      <c r="C141" s="44" t="n"/>
      <c r="D141" s="59" t="n"/>
      <c r="E141" s="88" t="n"/>
      <c r="F141" s="66" t="n"/>
      <c r="G141" s="59" t="n"/>
      <c r="H141" s="44" t="n"/>
      <c r="I141" s="45" t="n"/>
      <c r="J141" s="59" t="n"/>
      <c r="K141" s="47" t="n"/>
      <c r="L141" s="47" t="n"/>
      <c r="M141" s="47" t="n"/>
      <c r="N141" s="47" t="n"/>
      <c r="O141" s="44" t="n"/>
      <c r="P141" s="62" t="n"/>
      <c r="Q141" s="44" t="n"/>
      <c r="R141" s="66" t="n"/>
      <c r="S141" s="61" t="n"/>
      <c r="T141" s="61" t="n"/>
      <c r="U141" s="61" t="n"/>
      <c r="V141" s="61" t="n"/>
      <c r="W141" s="61" t="n"/>
      <c r="X141" s="61" t="n"/>
      <c r="Y141" s="61" t="n"/>
      <c r="Z141" s="61" t="n"/>
      <c r="AA141" s="61" t="n"/>
      <c r="AB141" s="61" t="n"/>
      <c r="AC141" s="61" t="n"/>
      <c r="AD141" s="61" t="n"/>
      <c r="AE141" s="61" t="n"/>
      <c r="AF141" s="61" t="n"/>
      <c r="AG141" s="61" t="n"/>
      <c r="AH141" s="61" t="n"/>
      <c r="AI141" s="61" t="n"/>
      <c r="AJ141" s="61" t="n"/>
      <c r="AK141" s="61" t="n"/>
      <c r="AL141" s="61" t="n"/>
      <c r="AM141" s="61" t="n"/>
      <c r="AN141" s="61" t="n"/>
      <c r="AO141" s="61" t="n"/>
      <c r="AP141" s="61" t="n"/>
      <c r="AQ141" s="61" t="n"/>
      <c r="AR141" s="61" t="n"/>
      <c r="AS141" s="61" t="n"/>
      <c r="AT141" s="61" t="n"/>
      <c r="AU141" s="61" t="n"/>
      <c r="AV141" s="61" t="n"/>
      <c r="AW141" s="61" t="n"/>
      <c r="AX141" s="61" t="n"/>
      <c r="AY141" s="61" t="n"/>
      <c r="AZ141" s="61" t="n"/>
      <c r="BA141" s="61" t="n"/>
      <c r="BB141" s="61" t="n"/>
      <c r="BC141" s="61" t="n"/>
      <c r="BD141" s="61" t="n"/>
      <c r="BE141" s="61" t="n"/>
      <c r="BF141" s="61" t="n"/>
      <c r="BG141" s="61" t="n"/>
      <c r="BH141" s="61" t="n"/>
      <c r="BI141" s="61" t="n"/>
      <c r="BJ141" s="61" t="n"/>
      <c r="BK141" s="61" t="n"/>
      <c r="BL141" s="61" t="n"/>
      <c r="BM141" s="61" t="n"/>
      <c r="BN141" s="61" t="n"/>
      <c r="BO141" s="61" t="n"/>
      <c r="BP141" s="61" t="n"/>
      <c r="BQ141" s="61" t="n"/>
      <c r="BR141" s="61" t="n"/>
      <c r="BS141" s="61" t="n"/>
      <c r="BT141" s="61" t="n"/>
      <c r="BU141" s="61" t="n"/>
      <c r="BV141" s="61" t="n"/>
      <c r="BW141" s="61" t="n"/>
      <c r="BX141" s="61" t="n"/>
      <c r="BY141" s="61" t="n"/>
      <c r="BZ141" s="61" t="n"/>
      <c r="CA141" s="61" t="n"/>
      <c r="CB141" s="61" t="n"/>
      <c r="CC141" s="61" t="n"/>
      <c r="CD141" s="61" t="n"/>
      <c r="CE141" s="61" t="n"/>
      <c r="CF141" s="61" t="n"/>
      <c r="CG141" s="61" t="n"/>
      <c r="CH141" s="61" t="n"/>
    </row>
    <row r="142" ht="18.75" customHeight="1" s="98">
      <c r="A142" s="5" t="n"/>
      <c r="B142" s="59" t="n"/>
      <c r="C142" s="44" t="n"/>
      <c r="D142" s="59" t="n"/>
      <c r="E142" s="88" t="n"/>
      <c r="F142" s="66" t="n"/>
      <c r="G142" s="59" t="n"/>
      <c r="H142" s="44" t="n"/>
      <c r="I142" s="45" t="n"/>
      <c r="J142" s="59" t="n"/>
      <c r="K142" s="47" t="n"/>
      <c r="L142" s="47" t="n"/>
      <c r="M142" s="47" t="n"/>
      <c r="N142" s="47" t="n"/>
      <c r="O142" s="44" t="n"/>
      <c r="P142" s="62" t="n"/>
      <c r="Q142" s="59" t="n"/>
      <c r="R142" s="66" t="n"/>
      <c r="S142" s="61" t="n"/>
      <c r="T142" s="61" t="n"/>
      <c r="U142" s="61" t="n"/>
      <c r="V142" s="61" t="n"/>
      <c r="W142" s="61" t="n"/>
      <c r="X142" s="61" t="n"/>
      <c r="Y142" s="61" t="n"/>
      <c r="Z142" s="61" t="n"/>
      <c r="AA142" s="61" t="n"/>
      <c r="AB142" s="61" t="n"/>
      <c r="AC142" s="61" t="n"/>
      <c r="AD142" s="61" t="n"/>
      <c r="AE142" s="61" t="n"/>
      <c r="AF142" s="61" t="n"/>
      <c r="AG142" s="61" t="n"/>
      <c r="AH142" s="61" t="n"/>
      <c r="AI142" s="61" t="n"/>
      <c r="AJ142" s="61" t="n"/>
      <c r="AK142" s="61" t="n"/>
      <c r="AL142" s="61" t="n"/>
      <c r="AM142" s="61" t="n"/>
      <c r="AN142" s="61" t="n"/>
      <c r="AO142" s="61" t="n"/>
      <c r="AP142" s="61" t="n"/>
      <c r="AQ142" s="61" t="n"/>
      <c r="AR142" s="61" t="n"/>
      <c r="AS142" s="61" t="n"/>
      <c r="AT142" s="61" t="n"/>
      <c r="AU142" s="61" t="n"/>
      <c r="AV142" s="61" t="n"/>
      <c r="AW142" s="61" t="n"/>
      <c r="AX142" s="61" t="n"/>
      <c r="AY142" s="61" t="n"/>
      <c r="AZ142" s="61" t="n"/>
      <c r="BA142" s="61" t="n"/>
      <c r="BB142" s="61" t="n"/>
      <c r="BC142" s="61" t="n"/>
      <c r="BD142" s="61" t="n"/>
      <c r="BE142" s="61" t="n"/>
      <c r="BF142" s="61" t="n"/>
      <c r="BG142" s="61" t="n"/>
      <c r="BH142" s="61" t="n"/>
      <c r="BI142" s="61" t="n"/>
      <c r="BJ142" s="61" t="n"/>
      <c r="BK142" s="61" t="n"/>
      <c r="BL142" s="61" t="n"/>
      <c r="BM142" s="61" t="n"/>
      <c r="BN142" s="61" t="n"/>
      <c r="BO142" s="61" t="n"/>
      <c r="BP142" s="61" t="n"/>
      <c r="BQ142" s="61" t="n"/>
      <c r="BR142" s="61" t="n"/>
      <c r="BS142" s="61" t="n"/>
      <c r="BT142" s="61" t="n"/>
      <c r="BU142" s="61" t="n"/>
      <c r="BV142" s="61" t="n"/>
      <c r="BW142" s="61" t="n"/>
      <c r="BX142" s="61" t="n"/>
      <c r="BY142" s="61" t="n"/>
      <c r="BZ142" s="61" t="n"/>
      <c r="CA142" s="61" t="n"/>
      <c r="CB142" s="61" t="n"/>
      <c r="CC142" s="61" t="n"/>
      <c r="CD142" s="61" t="n"/>
      <c r="CE142" s="61" t="n"/>
      <c r="CF142" s="61" t="n"/>
      <c r="CG142" s="61" t="n"/>
      <c r="CH142" s="61" t="n"/>
    </row>
    <row r="143" ht="18.75" customHeight="1" s="98">
      <c r="A143" s="5" t="n"/>
      <c r="B143" s="59" t="n"/>
      <c r="C143" s="44" t="n"/>
      <c r="D143" s="59" t="n"/>
      <c r="E143" s="88" t="n"/>
      <c r="F143" s="66" t="n"/>
      <c r="G143" s="59" t="n"/>
      <c r="H143" s="44" t="n"/>
      <c r="I143" s="45" t="n"/>
      <c r="J143" s="59" t="n"/>
      <c r="K143" s="47" t="n"/>
      <c r="L143" s="47" t="n"/>
      <c r="M143" s="47" t="n"/>
      <c r="N143" s="47" t="n"/>
      <c r="O143" s="44" t="n"/>
      <c r="P143" s="62" t="n"/>
      <c r="Q143" s="59" t="n"/>
      <c r="R143" s="66" t="n"/>
      <c r="S143" s="61" t="n"/>
      <c r="T143" s="61" t="n"/>
      <c r="U143" s="61" t="n"/>
      <c r="V143" s="61" t="n"/>
      <c r="W143" s="61" t="n"/>
      <c r="X143" s="61" t="n"/>
      <c r="Y143" s="61" t="n"/>
      <c r="Z143" s="61" t="n"/>
      <c r="AA143" s="61" t="n"/>
      <c r="AB143" s="61" t="n"/>
      <c r="AC143" s="61" t="n"/>
      <c r="AD143" s="61" t="n"/>
      <c r="AE143" s="61" t="n"/>
      <c r="AF143" s="61" t="n"/>
      <c r="AG143" s="61" t="n"/>
      <c r="AH143" s="61" t="n"/>
      <c r="AI143" s="61" t="n"/>
      <c r="AJ143" s="61" t="n"/>
      <c r="AK143" s="61" t="n"/>
      <c r="AL143" s="61" t="n"/>
      <c r="AM143" s="61" t="n"/>
      <c r="AN143" s="61" t="n"/>
      <c r="AO143" s="61" t="n"/>
      <c r="AP143" s="61" t="n"/>
      <c r="AQ143" s="61" t="n"/>
      <c r="AR143" s="61" t="n"/>
      <c r="AS143" s="61" t="n"/>
      <c r="AT143" s="61" t="n"/>
      <c r="AU143" s="61" t="n"/>
      <c r="AV143" s="61" t="n"/>
      <c r="AW143" s="61" t="n"/>
      <c r="AX143" s="61" t="n"/>
      <c r="AY143" s="61" t="n"/>
      <c r="AZ143" s="61" t="n"/>
      <c r="BA143" s="61" t="n"/>
      <c r="BB143" s="61" t="n"/>
      <c r="BC143" s="61" t="n"/>
      <c r="BD143" s="61" t="n"/>
      <c r="BE143" s="61" t="n"/>
      <c r="BF143" s="61" t="n"/>
      <c r="BG143" s="61" t="n"/>
      <c r="BH143" s="61" t="n"/>
      <c r="BI143" s="61" t="n"/>
      <c r="BJ143" s="61" t="n"/>
      <c r="BK143" s="61" t="n"/>
      <c r="BL143" s="61" t="n"/>
      <c r="BM143" s="61" t="n"/>
      <c r="BN143" s="61" t="n"/>
      <c r="BO143" s="61" t="n"/>
      <c r="BP143" s="61" t="n"/>
      <c r="BQ143" s="61" t="n"/>
      <c r="BR143" s="61" t="n"/>
      <c r="BS143" s="61" t="n"/>
      <c r="BT143" s="61" t="n"/>
      <c r="BU143" s="61" t="n"/>
      <c r="BV143" s="61" t="n"/>
      <c r="BW143" s="61" t="n"/>
      <c r="BX143" s="61" t="n"/>
      <c r="BY143" s="61" t="n"/>
      <c r="BZ143" s="61" t="n"/>
      <c r="CA143" s="61" t="n"/>
      <c r="CB143" s="61" t="n"/>
      <c r="CC143" s="61" t="n"/>
      <c r="CD143" s="61" t="n"/>
      <c r="CE143" s="61" t="n"/>
      <c r="CF143" s="61" t="n"/>
      <c r="CG143" s="61" t="n"/>
      <c r="CH143" s="61" t="n"/>
    </row>
    <row r="144" ht="18.75" customHeight="1" s="98">
      <c r="A144" s="5" t="n"/>
      <c r="B144" s="59" t="n"/>
      <c r="C144" s="44" t="n"/>
      <c r="D144" s="59" t="n"/>
      <c r="E144" s="88" t="n"/>
      <c r="F144" s="66" t="n"/>
      <c r="G144" s="59" t="n"/>
      <c r="H144" s="44" t="n"/>
      <c r="I144" s="45" t="n"/>
      <c r="J144" s="59" t="n"/>
      <c r="K144" s="47" t="n"/>
      <c r="L144" s="47" t="n"/>
      <c r="M144" s="47" t="n"/>
      <c r="N144" s="47" t="n"/>
      <c r="O144" s="44" t="n"/>
      <c r="P144" s="62" t="n"/>
      <c r="Q144" s="59" t="n"/>
      <c r="R144" s="66" t="n"/>
      <c r="S144" s="61" t="n"/>
      <c r="T144" s="61" t="n"/>
      <c r="U144" s="61" t="n"/>
      <c r="V144" s="61" t="n"/>
      <c r="W144" s="61" t="n"/>
      <c r="X144" s="61" t="n"/>
      <c r="Y144" s="61" t="n"/>
      <c r="Z144" s="61" t="n"/>
      <c r="AA144" s="61" t="n"/>
      <c r="AB144" s="61" t="n"/>
      <c r="AC144" s="61" t="n"/>
      <c r="AD144" s="61" t="n"/>
      <c r="AE144" s="61" t="n"/>
      <c r="AF144" s="61" t="n"/>
      <c r="AG144" s="61" t="n"/>
      <c r="AH144" s="61" t="n"/>
      <c r="AI144" s="61" t="n"/>
      <c r="AJ144" s="61" t="n"/>
      <c r="AK144" s="61" t="n"/>
      <c r="AL144" s="61" t="n"/>
      <c r="AM144" s="61" t="n"/>
      <c r="AN144" s="61" t="n"/>
      <c r="AO144" s="61" t="n"/>
      <c r="AP144" s="61" t="n"/>
      <c r="AQ144" s="61" t="n"/>
      <c r="AR144" s="61" t="n"/>
      <c r="AS144" s="61" t="n"/>
      <c r="AT144" s="61" t="n"/>
      <c r="AU144" s="61" t="n"/>
      <c r="AV144" s="61" t="n"/>
      <c r="AW144" s="61" t="n"/>
      <c r="AX144" s="61" t="n"/>
      <c r="AY144" s="61" t="n"/>
      <c r="AZ144" s="61" t="n"/>
      <c r="BA144" s="61" t="n"/>
      <c r="BB144" s="61" t="n"/>
      <c r="BC144" s="61" t="n"/>
      <c r="BD144" s="61" t="n"/>
      <c r="BE144" s="61" t="n"/>
      <c r="BF144" s="61" t="n"/>
      <c r="BG144" s="61" t="n"/>
      <c r="BH144" s="61" t="n"/>
      <c r="BI144" s="61" t="n"/>
      <c r="BJ144" s="61" t="n"/>
      <c r="BK144" s="61" t="n"/>
      <c r="BL144" s="61" t="n"/>
      <c r="BM144" s="61" t="n"/>
      <c r="BN144" s="61" t="n"/>
      <c r="BO144" s="61" t="n"/>
      <c r="BP144" s="61" t="n"/>
      <c r="BQ144" s="61" t="n"/>
      <c r="BR144" s="61" t="n"/>
      <c r="BS144" s="61" t="n"/>
      <c r="BT144" s="61" t="n"/>
      <c r="BU144" s="61" t="n"/>
      <c r="BV144" s="61" t="n"/>
      <c r="BW144" s="61" t="n"/>
      <c r="BX144" s="61" t="n"/>
      <c r="BY144" s="61" t="n"/>
      <c r="BZ144" s="61" t="n"/>
      <c r="CA144" s="61" t="n"/>
      <c r="CB144" s="61" t="n"/>
      <c r="CC144" s="61" t="n"/>
      <c r="CD144" s="61" t="n"/>
      <c r="CE144" s="61" t="n"/>
      <c r="CF144" s="61" t="n"/>
      <c r="CG144" s="61" t="n"/>
      <c r="CH144" s="61" t="n"/>
    </row>
    <row r="145" ht="18.75" customHeight="1" s="98">
      <c r="A145" s="5" t="n"/>
      <c r="B145" s="59" t="n"/>
      <c r="C145" s="44" t="n"/>
      <c r="D145" s="59" t="n"/>
      <c r="E145" s="88" t="n"/>
      <c r="F145" s="66" t="n"/>
      <c r="G145" s="59" t="n"/>
      <c r="H145" s="44" t="n"/>
      <c r="I145" s="45" t="n"/>
      <c r="J145" s="59" t="n"/>
      <c r="K145" s="47" t="n"/>
      <c r="L145" s="47" t="n"/>
      <c r="M145" s="47" t="n"/>
      <c r="N145" s="47" t="n"/>
      <c r="O145" s="44" t="n"/>
      <c r="P145" s="62" t="n"/>
      <c r="Q145" s="59" t="n"/>
      <c r="R145" s="66" t="n"/>
      <c r="S145" s="61" t="n"/>
      <c r="T145" s="61" t="n"/>
      <c r="U145" s="61" t="n"/>
      <c r="V145" s="61" t="n"/>
      <c r="W145" s="61" t="n"/>
      <c r="X145" s="61" t="n"/>
      <c r="Y145" s="61" t="n"/>
      <c r="Z145" s="61" t="n"/>
      <c r="AA145" s="61" t="n"/>
      <c r="AB145" s="61" t="n"/>
      <c r="AC145" s="61" t="n"/>
      <c r="AD145" s="61" t="n"/>
      <c r="AE145" s="61" t="n"/>
      <c r="AF145" s="61" t="n"/>
      <c r="AG145" s="61" t="n"/>
      <c r="AH145" s="61" t="n"/>
      <c r="AI145" s="61" t="n"/>
      <c r="AJ145" s="61" t="n"/>
      <c r="AK145" s="61" t="n"/>
      <c r="AL145" s="61" t="n"/>
      <c r="AM145" s="61" t="n"/>
      <c r="AN145" s="61" t="n"/>
      <c r="AO145" s="61" t="n"/>
      <c r="AP145" s="61" t="n"/>
      <c r="AQ145" s="61" t="n"/>
      <c r="AR145" s="61" t="n"/>
      <c r="AS145" s="61" t="n"/>
      <c r="AT145" s="61" t="n"/>
      <c r="AU145" s="61" t="n"/>
      <c r="AV145" s="61" t="n"/>
      <c r="AW145" s="61" t="n"/>
      <c r="AX145" s="61" t="n"/>
      <c r="AY145" s="61" t="n"/>
      <c r="AZ145" s="61" t="n"/>
      <c r="BA145" s="61" t="n"/>
      <c r="BB145" s="61" t="n"/>
      <c r="BC145" s="61" t="n"/>
      <c r="BD145" s="61" t="n"/>
      <c r="BE145" s="61" t="n"/>
      <c r="BF145" s="61" t="n"/>
      <c r="BG145" s="61" t="n"/>
      <c r="BH145" s="61" t="n"/>
      <c r="BI145" s="61" t="n"/>
      <c r="BJ145" s="61" t="n"/>
      <c r="BK145" s="61" t="n"/>
      <c r="BL145" s="61" t="n"/>
      <c r="BM145" s="61" t="n"/>
      <c r="BN145" s="61" t="n"/>
      <c r="BO145" s="61" t="n"/>
      <c r="BP145" s="61" t="n"/>
      <c r="BQ145" s="61" t="n"/>
      <c r="BR145" s="61" t="n"/>
      <c r="BS145" s="61" t="n"/>
      <c r="BT145" s="61" t="n"/>
      <c r="BU145" s="61" t="n"/>
      <c r="BV145" s="61" t="n"/>
      <c r="BW145" s="61" t="n"/>
      <c r="BX145" s="61" t="n"/>
      <c r="BY145" s="61" t="n"/>
      <c r="BZ145" s="61" t="n"/>
      <c r="CA145" s="61" t="n"/>
      <c r="CB145" s="61" t="n"/>
      <c r="CC145" s="61" t="n"/>
      <c r="CD145" s="61" t="n"/>
      <c r="CE145" s="61" t="n"/>
      <c r="CF145" s="61" t="n"/>
      <c r="CG145" s="61" t="n"/>
      <c r="CH145" s="61" t="n"/>
    </row>
    <row r="146" ht="18.75" customHeight="1" s="98">
      <c r="A146" s="5" t="n"/>
      <c r="B146" s="59" t="n"/>
      <c r="C146" s="44" t="n"/>
      <c r="D146" s="59" t="n"/>
      <c r="E146" s="88" t="n"/>
      <c r="F146" s="66" t="n"/>
      <c r="G146" s="59" t="n"/>
      <c r="H146" s="44" t="n"/>
      <c r="I146" s="45" t="n"/>
      <c r="J146" s="59" t="n"/>
      <c r="K146" s="47" t="n"/>
      <c r="L146" s="47" t="n"/>
      <c r="M146" s="47" t="n"/>
      <c r="N146" s="47" t="n"/>
      <c r="O146" s="44" t="n"/>
      <c r="P146" s="62" t="n"/>
      <c r="Q146" s="59" t="n"/>
      <c r="R146" s="66" t="n"/>
      <c r="S146" s="61" t="n"/>
      <c r="T146" s="61" t="n"/>
      <c r="U146" s="61" t="n"/>
      <c r="V146" s="61" t="n"/>
      <c r="W146" s="61" t="n"/>
      <c r="X146" s="61" t="n"/>
      <c r="Y146" s="61" t="n"/>
      <c r="Z146" s="61" t="n"/>
      <c r="AA146" s="61" t="n"/>
      <c r="AB146" s="61" t="n"/>
      <c r="AC146" s="61" t="n"/>
      <c r="AD146" s="61" t="n"/>
      <c r="AE146" s="61" t="n"/>
      <c r="AF146" s="61" t="n"/>
      <c r="AG146" s="61" t="n"/>
      <c r="AH146" s="61" t="n"/>
      <c r="AI146" s="61" t="n"/>
      <c r="AJ146" s="61" t="n"/>
      <c r="AK146" s="61" t="n"/>
      <c r="AL146" s="61" t="n"/>
      <c r="AM146" s="61" t="n"/>
      <c r="AN146" s="61" t="n"/>
      <c r="AO146" s="61" t="n"/>
      <c r="AP146" s="61" t="n"/>
      <c r="AQ146" s="61" t="n"/>
      <c r="AR146" s="61" t="n"/>
      <c r="AS146" s="61" t="n"/>
      <c r="AT146" s="61" t="n"/>
      <c r="AU146" s="61" t="n"/>
      <c r="AV146" s="61" t="n"/>
      <c r="AW146" s="61" t="n"/>
      <c r="AX146" s="61" t="n"/>
      <c r="AY146" s="61" t="n"/>
      <c r="AZ146" s="61" t="n"/>
      <c r="BA146" s="61" t="n"/>
      <c r="BB146" s="61" t="n"/>
      <c r="BC146" s="61" t="n"/>
      <c r="BD146" s="61" t="n"/>
      <c r="BE146" s="61" t="n"/>
      <c r="BF146" s="61" t="n"/>
      <c r="BG146" s="61" t="n"/>
      <c r="BH146" s="61" t="n"/>
      <c r="BI146" s="61" t="n"/>
      <c r="BJ146" s="61" t="n"/>
      <c r="BK146" s="61" t="n"/>
      <c r="BL146" s="61" t="n"/>
      <c r="BM146" s="61" t="n"/>
      <c r="BN146" s="61" t="n"/>
      <c r="BO146" s="61" t="n"/>
      <c r="BP146" s="61" t="n"/>
      <c r="BQ146" s="61" t="n"/>
      <c r="BR146" s="61" t="n"/>
      <c r="BS146" s="61" t="n"/>
      <c r="BT146" s="61" t="n"/>
      <c r="BU146" s="61" t="n"/>
      <c r="BV146" s="61" t="n"/>
      <c r="BW146" s="61" t="n"/>
      <c r="BX146" s="61" t="n"/>
      <c r="BY146" s="61" t="n"/>
      <c r="BZ146" s="61" t="n"/>
      <c r="CA146" s="61" t="n"/>
      <c r="CB146" s="61" t="n"/>
      <c r="CC146" s="61" t="n"/>
      <c r="CD146" s="61" t="n"/>
      <c r="CE146" s="61" t="n"/>
      <c r="CF146" s="61" t="n"/>
      <c r="CG146" s="61" t="n"/>
      <c r="CH146" s="61" t="n"/>
    </row>
    <row r="147" ht="18.75" customHeight="1" s="98">
      <c r="A147" s="5" t="n"/>
      <c r="B147" s="59" t="n"/>
      <c r="C147" s="44" t="n"/>
      <c r="D147" s="59" t="n"/>
      <c r="E147" s="88" t="n"/>
      <c r="F147" s="66" t="n"/>
      <c r="G147" s="59" t="n"/>
      <c r="H147" s="44" t="n"/>
      <c r="I147" s="45" t="n"/>
      <c r="J147" s="59" t="n"/>
      <c r="K147" s="47" t="n"/>
      <c r="L147" s="47" t="n"/>
      <c r="M147" s="47" t="n"/>
      <c r="N147" s="47" t="n"/>
      <c r="O147" s="44" t="n"/>
      <c r="P147" s="62" t="n"/>
      <c r="Q147" s="59" t="n"/>
      <c r="R147" s="66" t="n"/>
      <c r="S147" s="61" t="n"/>
      <c r="T147" s="61" t="n"/>
      <c r="U147" s="61" t="n"/>
      <c r="V147" s="61" t="n"/>
      <c r="W147" s="61" t="n"/>
      <c r="X147" s="61" t="n"/>
      <c r="Y147" s="61" t="n"/>
      <c r="Z147" s="61" t="n"/>
      <c r="AA147" s="61" t="n"/>
      <c r="AB147" s="61" t="n"/>
      <c r="AC147" s="61" t="n"/>
      <c r="AD147" s="61" t="n"/>
      <c r="AE147" s="61" t="n"/>
      <c r="AF147" s="61" t="n"/>
      <c r="AG147" s="61" t="n"/>
      <c r="AH147" s="61" t="n"/>
      <c r="AI147" s="61" t="n"/>
      <c r="AJ147" s="61" t="n"/>
      <c r="AK147" s="61" t="n"/>
      <c r="AL147" s="61" t="n"/>
      <c r="AM147" s="61" t="n"/>
      <c r="AN147" s="61" t="n"/>
      <c r="AO147" s="61" t="n"/>
      <c r="AP147" s="61" t="n"/>
      <c r="AQ147" s="61" t="n"/>
      <c r="AR147" s="61" t="n"/>
      <c r="AS147" s="61" t="n"/>
      <c r="AT147" s="61" t="n"/>
      <c r="AU147" s="61" t="n"/>
      <c r="AV147" s="61" t="n"/>
      <c r="AW147" s="61" t="n"/>
      <c r="AX147" s="61" t="n"/>
      <c r="AY147" s="61" t="n"/>
      <c r="AZ147" s="61" t="n"/>
      <c r="BA147" s="61" t="n"/>
      <c r="BB147" s="61" t="n"/>
      <c r="BC147" s="61" t="n"/>
      <c r="BD147" s="61" t="n"/>
      <c r="BE147" s="61" t="n"/>
      <c r="BF147" s="61" t="n"/>
      <c r="BG147" s="61" t="n"/>
      <c r="BH147" s="61" t="n"/>
      <c r="BI147" s="61" t="n"/>
      <c r="BJ147" s="61" t="n"/>
      <c r="BK147" s="61" t="n"/>
      <c r="BL147" s="61" t="n"/>
      <c r="BM147" s="61" t="n"/>
      <c r="BN147" s="61" t="n"/>
      <c r="BO147" s="61" t="n"/>
      <c r="BP147" s="61" t="n"/>
      <c r="BQ147" s="61" t="n"/>
      <c r="BR147" s="61" t="n"/>
      <c r="BS147" s="61" t="n"/>
      <c r="BT147" s="61" t="n"/>
      <c r="BU147" s="61" t="n"/>
      <c r="BV147" s="61" t="n"/>
      <c r="BW147" s="61" t="n"/>
      <c r="BX147" s="61" t="n"/>
      <c r="BY147" s="61" t="n"/>
      <c r="BZ147" s="61" t="n"/>
      <c r="CA147" s="61" t="n"/>
      <c r="CB147" s="61" t="n"/>
      <c r="CC147" s="61" t="n"/>
      <c r="CD147" s="61" t="n"/>
      <c r="CE147" s="61" t="n"/>
      <c r="CF147" s="61" t="n"/>
      <c r="CG147" s="61" t="n"/>
      <c r="CH147" s="61" t="n"/>
    </row>
    <row r="148" ht="18.75" customHeight="1" s="98">
      <c r="A148" s="5" t="n"/>
      <c r="B148" s="59" t="n"/>
      <c r="C148" s="44" t="n"/>
      <c r="D148" s="59" t="n"/>
      <c r="E148" s="88" t="n"/>
      <c r="F148" s="66" t="n"/>
      <c r="G148" s="59" t="n"/>
      <c r="H148" s="44" t="n"/>
      <c r="I148" s="45" t="n"/>
      <c r="J148" s="59" t="n"/>
      <c r="K148" s="47" t="n"/>
      <c r="L148" s="47" t="n"/>
      <c r="M148" s="47" t="n"/>
      <c r="N148" s="47" t="n"/>
      <c r="O148" s="44" t="n"/>
      <c r="P148" s="62" t="n"/>
      <c r="Q148" s="44" t="n"/>
      <c r="R148" s="66" t="n"/>
      <c r="S148" s="61" t="n"/>
      <c r="T148" s="61" t="n"/>
      <c r="U148" s="61" t="n"/>
      <c r="V148" s="61" t="n"/>
      <c r="W148" s="61" t="n"/>
      <c r="X148" s="61" t="n"/>
      <c r="Y148" s="61" t="n"/>
      <c r="Z148" s="61" t="n"/>
      <c r="AA148" s="61" t="n"/>
      <c r="AB148" s="61" t="n"/>
      <c r="AC148" s="61" t="n"/>
      <c r="AD148" s="61" t="n"/>
      <c r="AE148" s="61" t="n"/>
      <c r="AF148" s="61" t="n"/>
      <c r="AG148" s="61" t="n"/>
      <c r="AH148" s="61" t="n"/>
      <c r="AI148" s="61" t="n"/>
      <c r="AJ148" s="61" t="n"/>
      <c r="AK148" s="61" t="n"/>
      <c r="AL148" s="61" t="n"/>
      <c r="AM148" s="61" t="n"/>
      <c r="AN148" s="61" t="n"/>
      <c r="AO148" s="61" t="n"/>
      <c r="AP148" s="61" t="n"/>
      <c r="AQ148" s="61" t="n"/>
      <c r="AR148" s="61" t="n"/>
      <c r="AS148" s="61" t="n"/>
      <c r="AT148" s="61" t="n"/>
      <c r="AU148" s="61" t="n"/>
      <c r="AV148" s="61" t="n"/>
      <c r="AW148" s="61" t="n"/>
      <c r="AX148" s="61" t="n"/>
      <c r="AY148" s="61" t="n"/>
      <c r="AZ148" s="61" t="n"/>
      <c r="BA148" s="61" t="n"/>
      <c r="BB148" s="61" t="n"/>
      <c r="BC148" s="61" t="n"/>
      <c r="BD148" s="61" t="n"/>
      <c r="BE148" s="61" t="n"/>
      <c r="BF148" s="61" t="n"/>
      <c r="BG148" s="61" t="n"/>
      <c r="BH148" s="61" t="n"/>
      <c r="BI148" s="61" t="n"/>
      <c r="BJ148" s="61" t="n"/>
      <c r="BK148" s="61" t="n"/>
      <c r="BL148" s="61" t="n"/>
      <c r="BM148" s="61" t="n"/>
      <c r="BN148" s="61" t="n"/>
      <c r="BO148" s="61" t="n"/>
      <c r="BP148" s="61" t="n"/>
      <c r="BQ148" s="61" t="n"/>
      <c r="BR148" s="61" t="n"/>
      <c r="BS148" s="61" t="n"/>
      <c r="BT148" s="61" t="n"/>
      <c r="BU148" s="61" t="n"/>
      <c r="BV148" s="61" t="n"/>
      <c r="BW148" s="61" t="n"/>
      <c r="BX148" s="61" t="n"/>
      <c r="BY148" s="61" t="n"/>
      <c r="BZ148" s="61" t="n"/>
      <c r="CA148" s="61" t="n"/>
      <c r="CB148" s="61" t="n"/>
      <c r="CC148" s="61" t="n"/>
      <c r="CD148" s="61" t="n"/>
      <c r="CE148" s="61" t="n"/>
      <c r="CF148" s="61" t="n"/>
      <c r="CG148" s="61" t="n"/>
      <c r="CH148" s="61" t="n"/>
    </row>
    <row r="149" ht="18.75" customHeight="1" s="98">
      <c r="A149" s="5" t="n"/>
      <c r="B149" s="59" t="n"/>
      <c r="C149" s="44" t="n"/>
      <c r="D149" s="59" t="n"/>
      <c r="E149" s="88" t="n"/>
      <c r="F149" s="66" t="n"/>
      <c r="G149" s="59" t="n"/>
      <c r="H149" s="44" t="n"/>
      <c r="I149" s="45" t="n"/>
      <c r="J149" s="59" t="n"/>
      <c r="K149" s="47" t="n"/>
      <c r="L149" s="47" t="n"/>
      <c r="M149" s="47" t="n"/>
      <c r="N149" s="47" t="n"/>
      <c r="O149" s="44" t="n"/>
      <c r="P149" s="62" t="n"/>
      <c r="Q149" s="44" t="n"/>
      <c r="R149" s="66" t="n"/>
      <c r="S149" s="61" t="n"/>
      <c r="T149" s="61" t="n"/>
      <c r="U149" s="61" t="n"/>
      <c r="V149" s="61" t="n"/>
      <c r="W149" s="61" t="n"/>
      <c r="X149" s="61" t="n"/>
      <c r="Y149" s="61" t="n"/>
      <c r="Z149" s="61" t="n"/>
      <c r="AA149" s="61" t="n"/>
      <c r="AB149" s="61" t="n"/>
      <c r="AC149" s="61" t="n"/>
      <c r="AD149" s="61" t="n"/>
      <c r="AE149" s="61" t="n"/>
      <c r="AF149" s="61" t="n"/>
      <c r="AG149" s="61" t="n"/>
      <c r="AH149" s="61" t="n"/>
      <c r="AI149" s="61" t="n"/>
      <c r="AJ149" s="61" t="n"/>
      <c r="AK149" s="61" t="n"/>
      <c r="AL149" s="61" t="n"/>
      <c r="AM149" s="61" t="n"/>
      <c r="AN149" s="61" t="n"/>
      <c r="AO149" s="61" t="n"/>
      <c r="AP149" s="61" t="n"/>
      <c r="AQ149" s="61" t="n"/>
      <c r="AR149" s="61" t="n"/>
      <c r="AS149" s="61" t="n"/>
      <c r="AT149" s="61" t="n"/>
      <c r="AU149" s="61" t="n"/>
      <c r="AV149" s="61" t="n"/>
      <c r="AW149" s="61" t="n"/>
      <c r="AX149" s="61" t="n"/>
      <c r="AY149" s="61" t="n"/>
      <c r="AZ149" s="61" t="n"/>
      <c r="BA149" s="61" t="n"/>
      <c r="BB149" s="61" t="n"/>
      <c r="BC149" s="61" t="n"/>
      <c r="BD149" s="61" t="n"/>
      <c r="BE149" s="61" t="n"/>
      <c r="BF149" s="61" t="n"/>
      <c r="BG149" s="61" t="n"/>
      <c r="BH149" s="61" t="n"/>
      <c r="BI149" s="61" t="n"/>
      <c r="BJ149" s="61" t="n"/>
      <c r="BK149" s="61" t="n"/>
      <c r="BL149" s="61" t="n"/>
      <c r="BM149" s="61" t="n"/>
      <c r="BN149" s="61" t="n"/>
      <c r="BO149" s="61" t="n"/>
      <c r="BP149" s="61" t="n"/>
      <c r="BQ149" s="61" t="n"/>
      <c r="BR149" s="61" t="n"/>
      <c r="BS149" s="61" t="n"/>
      <c r="BT149" s="61" t="n"/>
      <c r="BU149" s="61" t="n"/>
      <c r="BV149" s="61" t="n"/>
      <c r="BW149" s="61" t="n"/>
      <c r="BX149" s="61" t="n"/>
      <c r="BY149" s="61" t="n"/>
      <c r="BZ149" s="61" t="n"/>
      <c r="CA149" s="61" t="n"/>
      <c r="CB149" s="61" t="n"/>
      <c r="CC149" s="61" t="n"/>
      <c r="CD149" s="61" t="n"/>
      <c r="CE149" s="61" t="n"/>
      <c r="CF149" s="61" t="n"/>
      <c r="CG149" s="61" t="n"/>
      <c r="CH149" s="61" t="n"/>
    </row>
    <row r="150" ht="18.75" customHeight="1" s="98">
      <c r="A150" s="5" t="n"/>
      <c r="B150" s="59" t="n"/>
      <c r="C150" s="44" t="n"/>
      <c r="D150" s="59" t="n"/>
      <c r="E150" s="88" t="n"/>
      <c r="F150" s="66" t="n"/>
      <c r="G150" s="59" t="n"/>
      <c r="H150" s="44" t="n"/>
      <c r="I150" s="45" t="n"/>
      <c r="J150" s="59" t="n"/>
      <c r="K150" s="47" t="n"/>
      <c r="L150" s="47" t="n"/>
      <c r="M150" s="47" t="n"/>
      <c r="N150" s="47" t="n"/>
      <c r="O150" s="44" t="n"/>
      <c r="P150" s="62" t="n"/>
      <c r="Q150" s="59" t="n"/>
      <c r="R150" s="66" t="n"/>
      <c r="S150" s="61" t="n"/>
      <c r="T150" s="61" t="n"/>
      <c r="U150" s="61" t="n"/>
      <c r="V150" s="61" t="n"/>
      <c r="W150" s="61" t="n"/>
      <c r="X150" s="61" t="n"/>
      <c r="Y150" s="61" t="n"/>
      <c r="Z150" s="61" t="n"/>
      <c r="AA150" s="61" t="n"/>
      <c r="AB150" s="61" t="n"/>
      <c r="AC150" s="61" t="n"/>
      <c r="AD150" s="61" t="n"/>
      <c r="AE150" s="61" t="n"/>
      <c r="AF150" s="61" t="n"/>
      <c r="AG150" s="61" t="n"/>
      <c r="AH150" s="61" t="n"/>
      <c r="AI150" s="61" t="n"/>
      <c r="AJ150" s="61" t="n"/>
      <c r="AK150" s="61" t="n"/>
      <c r="AL150" s="61" t="n"/>
      <c r="AM150" s="61" t="n"/>
      <c r="AN150" s="61" t="n"/>
      <c r="AO150" s="61" t="n"/>
      <c r="AP150" s="61" t="n"/>
      <c r="AQ150" s="61" t="n"/>
      <c r="AR150" s="61" t="n"/>
      <c r="AS150" s="61" t="n"/>
      <c r="AT150" s="61" t="n"/>
      <c r="AU150" s="61" t="n"/>
      <c r="AV150" s="61" t="n"/>
      <c r="AW150" s="61" t="n"/>
      <c r="AX150" s="61" t="n"/>
      <c r="AY150" s="61" t="n"/>
      <c r="AZ150" s="61" t="n"/>
      <c r="BA150" s="61" t="n"/>
      <c r="BB150" s="61" t="n"/>
      <c r="BC150" s="61" t="n"/>
      <c r="BD150" s="61" t="n"/>
      <c r="BE150" s="61" t="n"/>
      <c r="BF150" s="61" t="n"/>
      <c r="BG150" s="61" t="n"/>
      <c r="BH150" s="61" t="n"/>
      <c r="BI150" s="61" t="n"/>
      <c r="BJ150" s="61" t="n"/>
      <c r="BK150" s="61" t="n"/>
      <c r="BL150" s="61" t="n"/>
      <c r="BM150" s="61" t="n"/>
      <c r="BN150" s="61" t="n"/>
      <c r="BO150" s="61" t="n"/>
      <c r="BP150" s="61" t="n"/>
      <c r="BQ150" s="61" t="n"/>
      <c r="BR150" s="61" t="n"/>
      <c r="BS150" s="61" t="n"/>
      <c r="BT150" s="61" t="n"/>
      <c r="BU150" s="61" t="n"/>
      <c r="BV150" s="61" t="n"/>
      <c r="BW150" s="61" t="n"/>
      <c r="BX150" s="61" t="n"/>
      <c r="BY150" s="61" t="n"/>
      <c r="BZ150" s="61" t="n"/>
      <c r="CA150" s="61" t="n"/>
      <c r="CB150" s="61" t="n"/>
      <c r="CC150" s="61" t="n"/>
      <c r="CD150" s="61" t="n"/>
      <c r="CE150" s="61" t="n"/>
      <c r="CF150" s="61" t="n"/>
      <c r="CG150" s="61" t="n"/>
      <c r="CH150" s="61" t="n"/>
    </row>
    <row r="151" ht="18.75" customHeight="1" s="98">
      <c r="A151" s="5" t="n"/>
      <c r="B151" s="59" t="n"/>
      <c r="C151" s="44" t="n"/>
      <c r="D151" s="59" t="n"/>
      <c r="E151" s="88" t="n"/>
      <c r="F151" s="66" t="n"/>
      <c r="G151" s="59" t="n"/>
      <c r="H151" s="44" t="n"/>
      <c r="I151" s="45" t="n"/>
      <c r="J151" s="59" t="n"/>
      <c r="K151" s="47" t="n"/>
      <c r="L151" s="47" t="n"/>
      <c r="M151" s="47" t="n"/>
      <c r="N151" s="47" t="n"/>
      <c r="O151" s="44" t="n"/>
      <c r="P151" s="62" t="n"/>
      <c r="Q151" s="44" t="n"/>
      <c r="R151" s="66" t="n"/>
      <c r="S151" s="61" t="n"/>
      <c r="T151" s="61" t="n"/>
      <c r="U151" s="61" t="n"/>
      <c r="V151" s="61" t="n"/>
      <c r="W151" s="61" t="n"/>
      <c r="X151" s="61" t="n"/>
      <c r="Y151" s="61" t="n"/>
      <c r="Z151" s="61" t="n"/>
      <c r="AA151" s="61" t="n"/>
      <c r="AB151" s="61" t="n"/>
      <c r="AC151" s="61" t="n"/>
      <c r="AD151" s="61" t="n"/>
      <c r="AE151" s="61" t="n"/>
      <c r="AF151" s="61" t="n"/>
      <c r="AG151" s="61" t="n"/>
      <c r="AH151" s="61" t="n"/>
      <c r="AI151" s="61" t="n"/>
      <c r="AJ151" s="61" t="n"/>
      <c r="AK151" s="61" t="n"/>
      <c r="AL151" s="61" t="n"/>
      <c r="AM151" s="61" t="n"/>
      <c r="AN151" s="61" t="n"/>
      <c r="AO151" s="61" t="n"/>
      <c r="AP151" s="61" t="n"/>
      <c r="AQ151" s="61" t="n"/>
      <c r="AR151" s="61" t="n"/>
      <c r="AS151" s="61" t="n"/>
      <c r="AT151" s="61" t="n"/>
      <c r="AU151" s="61" t="n"/>
      <c r="AV151" s="61" t="n"/>
      <c r="AW151" s="61" t="n"/>
      <c r="AX151" s="61" t="n"/>
      <c r="AY151" s="61" t="n"/>
      <c r="AZ151" s="61" t="n"/>
      <c r="BA151" s="61" t="n"/>
      <c r="BB151" s="61" t="n"/>
      <c r="BC151" s="61" t="n"/>
      <c r="BD151" s="61" t="n"/>
      <c r="BE151" s="61" t="n"/>
      <c r="BF151" s="61" t="n"/>
      <c r="BG151" s="61" t="n"/>
      <c r="BH151" s="61" t="n"/>
      <c r="BI151" s="61" t="n"/>
      <c r="BJ151" s="61" t="n"/>
      <c r="BK151" s="61" t="n"/>
      <c r="BL151" s="61" t="n"/>
      <c r="BM151" s="61" t="n"/>
      <c r="BN151" s="61" t="n"/>
      <c r="BO151" s="61" t="n"/>
      <c r="BP151" s="61" t="n"/>
      <c r="BQ151" s="61" t="n"/>
      <c r="BR151" s="61" t="n"/>
      <c r="BS151" s="61" t="n"/>
      <c r="BT151" s="61" t="n"/>
      <c r="BU151" s="61" t="n"/>
      <c r="BV151" s="61" t="n"/>
      <c r="BW151" s="61" t="n"/>
      <c r="BX151" s="61" t="n"/>
      <c r="BY151" s="61" t="n"/>
      <c r="BZ151" s="61" t="n"/>
      <c r="CA151" s="61" t="n"/>
      <c r="CB151" s="61" t="n"/>
      <c r="CC151" s="61" t="n"/>
      <c r="CD151" s="61" t="n"/>
      <c r="CE151" s="61" t="n"/>
      <c r="CF151" s="61" t="n"/>
      <c r="CG151" s="61" t="n"/>
      <c r="CH151" s="61" t="n"/>
    </row>
    <row r="152" ht="18.75" customHeight="1" s="98">
      <c r="A152" s="5" t="n"/>
      <c r="B152" s="59" t="n"/>
      <c r="C152" s="44" t="n"/>
      <c r="D152" s="59" t="n"/>
      <c r="E152" s="88" t="n"/>
      <c r="F152" s="66" t="n"/>
      <c r="G152" s="59" t="n"/>
      <c r="H152" s="44" t="n"/>
      <c r="I152" s="45" t="n"/>
      <c r="J152" s="59" t="n"/>
      <c r="K152" s="47" t="n"/>
      <c r="L152" s="47" t="n"/>
      <c r="M152" s="47" t="n"/>
      <c r="N152" s="47" t="n"/>
      <c r="O152" s="44" t="n"/>
      <c r="P152" s="62" t="n"/>
      <c r="Q152" s="44" t="n"/>
      <c r="R152" s="66" t="n"/>
      <c r="S152" s="61" t="n"/>
      <c r="T152" s="61" t="n"/>
      <c r="U152" s="61" t="n"/>
      <c r="V152" s="61" t="n"/>
      <c r="W152" s="61" t="n"/>
      <c r="X152" s="61" t="n"/>
      <c r="Y152" s="61" t="n"/>
      <c r="Z152" s="61" t="n"/>
      <c r="AA152" s="61" t="n"/>
      <c r="AB152" s="61" t="n"/>
      <c r="AC152" s="61" t="n"/>
      <c r="AD152" s="61" t="n"/>
      <c r="AE152" s="61" t="n"/>
      <c r="AF152" s="61" t="n"/>
      <c r="AG152" s="61" t="n"/>
      <c r="AH152" s="61" t="n"/>
      <c r="AI152" s="61" t="n"/>
      <c r="AJ152" s="61" t="n"/>
      <c r="AK152" s="61" t="n"/>
      <c r="AL152" s="61" t="n"/>
      <c r="AM152" s="61" t="n"/>
      <c r="AN152" s="61" t="n"/>
      <c r="AO152" s="61" t="n"/>
      <c r="AP152" s="61" t="n"/>
      <c r="AQ152" s="61" t="n"/>
      <c r="AR152" s="61" t="n"/>
      <c r="AS152" s="61" t="n"/>
      <c r="AT152" s="61" t="n"/>
      <c r="AU152" s="61" t="n"/>
      <c r="AV152" s="61" t="n"/>
      <c r="AW152" s="61" t="n"/>
      <c r="AX152" s="61" t="n"/>
      <c r="AY152" s="61" t="n"/>
      <c r="AZ152" s="61" t="n"/>
      <c r="BA152" s="61" t="n"/>
      <c r="BB152" s="61" t="n"/>
      <c r="BC152" s="61" t="n"/>
      <c r="BD152" s="61" t="n"/>
      <c r="BE152" s="61" t="n"/>
      <c r="BF152" s="61" t="n"/>
      <c r="BG152" s="61" t="n"/>
      <c r="BH152" s="61" t="n"/>
      <c r="BI152" s="61" t="n"/>
      <c r="BJ152" s="61" t="n"/>
      <c r="BK152" s="61" t="n"/>
      <c r="BL152" s="61" t="n"/>
      <c r="BM152" s="61" t="n"/>
      <c r="BN152" s="61" t="n"/>
      <c r="BO152" s="61" t="n"/>
      <c r="BP152" s="61" t="n"/>
      <c r="BQ152" s="61" t="n"/>
      <c r="BR152" s="61" t="n"/>
      <c r="BS152" s="61" t="n"/>
      <c r="BT152" s="61" t="n"/>
      <c r="BU152" s="61" t="n"/>
      <c r="BV152" s="61" t="n"/>
      <c r="BW152" s="61" t="n"/>
      <c r="BX152" s="61" t="n"/>
      <c r="BY152" s="61" t="n"/>
      <c r="BZ152" s="61" t="n"/>
      <c r="CA152" s="61" t="n"/>
      <c r="CB152" s="61" t="n"/>
      <c r="CC152" s="61" t="n"/>
      <c r="CD152" s="61" t="n"/>
      <c r="CE152" s="61" t="n"/>
      <c r="CF152" s="61" t="n"/>
      <c r="CG152" s="61" t="n"/>
      <c r="CH152" s="61" t="n"/>
    </row>
    <row r="153" ht="18.75" customHeight="1" s="98">
      <c r="A153" s="5" t="n"/>
      <c r="B153" s="59" t="n"/>
      <c r="C153" s="44" t="n"/>
      <c r="D153" s="59" t="n"/>
      <c r="E153" s="88" t="n"/>
      <c r="F153" s="66" t="n"/>
      <c r="G153" s="59" t="n"/>
      <c r="H153" s="44" t="n"/>
      <c r="I153" s="45" t="n"/>
      <c r="J153" s="59" t="n"/>
      <c r="K153" s="47" t="n"/>
      <c r="L153" s="47" t="n"/>
      <c r="M153" s="47" t="n"/>
      <c r="N153" s="47" t="n"/>
      <c r="O153" s="44" t="n"/>
      <c r="P153" s="62" t="n"/>
      <c r="Q153" s="44" t="n"/>
      <c r="R153" s="66" t="n"/>
      <c r="S153" s="61" t="n"/>
      <c r="T153" s="61" t="n"/>
      <c r="U153" s="61" t="n"/>
      <c r="V153" s="61" t="n"/>
      <c r="W153" s="61" t="n"/>
      <c r="X153" s="61" t="n"/>
      <c r="Y153" s="61" t="n"/>
      <c r="Z153" s="61" t="n"/>
      <c r="AA153" s="61" t="n"/>
      <c r="AB153" s="61" t="n"/>
      <c r="AC153" s="61" t="n"/>
      <c r="AD153" s="61" t="n"/>
      <c r="AE153" s="61" t="n"/>
      <c r="AF153" s="61" t="n"/>
      <c r="AG153" s="61" t="n"/>
      <c r="AH153" s="61" t="n"/>
      <c r="AI153" s="61" t="n"/>
      <c r="AJ153" s="61" t="n"/>
      <c r="AK153" s="61" t="n"/>
      <c r="AL153" s="61" t="n"/>
      <c r="AM153" s="61" t="n"/>
      <c r="AN153" s="61" t="n"/>
      <c r="AO153" s="61" t="n"/>
      <c r="AP153" s="61" t="n"/>
      <c r="AQ153" s="61" t="n"/>
      <c r="AR153" s="61" t="n"/>
      <c r="AS153" s="61" t="n"/>
      <c r="AT153" s="61" t="n"/>
      <c r="AU153" s="61" t="n"/>
      <c r="AV153" s="61" t="n"/>
      <c r="AW153" s="61" t="n"/>
      <c r="AX153" s="61" t="n"/>
      <c r="AY153" s="61" t="n"/>
      <c r="AZ153" s="61" t="n"/>
      <c r="BA153" s="61" t="n"/>
      <c r="BB153" s="61" t="n"/>
      <c r="BC153" s="61" t="n"/>
      <c r="BD153" s="61" t="n"/>
      <c r="BE153" s="61" t="n"/>
      <c r="BF153" s="61" t="n"/>
      <c r="BG153" s="61" t="n"/>
      <c r="BH153" s="61" t="n"/>
      <c r="BI153" s="61" t="n"/>
      <c r="BJ153" s="61" t="n"/>
      <c r="BK153" s="61" t="n"/>
      <c r="BL153" s="61" t="n"/>
      <c r="BM153" s="61" t="n"/>
      <c r="BN153" s="61" t="n"/>
      <c r="BO153" s="61" t="n"/>
      <c r="BP153" s="61" t="n"/>
      <c r="BQ153" s="61" t="n"/>
      <c r="BR153" s="61" t="n"/>
      <c r="BS153" s="61" t="n"/>
      <c r="BT153" s="61" t="n"/>
      <c r="BU153" s="61" t="n"/>
      <c r="BV153" s="61" t="n"/>
      <c r="BW153" s="61" t="n"/>
      <c r="BX153" s="61" t="n"/>
      <c r="BY153" s="61" t="n"/>
      <c r="BZ153" s="61" t="n"/>
      <c r="CA153" s="61" t="n"/>
      <c r="CB153" s="61" t="n"/>
      <c r="CC153" s="61" t="n"/>
      <c r="CD153" s="61" t="n"/>
      <c r="CE153" s="61" t="n"/>
      <c r="CF153" s="61" t="n"/>
      <c r="CG153" s="61" t="n"/>
      <c r="CH153" s="61" t="n"/>
    </row>
    <row r="154" ht="18.75" customHeight="1" s="98">
      <c r="A154" s="5" t="n"/>
      <c r="B154" s="59" t="n"/>
      <c r="C154" s="44" t="n"/>
      <c r="D154" s="59" t="n"/>
      <c r="E154" s="88" t="n"/>
      <c r="F154" s="66" t="n"/>
      <c r="G154" s="59" t="n"/>
      <c r="H154" s="44" t="n"/>
      <c r="I154" s="45" t="n"/>
      <c r="J154" s="59" t="n"/>
      <c r="K154" s="47" t="n"/>
      <c r="L154" s="47" t="n"/>
      <c r="M154" s="47" t="n"/>
      <c r="N154" s="47" t="n"/>
      <c r="O154" s="44" t="n"/>
      <c r="P154" s="62" t="n"/>
      <c r="Q154" s="44" t="n"/>
      <c r="R154" s="66" t="n"/>
      <c r="S154" s="61" t="n"/>
      <c r="T154" s="61" t="n"/>
      <c r="U154" s="61" t="n"/>
      <c r="V154" s="61" t="n"/>
      <c r="W154" s="61" t="n"/>
      <c r="X154" s="61" t="n"/>
      <c r="Y154" s="61" t="n"/>
      <c r="Z154" s="61" t="n"/>
      <c r="AA154" s="61" t="n"/>
      <c r="AB154" s="61" t="n"/>
      <c r="AC154" s="61" t="n"/>
      <c r="AD154" s="61" t="n"/>
      <c r="AE154" s="61" t="n"/>
      <c r="AF154" s="61" t="n"/>
      <c r="AG154" s="61" t="n"/>
      <c r="AH154" s="61" t="n"/>
      <c r="AI154" s="61" t="n"/>
      <c r="AJ154" s="61" t="n"/>
      <c r="AK154" s="61" t="n"/>
      <c r="AL154" s="61" t="n"/>
      <c r="AM154" s="61" t="n"/>
      <c r="AN154" s="61" t="n"/>
      <c r="AO154" s="61" t="n"/>
      <c r="AP154" s="61" t="n"/>
      <c r="AQ154" s="61" t="n"/>
      <c r="AR154" s="61" t="n"/>
      <c r="AS154" s="61" t="n"/>
      <c r="AT154" s="61" t="n"/>
      <c r="AU154" s="61" t="n"/>
      <c r="AV154" s="61" t="n"/>
      <c r="AW154" s="61" t="n"/>
      <c r="AX154" s="61" t="n"/>
      <c r="AY154" s="61" t="n"/>
      <c r="AZ154" s="61" t="n"/>
      <c r="BA154" s="61" t="n"/>
      <c r="BB154" s="61" t="n"/>
      <c r="BC154" s="61" t="n"/>
      <c r="BD154" s="61" t="n"/>
      <c r="BE154" s="61" t="n"/>
      <c r="BF154" s="61" t="n"/>
      <c r="BG154" s="61" t="n"/>
      <c r="BH154" s="61" t="n"/>
      <c r="BI154" s="61" t="n"/>
      <c r="BJ154" s="61" t="n"/>
      <c r="BK154" s="61" t="n"/>
      <c r="BL154" s="61" t="n"/>
      <c r="BM154" s="61" t="n"/>
      <c r="BN154" s="61" t="n"/>
      <c r="BO154" s="61" t="n"/>
      <c r="BP154" s="61" t="n"/>
      <c r="BQ154" s="61" t="n"/>
      <c r="BR154" s="61" t="n"/>
      <c r="BS154" s="61" t="n"/>
      <c r="BT154" s="61" t="n"/>
      <c r="BU154" s="61" t="n"/>
      <c r="BV154" s="61" t="n"/>
      <c r="BW154" s="61" t="n"/>
      <c r="BX154" s="61" t="n"/>
      <c r="BY154" s="61" t="n"/>
      <c r="BZ154" s="61" t="n"/>
      <c r="CA154" s="61" t="n"/>
      <c r="CB154" s="61" t="n"/>
      <c r="CC154" s="61" t="n"/>
      <c r="CD154" s="61" t="n"/>
      <c r="CE154" s="61" t="n"/>
      <c r="CF154" s="61" t="n"/>
      <c r="CG154" s="61" t="n"/>
      <c r="CH154" s="61" t="n"/>
    </row>
    <row r="155" ht="18.75" customHeight="1" s="98">
      <c r="A155" s="5" t="n"/>
      <c r="B155" s="59" t="n"/>
      <c r="C155" s="44" t="n"/>
      <c r="D155" s="59" t="n"/>
      <c r="E155" s="88" t="n"/>
      <c r="F155" s="66" t="n"/>
      <c r="G155" s="59" t="n"/>
      <c r="H155" s="44" t="n"/>
      <c r="I155" s="45" t="n"/>
      <c r="J155" s="59" t="n"/>
      <c r="K155" s="47" t="n"/>
      <c r="L155" s="47" t="n"/>
      <c r="M155" s="47" t="n"/>
      <c r="N155" s="47" t="n"/>
      <c r="O155" s="44" t="n"/>
      <c r="P155" s="62" t="n"/>
      <c r="Q155" s="44" t="n"/>
      <c r="R155" s="66" t="n"/>
      <c r="S155" s="61" t="n"/>
      <c r="T155" s="61" t="n"/>
      <c r="U155" s="61" t="n"/>
      <c r="V155" s="61" t="n"/>
      <c r="W155" s="61" t="n"/>
      <c r="X155" s="61" t="n"/>
      <c r="Y155" s="61" t="n"/>
      <c r="Z155" s="61" t="n"/>
      <c r="AA155" s="61" t="n"/>
      <c r="AB155" s="61" t="n"/>
      <c r="AC155" s="61" t="n"/>
      <c r="AD155" s="61" t="n"/>
      <c r="AE155" s="61" t="n"/>
      <c r="AF155" s="61" t="n"/>
      <c r="AG155" s="61" t="n"/>
      <c r="AH155" s="61" t="n"/>
      <c r="AI155" s="61" t="n"/>
      <c r="AJ155" s="61" t="n"/>
      <c r="AK155" s="61" t="n"/>
      <c r="AL155" s="61" t="n"/>
      <c r="AM155" s="61" t="n"/>
      <c r="AN155" s="61" t="n"/>
      <c r="AO155" s="61" t="n"/>
      <c r="AP155" s="61" t="n"/>
      <c r="AQ155" s="61" t="n"/>
      <c r="AR155" s="61" t="n"/>
      <c r="AS155" s="61" t="n"/>
      <c r="AT155" s="61" t="n"/>
      <c r="AU155" s="61" t="n"/>
      <c r="AV155" s="61" t="n"/>
      <c r="AW155" s="61" t="n"/>
      <c r="AX155" s="61" t="n"/>
      <c r="AY155" s="61" t="n"/>
      <c r="AZ155" s="61" t="n"/>
      <c r="BA155" s="61" t="n"/>
      <c r="BB155" s="61" t="n"/>
      <c r="BC155" s="61" t="n"/>
      <c r="BD155" s="61" t="n"/>
      <c r="BE155" s="61" t="n"/>
      <c r="BF155" s="61" t="n"/>
      <c r="BG155" s="61" t="n"/>
      <c r="BH155" s="61" t="n"/>
      <c r="BI155" s="61" t="n"/>
      <c r="BJ155" s="61" t="n"/>
      <c r="BK155" s="61" t="n"/>
      <c r="BL155" s="61" t="n"/>
      <c r="BM155" s="61" t="n"/>
      <c r="BN155" s="61" t="n"/>
      <c r="BO155" s="61" t="n"/>
      <c r="BP155" s="61" t="n"/>
      <c r="BQ155" s="61" t="n"/>
      <c r="BR155" s="61" t="n"/>
      <c r="BS155" s="61" t="n"/>
      <c r="BT155" s="61" t="n"/>
      <c r="BU155" s="61" t="n"/>
      <c r="BV155" s="61" t="n"/>
      <c r="BW155" s="61" t="n"/>
      <c r="BX155" s="61" t="n"/>
      <c r="BY155" s="61" t="n"/>
      <c r="BZ155" s="61" t="n"/>
      <c r="CA155" s="61" t="n"/>
      <c r="CB155" s="61" t="n"/>
      <c r="CC155" s="61" t="n"/>
      <c r="CD155" s="61" t="n"/>
      <c r="CE155" s="61" t="n"/>
      <c r="CF155" s="61" t="n"/>
      <c r="CG155" s="61" t="n"/>
      <c r="CH155" s="61" t="n"/>
    </row>
    <row r="156" ht="18.75" customHeight="1" s="98">
      <c r="A156" s="5" t="n"/>
      <c r="B156" s="59" t="n"/>
      <c r="C156" s="44" t="n"/>
      <c r="D156" s="59" t="n"/>
      <c r="E156" s="88" t="n"/>
      <c r="F156" s="66" t="n"/>
      <c r="G156" s="59" t="n"/>
      <c r="H156" s="44" t="n"/>
      <c r="I156" s="45" t="n"/>
      <c r="J156" s="59" t="n"/>
      <c r="K156" s="47" t="n"/>
      <c r="L156" s="47" t="n"/>
      <c r="M156" s="47" t="n"/>
      <c r="N156" s="47" t="n"/>
      <c r="O156" s="44" t="n"/>
      <c r="P156" s="62" t="n"/>
      <c r="Q156" s="44" t="n"/>
      <c r="R156" s="66" t="n"/>
      <c r="S156" s="61" t="n"/>
      <c r="T156" s="61" t="n"/>
      <c r="U156" s="61" t="n"/>
      <c r="V156" s="61" t="n"/>
      <c r="W156" s="61" t="n"/>
      <c r="X156" s="61" t="n"/>
      <c r="Y156" s="61" t="n"/>
      <c r="Z156" s="61" t="n"/>
      <c r="AA156" s="61" t="n"/>
      <c r="AB156" s="61" t="n"/>
      <c r="AC156" s="61" t="n"/>
      <c r="AD156" s="61" t="n"/>
      <c r="AE156" s="61" t="n"/>
      <c r="AF156" s="61" t="n"/>
      <c r="AG156" s="61" t="n"/>
      <c r="AH156" s="61" t="n"/>
      <c r="AI156" s="61" t="n"/>
      <c r="AJ156" s="61" t="n"/>
      <c r="AK156" s="61" t="n"/>
      <c r="AL156" s="61" t="n"/>
      <c r="AM156" s="61" t="n"/>
      <c r="AN156" s="61" t="n"/>
      <c r="AO156" s="61" t="n"/>
      <c r="AP156" s="61" t="n"/>
      <c r="AQ156" s="61" t="n"/>
      <c r="AR156" s="61" t="n"/>
      <c r="AS156" s="61" t="n"/>
      <c r="AT156" s="61" t="n"/>
      <c r="AU156" s="61" t="n"/>
      <c r="AV156" s="61" t="n"/>
      <c r="AW156" s="61" t="n"/>
      <c r="AX156" s="61" t="n"/>
      <c r="AY156" s="61" t="n"/>
      <c r="AZ156" s="61" t="n"/>
      <c r="BA156" s="61" t="n"/>
      <c r="BB156" s="61" t="n"/>
      <c r="BC156" s="61" t="n"/>
      <c r="BD156" s="61" t="n"/>
      <c r="BE156" s="61" t="n"/>
      <c r="BF156" s="61" t="n"/>
      <c r="BG156" s="61" t="n"/>
      <c r="BH156" s="61" t="n"/>
      <c r="BI156" s="61" t="n"/>
      <c r="BJ156" s="61" t="n"/>
      <c r="BK156" s="61" t="n"/>
      <c r="BL156" s="61" t="n"/>
      <c r="BM156" s="61" t="n"/>
      <c r="BN156" s="61" t="n"/>
      <c r="BO156" s="61" t="n"/>
      <c r="BP156" s="61" t="n"/>
      <c r="BQ156" s="61" t="n"/>
      <c r="BR156" s="61" t="n"/>
      <c r="BS156" s="61" t="n"/>
      <c r="BT156" s="61" t="n"/>
      <c r="BU156" s="61" t="n"/>
      <c r="BV156" s="61" t="n"/>
      <c r="BW156" s="61" t="n"/>
      <c r="BX156" s="61" t="n"/>
      <c r="BY156" s="61" t="n"/>
      <c r="BZ156" s="61" t="n"/>
      <c r="CA156" s="61" t="n"/>
      <c r="CB156" s="61" t="n"/>
      <c r="CC156" s="61" t="n"/>
      <c r="CD156" s="61" t="n"/>
      <c r="CE156" s="61" t="n"/>
      <c r="CF156" s="61" t="n"/>
      <c r="CG156" s="61" t="n"/>
      <c r="CH156" s="61" t="n"/>
    </row>
    <row r="157" ht="18.75" customHeight="1" s="98">
      <c r="A157" s="5" t="n"/>
      <c r="B157" s="59" t="n"/>
      <c r="C157" s="44" t="n"/>
      <c r="D157" s="59" t="n"/>
      <c r="E157" s="88" t="n"/>
      <c r="F157" s="66" t="n"/>
      <c r="G157" s="59" t="n"/>
      <c r="H157" s="44" t="n"/>
      <c r="I157" s="45" t="n"/>
      <c r="J157" s="59" t="n"/>
      <c r="K157" s="47" t="n"/>
      <c r="L157" s="47" t="n"/>
      <c r="M157" s="47" t="n"/>
      <c r="N157" s="47" t="n"/>
      <c r="O157" s="44" t="n"/>
      <c r="P157" s="62" t="n"/>
      <c r="Q157" s="44" t="n"/>
      <c r="R157" s="66" t="n"/>
      <c r="S157" s="61" t="n"/>
      <c r="T157" s="61" t="n"/>
      <c r="U157" s="61" t="n"/>
      <c r="V157" s="61" t="n"/>
      <c r="W157" s="61" t="n"/>
      <c r="X157" s="61" t="n"/>
      <c r="Y157" s="61" t="n"/>
      <c r="Z157" s="61" t="n"/>
      <c r="AA157" s="61" t="n"/>
      <c r="AB157" s="61" t="n"/>
      <c r="AC157" s="61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  <c r="AL157" s="61" t="n"/>
      <c r="AM157" s="61" t="n"/>
      <c r="AN157" s="61" t="n"/>
      <c r="AO157" s="61" t="n"/>
      <c r="AP157" s="61" t="n"/>
      <c r="AQ157" s="61" t="n"/>
      <c r="AR157" s="61" t="n"/>
      <c r="AS157" s="61" t="n"/>
      <c r="AT157" s="61" t="n"/>
      <c r="AU157" s="61" t="n"/>
      <c r="AV157" s="61" t="n"/>
      <c r="AW157" s="61" t="n"/>
      <c r="AX157" s="61" t="n"/>
      <c r="AY157" s="61" t="n"/>
      <c r="AZ157" s="61" t="n"/>
      <c r="BA157" s="61" t="n"/>
      <c r="BB157" s="61" t="n"/>
      <c r="BC157" s="61" t="n"/>
      <c r="BD157" s="61" t="n"/>
      <c r="BE157" s="61" t="n"/>
      <c r="BF157" s="61" t="n"/>
      <c r="BG157" s="61" t="n"/>
      <c r="BH157" s="61" t="n"/>
      <c r="BI157" s="61" t="n"/>
      <c r="BJ157" s="61" t="n"/>
      <c r="BK157" s="61" t="n"/>
      <c r="BL157" s="61" t="n"/>
      <c r="BM157" s="61" t="n"/>
      <c r="BN157" s="61" t="n"/>
      <c r="BO157" s="61" t="n"/>
      <c r="BP157" s="61" t="n"/>
      <c r="BQ157" s="61" t="n"/>
      <c r="BR157" s="61" t="n"/>
      <c r="BS157" s="61" t="n"/>
      <c r="BT157" s="61" t="n"/>
      <c r="BU157" s="61" t="n"/>
      <c r="BV157" s="61" t="n"/>
      <c r="BW157" s="61" t="n"/>
      <c r="BX157" s="61" t="n"/>
      <c r="BY157" s="61" t="n"/>
      <c r="BZ157" s="61" t="n"/>
      <c r="CA157" s="61" t="n"/>
      <c r="CB157" s="61" t="n"/>
      <c r="CC157" s="61" t="n"/>
      <c r="CD157" s="61" t="n"/>
      <c r="CE157" s="61" t="n"/>
      <c r="CF157" s="61" t="n"/>
      <c r="CG157" s="61" t="n"/>
      <c r="CH157" s="61" t="n"/>
    </row>
    <row r="158" ht="18.75" customHeight="1" s="98">
      <c r="A158" s="5" t="n"/>
      <c r="B158" s="59" t="n"/>
      <c r="C158" s="44" t="n"/>
      <c r="D158" s="59" t="n"/>
      <c r="E158" s="88" t="n"/>
      <c r="F158" s="66" t="n"/>
      <c r="G158" s="59" t="n"/>
      <c r="H158" s="44" t="n"/>
      <c r="I158" s="45" t="n"/>
      <c r="J158" s="59" t="n"/>
      <c r="K158" s="47" t="n"/>
      <c r="L158" s="47" t="n"/>
      <c r="M158" s="47" t="n"/>
      <c r="N158" s="47" t="n"/>
      <c r="O158" s="44" t="n"/>
      <c r="P158" s="62" t="n"/>
      <c r="Q158" s="44" t="n"/>
      <c r="R158" s="66" t="n"/>
      <c r="S158" s="61" t="n"/>
      <c r="T158" s="61" t="n"/>
      <c r="U158" s="61" t="n"/>
      <c r="V158" s="61" t="n"/>
      <c r="W158" s="61" t="n"/>
      <c r="X158" s="61" t="n"/>
      <c r="Y158" s="61" t="n"/>
      <c r="Z158" s="61" t="n"/>
      <c r="AA158" s="61" t="n"/>
      <c r="AB158" s="61" t="n"/>
      <c r="AC158" s="61" t="n"/>
      <c r="AD158" s="61" t="n"/>
      <c r="AE158" s="61" t="n"/>
      <c r="AF158" s="61" t="n"/>
      <c r="AG158" s="61" t="n"/>
      <c r="AH158" s="61" t="n"/>
      <c r="AI158" s="61" t="n"/>
      <c r="AJ158" s="61" t="n"/>
      <c r="AK158" s="61" t="n"/>
      <c r="AL158" s="61" t="n"/>
      <c r="AM158" s="61" t="n"/>
      <c r="AN158" s="61" t="n"/>
      <c r="AO158" s="61" t="n"/>
      <c r="AP158" s="61" t="n"/>
      <c r="AQ158" s="61" t="n"/>
      <c r="AR158" s="61" t="n"/>
      <c r="AS158" s="61" t="n"/>
      <c r="AT158" s="61" t="n"/>
      <c r="AU158" s="61" t="n"/>
      <c r="AV158" s="61" t="n"/>
      <c r="AW158" s="61" t="n"/>
      <c r="AX158" s="61" t="n"/>
      <c r="AY158" s="61" t="n"/>
      <c r="AZ158" s="61" t="n"/>
      <c r="BA158" s="61" t="n"/>
      <c r="BB158" s="61" t="n"/>
      <c r="BC158" s="61" t="n"/>
      <c r="BD158" s="61" t="n"/>
      <c r="BE158" s="61" t="n"/>
      <c r="BF158" s="61" t="n"/>
      <c r="BG158" s="61" t="n"/>
      <c r="BH158" s="61" t="n"/>
      <c r="BI158" s="61" t="n"/>
      <c r="BJ158" s="61" t="n"/>
      <c r="BK158" s="61" t="n"/>
      <c r="BL158" s="61" t="n"/>
      <c r="BM158" s="61" t="n"/>
      <c r="BN158" s="61" t="n"/>
      <c r="BO158" s="61" t="n"/>
      <c r="BP158" s="61" t="n"/>
      <c r="BQ158" s="61" t="n"/>
      <c r="BR158" s="61" t="n"/>
      <c r="BS158" s="61" t="n"/>
      <c r="BT158" s="61" t="n"/>
      <c r="BU158" s="61" t="n"/>
      <c r="BV158" s="61" t="n"/>
      <c r="BW158" s="61" t="n"/>
      <c r="BX158" s="61" t="n"/>
      <c r="BY158" s="61" t="n"/>
      <c r="BZ158" s="61" t="n"/>
      <c r="CA158" s="61" t="n"/>
      <c r="CB158" s="61" t="n"/>
      <c r="CC158" s="61" t="n"/>
      <c r="CD158" s="61" t="n"/>
      <c r="CE158" s="61" t="n"/>
      <c r="CF158" s="61" t="n"/>
      <c r="CG158" s="61" t="n"/>
      <c r="CH158" s="61" t="n"/>
    </row>
    <row r="159" ht="19.5" customHeight="1" s="98">
      <c r="A159" s="5" t="n"/>
      <c r="B159" s="132" t="n"/>
      <c r="C159" s="133" t="n"/>
      <c r="D159" s="134" t="n"/>
      <c r="E159" s="135" t="n"/>
      <c r="F159" s="134" t="n"/>
      <c r="G159" s="134" t="n"/>
      <c r="H159" s="134" t="n"/>
      <c r="I159" s="134" t="n"/>
      <c r="J159" s="134" t="n"/>
      <c r="K159" s="136" t="n"/>
      <c r="L159" s="136" t="n"/>
      <c r="M159" s="136" t="n"/>
      <c r="N159" s="136" t="n"/>
      <c r="O159" s="134" t="n"/>
      <c r="P159" s="134" t="n"/>
      <c r="Q159" s="134" t="n"/>
      <c r="R159" s="134" t="n"/>
      <c r="S159" s="61" t="n"/>
      <c r="T159" s="61" t="n"/>
      <c r="U159" s="61" t="n"/>
      <c r="V159" s="61" t="n"/>
      <c r="W159" s="61" t="n"/>
      <c r="X159" s="61" t="n"/>
      <c r="Y159" s="61" t="n"/>
      <c r="Z159" s="61" t="n"/>
      <c r="AA159" s="61" t="n"/>
      <c r="AB159" s="61" t="n"/>
      <c r="AC159" s="61" t="n"/>
      <c r="AD159" s="61" t="n"/>
      <c r="AE159" s="61" t="n"/>
      <c r="AF159" s="61" t="n"/>
      <c r="AG159" s="61" t="n"/>
      <c r="AH159" s="61" t="n"/>
      <c r="AI159" s="61" t="n"/>
      <c r="AJ159" s="61" t="n"/>
      <c r="AK159" s="61" t="n"/>
      <c r="AL159" s="61" t="n"/>
      <c r="AM159" s="61" t="n"/>
      <c r="AN159" s="61" t="n"/>
      <c r="AO159" s="61" t="n"/>
      <c r="AP159" s="61" t="n"/>
      <c r="AQ159" s="61" t="n"/>
      <c r="AR159" s="61" t="n"/>
      <c r="AS159" s="61" t="n"/>
      <c r="AT159" s="61" t="n"/>
      <c r="AU159" s="61" t="n"/>
      <c r="AV159" s="61" t="n"/>
      <c r="AW159" s="61" t="n"/>
      <c r="AX159" s="61" t="n"/>
      <c r="AY159" s="61" t="n"/>
      <c r="AZ159" s="61" t="n"/>
      <c r="BA159" s="61" t="n"/>
      <c r="BB159" s="61" t="n"/>
      <c r="BC159" s="61" t="n"/>
      <c r="BD159" s="61" t="n"/>
      <c r="BE159" s="61" t="n"/>
      <c r="BF159" s="61" t="n"/>
      <c r="BG159" s="61" t="n"/>
      <c r="BH159" s="61" t="n"/>
      <c r="BI159" s="61" t="n"/>
      <c r="BJ159" s="61" t="n"/>
      <c r="BK159" s="61" t="n"/>
      <c r="BL159" s="61" t="n"/>
      <c r="BM159" s="61" t="n"/>
      <c r="BN159" s="61" t="n"/>
      <c r="BO159" s="61" t="n"/>
      <c r="BP159" s="61" t="n"/>
      <c r="BQ159" s="61" t="n"/>
      <c r="BR159" s="61" t="n"/>
      <c r="BS159" s="61" t="n"/>
      <c r="BT159" s="61" t="n"/>
      <c r="BU159" s="61" t="n"/>
      <c r="BV159" s="61" t="n"/>
      <c r="BW159" s="61" t="n"/>
      <c r="BX159" s="61" t="n"/>
      <c r="BY159" s="61" t="n"/>
      <c r="BZ159" s="61" t="n"/>
      <c r="CA159" s="61" t="n"/>
      <c r="CB159" s="61" t="n"/>
      <c r="CC159" s="61" t="n"/>
      <c r="CD159" s="61" t="n"/>
      <c r="CE159" s="61" t="n"/>
      <c r="CF159" s="61" t="n"/>
      <c r="CG159" s="61" t="n"/>
      <c r="CH159" s="61" t="n"/>
    </row>
    <row r="160" ht="18.75" customHeight="1" s="98">
      <c r="A160" s="5" t="n"/>
      <c r="B160" s="59" t="n"/>
      <c r="C160" s="44" t="n"/>
      <c r="D160" s="59" t="n"/>
      <c r="E160" s="88" t="n"/>
      <c r="F160" s="66" t="n"/>
      <c r="G160" s="59" t="n"/>
      <c r="H160" s="44" t="n"/>
      <c r="I160" s="45" t="n"/>
      <c r="J160" s="59" t="n"/>
      <c r="K160" s="47" t="n"/>
      <c r="L160" s="47" t="n"/>
      <c r="M160" s="47" t="n"/>
      <c r="N160" s="47" t="n"/>
      <c r="O160" s="44" t="n"/>
      <c r="P160" s="62" t="n"/>
      <c r="Q160" s="59" t="n"/>
      <c r="R160" s="66" t="n"/>
      <c r="S160" s="61" t="n"/>
      <c r="T160" s="61" t="n"/>
      <c r="U160" s="61" t="n"/>
      <c r="V160" s="61" t="n"/>
      <c r="W160" s="61" t="n"/>
      <c r="X160" s="61" t="n"/>
      <c r="Y160" s="61" t="n"/>
      <c r="Z160" s="61" t="n"/>
      <c r="AA160" s="61" t="n"/>
      <c r="AB160" s="61" t="n"/>
      <c r="AC160" s="61" t="n"/>
      <c r="AD160" s="61" t="n"/>
      <c r="AE160" s="61" t="n"/>
      <c r="AF160" s="61" t="n"/>
      <c r="AG160" s="61" t="n"/>
      <c r="AH160" s="61" t="n"/>
      <c r="AI160" s="61" t="n"/>
      <c r="AJ160" s="61" t="n"/>
      <c r="AK160" s="61" t="n"/>
      <c r="AL160" s="61" t="n"/>
      <c r="AM160" s="61" t="n"/>
      <c r="AN160" s="61" t="n"/>
      <c r="AO160" s="61" t="n"/>
      <c r="AP160" s="61" t="n"/>
      <c r="AQ160" s="61" t="n"/>
      <c r="AR160" s="61" t="n"/>
      <c r="AS160" s="61" t="n"/>
      <c r="AT160" s="61" t="n"/>
      <c r="AU160" s="61" t="n"/>
      <c r="AV160" s="61" t="n"/>
      <c r="AW160" s="61" t="n"/>
      <c r="AX160" s="61" t="n"/>
      <c r="AY160" s="61" t="n"/>
      <c r="AZ160" s="61" t="n"/>
      <c r="BA160" s="61" t="n"/>
      <c r="BB160" s="61" t="n"/>
      <c r="BC160" s="61" t="n"/>
      <c r="BD160" s="61" t="n"/>
      <c r="BE160" s="61" t="n"/>
      <c r="BF160" s="61" t="n"/>
      <c r="BG160" s="61" t="n"/>
      <c r="BH160" s="61" t="n"/>
      <c r="BI160" s="61" t="n"/>
      <c r="BJ160" s="61" t="n"/>
      <c r="BK160" s="61" t="n"/>
      <c r="BL160" s="61" t="n"/>
      <c r="BM160" s="61" t="n"/>
      <c r="BN160" s="61" t="n"/>
      <c r="BO160" s="61" t="n"/>
      <c r="BP160" s="61" t="n"/>
      <c r="BQ160" s="61" t="n"/>
      <c r="BR160" s="61" t="n"/>
      <c r="BS160" s="61" t="n"/>
      <c r="BT160" s="61" t="n"/>
      <c r="BU160" s="61" t="n"/>
      <c r="BV160" s="61" t="n"/>
      <c r="BW160" s="61" t="n"/>
      <c r="BX160" s="61" t="n"/>
      <c r="BY160" s="61" t="n"/>
      <c r="BZ160" s="61" t="n"/>
      <c r="CA160" s="61" t="n"/>
      <c r="CB160" s="61" t="n"/>
      <c r="CC160" s="61" t="n"/>
      <c r="CD160" s="61" t="n"/>
      <c r="CE160" s="61" t="n"/>
      <c r="CF160" s="61" t="n"/>
      <c r="CG160" s="61" t="n"/>
      <c r="CH160" s="61" t="n"/>
    </row>
    <row r="161" ht="18.75" customHeight="1" s="98">
      <c r="A161" s="5" t="n"/>
      <c r="B161" s="59" t="n"/>
      <c r="C161" s="44" t="n"/>
      <c r="D161" s="59" t="n"/>
      <c r="E161" s="88" t="n"/>
      <c r="F161" s="66" t="n"/>
      <c r="G161" s="59" t="n"/>
      <c r="H161" s="44" t="n"/>
      <c r="I161" s="45" t="n"/>
      <c r="J161" s="59" t="n"/>
      <c r="K161" s="47" t="n"/>
      <c r="L161" s="47" t="n"/>
      <c r="M161" s="47" t="n"/>
      <c r="N161" s="47" t="n"/>
      <c r="O161" s="44" t="n"/>
      <c r="P161" s="62" t="n"/>
      <c r="Q161" s="44" t="n"/>
      <c r="R161" s="66" t="n"/>
      <c r="S161" s="61" t="n"/>
      <c r="T161" s="61" t="n"/>
      <c r="U161" s="61" t="n"/>
      <c r="V161" s="61" t="n"/>
      <c r="W161" s="61" t="n"/>
      <c r="X161" s="61" t="n"/>
      <c r="Y161" s="61" t="n"/>
      <c r="Z161" s="61" t="n"/>
      <c r="AA161" s="61" t="n"/>
      <c r="AB161" s="61" t="n"/>
      <c r="AC161" s="61" t="n"/>
      <c r="AD161" s="61" t="n"/>
      <c r="AE161" s="61" t="n"/>
      <c r="AF161" s="61" t="n"/>
      <c r="AG161" s="61" t="n"/>
      <c r="AH161" s="61" t="n"/>
      <c r="AI161" s="61" t="n"/>
      <c r="AJ161" s="61" t="n"/>
      <c r="AK161" s="61" t="n"/>
      <c r="AL161" s="61" t="n"/>
      <c r="AM161" s="61" t="n"/>
      <c r="AN161" s="61" t="n"/>
      <c r="AO161" s="61" t="n"/>
      <c r="AP161" s="61" t="n"/>
      <c r="AQ161" s="61" t="n"/>
      <c r="AR161" s="61" t="n"/>
      <c r="AS161" s="61" t="n"/>
      <c r="AT161" s="61" t="n"/>
      <c r="AU161" s="61" t="n"/>
      <c r="AV161" s="61" t="n"/>
      <c r="AW161" s="61" t="n"/>
      <c r="AX161" s="61" t="n"/>
      <c r="AY161" s="61" t="n"/>
      <c r="AZ161" s="61" t="n"/>
      <c r="BA161" s="61" t="n"/>
      <c r="BB161" s="61" t="n"/>
      <c r="BC161" s="61" t="n"/>
      <c r="BD161" s="61" t="n"/>
      <c r="BE161" s="61" t="n"/>
      <c r="BF161" s="61" t="n"/>
      <c r="BG161" s="61" t="n"/>
      <c r="BH161" s="61" t="n"/>
      <c r="BI161" s="61" t="n"/>
      <c r="BJ161" s="61" t="n"/>
      <c r="BK161" s="61" t="n"/>
      <c r="BL161" s="61" t="n"/>
      <c r="BM161" s="61" t="n"/>
      <c r="BN161" s="61" t="n"/>
      <c r="BO161" s="61" t="n"/>
      <c r="BP161" s="61" t="n"/>
      <c r="BQ161" s="61" t="n"/>
      <c r="BR161" s="61" t="n"/>
      <c r="BS161" s="61" t="n"/>
      <c r="BT161" s="61" t="n"/>
      <c r="BU161" s="61" t="n"/>
      <c r="BV161" s="61" t="n"/>
      <c r="BW161" s="61" t="n"/>
      <c r="BX161" s="61" t="n"/>
      <c r="BY161" s="61" t="n"/>
      <c r="BZ161" s="61" t="n"/>
      <c r="CA161" s="61" t="n"/>
      <c r="CB161" s="61" t="n"/>
      <c r="CC161" s="61" t="n"/>
      <c r="CD161" s="61" t="n"/>
      <c r="CE161" s="61" t="n"/>
      <c r="CF161" s="61" t="n"/>
      <c r="CG161" s="61" t="n"/>
      <c r="CH161" s="61" t="n"/>
    </row>
    <row r="162" ht="18.75" customHeight="1" s="98">
      <c r="A162" s="5" t="n"/>
      <c r="B162" s="59" t="n"/>
      <c r="C162" s="44" t="n"/>
      <c r="D162" s="59" t="n"/>
      <c r="E162" s="88" t="n"/>
      <c r="F162" s="66" t="n"/>
      <c r="G162" s="59" t="n"/>
      <c r="H162" s="44" t="n"/>
      <c r="I162" s="45" t="n"/>
      <c r="J162" s="59" t="n"/>
      <c r="K162" s="47" t="n"/>
      <c r="L162" s="47" t="n"/>
      <c r="M162" s="47" t="n"/>
      <c r="N162" s="47" t="n"/>
      <c r="O162" s="44" t="n"/>
      <c r="P162" s="62" t="n"/>
      <c r="Q162" s="44" t="n"/>
      <c r="R162" s="66" t="n"/>
      <c r="S162" s="61" t="n"/>
      <c r="T162" s="61" t="n"/>
      <c r="U162" s="61" t="n"/>
      <c r="V162" s="61" t="n"/>
      <c r="W162" s="61" t="n"/>
      <c r="X162" s="61" t="n"/>
      <c r="Y162" s="61" t="n"/>
      <c r="Z162" s="61" t="n"/>
      <c r="AA162" s="61" t="n"/>
      <c r="AB162" s="61" t="n"/>
      <c r="AC162" s="61" t="n"/>
      <c r="AD162" s="61" t="n"/>
      <c r="AE162" s="61" t="n"/>
      <c r="AF162" s="61" t="n"/>
      <c r="AG162" s="61" t="n"/>
      <c r="AH162" s="61" t="n"/>
      <c r="AI162" s="61" t="n"/>
      <c r="AJ162" s="61" t="n"/>
      <c r="AK162" s="61" t="n"/>
      <c r="AL162" s="61" t="n"/>
      <c r="AM162" s="61" t="n"/>
      <c r="AN162" s="61" t="n"/>
      <c r="AO162" s="61" t="n"/>
      <c r="AP162" s="61" t="n"/>
      <c r="AQ162" s="61" t="n"/>
      <c r="AR162" s="61" t="n"/>
      <c r="AS162" s="61" t="n"/>
      <c r="AT162" s="61" t="n"/>
      <c r="AU162" s="61" t="n"/>
      <c r="AV162" s="61" t="n"/>
      <c r="AW162" s="61" t="n"/>
      <c r="AX162" s="61" t="n"/>
      <c r="AY162" s="61" t="n"/>
      <c r="AZ162" s="61" t="n"/>
      <c r="BA162" s="61" t="n"/>
      <c r="BB162" s="61" t="n"/>
      <c r="BC162" s="61" t="n"/>
      <c r="BD162" s="61" t="n"/>
      <c r="BE162" s="61" t="n"/>
      <c r="BF162" s="61" t="n"/>
      <c r="BG162" s="61" t="n"/>
      <c r="BH162" s="61" t="n"/>
      <c r="BI162" s="61" t="n"/>
      <c r="BJ162" s="61" t="n"/>
      <c r="BK162" s="61" t="n"/>
      <c r="BL162" s="61" t="n"/>
      <c r="BM162" s="61" t="n"/>
      <c r="BN162" s="61" t="n"/>
      <c r="BO162" s="61" t="n"/>
      <c r="BP162" s="61" t="n"/>
      <c r="BQ162" s="61" t="n"/>
      <c r="BR162" s="61" t="n"/>
      <c r="BS162" s="61" t="n"/>
      <c r="BT162" s="61" t="n"/>
      <c r="BU162" s="61" t="n"/>
      <c r="BV162" s="61" t="n"/>
      <c r="BW162" s="61" t="n"/>
      <c r="BX162" s="61" t="n"/>
      <c r="BY162" s="61" t="n"/>
      <c r="BZ162" s="61" t="n"/>
      <c r="CA162" s="61" t="n"/>
      <c r="CB162" s="61" t="n"/>
      <c r="CC162" s="61" t="n"/>
      <c r="CD162" s="61" t="n"/>
      <c r="CE162" s="61" t="n"/>
      <c r="CF162" s="61" t="n"/>
      <c r="CG162" s="61" t="n"/>
      <c r="CH162" s="61" t="n"/>
    </row>
    <row r="163" ht="18.75" customHeight="1" s="98">
      <c r="A163" s="5" t="n"/>
      <c r="B163" s="59" t="n"/>
      <c r="C163" s="44" t="n"/>
      <c r="D163" s="59" t="n"/>
      <c r="E163" s="88" t="n"/>
      <c r="F163" s="66" t="n"/>
      <c r="G163" s="59" t="n"/>
      <c r="H163" s="44" t="n"/>
      <c r="I163" s="45" t="n"/>
      <c r="J163" s="59" t="n"/>
      <c r="K163" s="47" t="n"/>
      <c r="L163" s="47" t="n"/>
      <c r="M163" s="47" t="n"/>
      <c r="N163" s="47" t="n"/>
      <c r="O163" s="44" t="n"/>
      <c r="P163" s="62" t="n"/>
      <c r="Q163" s="44" t="n"/>
      <c r="R163" s="66" t="n"/>
      <c r="S163" s="61" t="n"/>
      <c r="T163" s="61" t="n"/>
      <c r="U163" s="61" t="n"/>
      <c r="V163" s="61" t="n"/>
      <c r="W163" s="61" t="n"/>
      <c r="X163" s="61" t="n"/>
      <c r="Y163" s="61" t="n"/>
      <c r="Z163" s="61" t="n"/>
      <c r="AA163" s="61" t="n"/>
      <c r="AB163" s="61" t="n"/>
      <c r="AC163" s="61" t="n"/>
      <c r="AD163" s="61" t="n"/>
      <c r="AE163" s="61" t="n"/>
      <c r="AF163" s="61" t="n"/>
      <c r="AG163" s="61" t="n"/>
      <c r="AH163" s="61" t="n"/>
      <c r="AI163" s="61" t="n"/>
      <c r="AJ163" s="61" t="n"/>
      <c r="AK163" s="61" t="n"/>
      <c r="AL163" s="61" t="n"/>
      <c r="AM163" s="61" t="n"/>
      <c r="AN163" s="61" t="n"/>
      <c r="AO163" s="61" t="n"/>
      <c r="AP163" s="61" t="n"/>
      <c r="AQ163" s="61" t="n"/>
      <c r="AR163" s="61" t="n"/>
      <c r="AS163" s="61" t="n"/>
      <c r="AT163" s="61" t="n"/>
      <c r="AU163" s="61" t="n"/>
      <c r="AV163" s="61" t="n"/>
      <c r="AW163" s="61" t="n"/>
      <c r="AX163" s="61" t="n"/>
      <c r="AY163" s="61" t="n"/>
      <c r="AZ163" s="61" t="n"/>
      <c r="BA163" s="61" t="n"/>
      <c r="BB163" s="61" t="n"/>
      <c r="BC163" s="61" t="n"/>
      <c r="BD163" s="61" t="n"/>
      <c r="BE163" s="61" t="n"/>
      <c r="BF163" s="61" t="n"/>
      <c r="BG163" s="61" t="n"/>
      <c r="BH163" s="61" t="n"/>
      <c r="BI163" s="61" t="n"/>
      <c r="BJ163" s="61" t="n"/>
      <c r="BK163" s="61" t="n"/>
      <c r="BL163" s="61" t="n"/>
      <c r="BM163" s="61" t="n"/>
      <c r="BN163" s="61" t="n"/>
      <c r="BO163" s="61" t="n"/>
      <c r="BP163" s="61" t="n"/>
      <c r="BQ163" s="61" t="n"/>
      <c r="BR163" s="61" t="n"/>
      <c r="BS163" s="61" t="n"/>
      <c r="BT163" s="61" t="n"/>
      <c r="BU163" s="61" t="n"/>
      <c r="BV163" s="61" t="n"/>
      <c r="BW163" s="61" t="n"/>
      <c r="BX163" s="61" t="n"/>
      <c r="BY163" s="61" t="n"/>
      <c r="BZ163" s="61" t="n"/>
      <c r="CA163" s="61" t="n"/>
      <c r="CB163" s="61" t="n"/>
      <c r="CC163" s="61" t="n"/>
      <c r="CD163" s="61" t="n"/>
      <c r="CE163" s="61" t="n"/>
      <c r="CF163" s="61" t="n"/>
      <c r="CG163" s="61" t="n"/>
      <c r="CH163" s="61" t="n"/>
    </row>
    <row r="164" ht="18.75" customHeight="1" s="98">
      <c r="A164" s="5" t="n"/>
      <c r="B164" s="59" t="n"/>
      <c r="C164" s="44" t="n"/>
      <c r="D164" s="59" t="n"/>
      <c r="E164" s="88" t="n"/>
      <c r="F164" s="66" t="n"/>
      <c r="G164" s="59" t="n"/>
      <c r="H164" s="44" t="n"/>
      <c r="I164" s="45" t="n"/>
      <c r="J164" s="59" t="n"/>
      <c r="K164" s="47" t="n"/>
      <c r="L164" s="47" t="n"/>
      <c r="M164" s="47" t="n"/>
      <c r="N164" s="47" t="n"/>
      <c r="O164" s="44" t="n"/>
      <c r="P164" s="62" t="n"/>
      <c r="Q164" s="59" t="n"/>
      <c r="R164" s="66" t="n"/>
      <c r="S164" s="61" t="n"/>
      <c r="T164" s="61" t="n"/>
      <c r="U164" s="61" t="n"/>
      <c r="V164" s="61" t="n"/>
      <c r="W164" s="61" t="n"/>
      <c r="X164" s="61" t="n"/>
      <c r="Y164" s="61" t="n"/>
      <c r="Z164" s="61" t="n"/>
      <c r="AA164" s="61" t="n"/>
      <c r="AB164" s="61" t="n"/>
      <c r="AC164" s="61" t="n"/>
      <c r="AD164" s="61" t="n"/>
      <c r="AE164" s="61" t="n"/>
      <c r="AF164" s="61" t="n"/>
      <c r="AG164" s="61" t="n"/>
      <c r="AH164" s="61" t="n"/>
      <c r="AI164" s="61" t="n"/>
      <c r="AJ164" s="61" t="n"/>
      <c r="AK164" s="61" t="n"/>
      <c r="AL164" s="61" t="n"/>
      <c r="AM164" s="61" t="n"/>
      <c r="AN164" s="61" t="n"/>
      <c r="AO164" s="61" t="n"/>
      <c r="AP164" s="61" t="n"/>
      <c r="AQ164" s="61" t="n"/>
      <c r="AR164" s="61" t="n"/>
      <c r="AS164" s="61" t="n"/>
      <c r="AT164" s="61" t="n"/>
      <c r="AU164" s="61" t="n"/>
      <c r="AV164" s="61" t="n"/>
      <c r="AW164" s="61" t="n"/>
      <c r="AX164" s="61" t="n"/>
      <c r="AY164" s="61" t="n"/>
      <c r="AZ164" s="61" t="n"/>
      <c r="BA164" s="61" t="n"/>
      <c r="BB164" s="61" t="n"/>
      <c r="BC164" s="61" t="n"/>
      <c r="BD164" s="61" t="n"/>
      <c r="BE164" s="61" t="n"/>
      <c r="BF164" s="61" t="n"/>
      <c r="BG164" s="61" t="n"/>
      <c r="BH164" s="61" t="n"/>
      <c r="BI164" s="61" t="n"/>
      <c r="BJ164" s="61" t="n"/>
      <c r="BK164" s="61" t="n"/>
      <c r="BL164" s="61" t="n"/>
      <c r="BM164" s="61" t="n"/>
      <c r="BN164" s="61" t="n"/>
      <c r="BO164" s="61" t="n"/>
      <c r="BP164" s="61" t="n"/>
      <c r="BQ164" s="61" t="n"/>
      <c r="BR164" s="61" t="n"/>
      <c r="BS164" s="61" t="n"/>
      <c r="BT164" s="61" t="n"/>
      <c r="BU164" s="61" t="n"/>
      <c r="BV164" s="61" t="n"/>
      <c r="BW164" s="61" t="n"/>
      <c r="BX164" s="61" t="n"/>
      <c r="BY164" s="61" t="n"/>
      <c r="BZ164" s="61" t="n"/>
      <c r="CA164" s="61" t="n"/>
      <c r="CB164" s="61" t="n"/>
      <c r="CC164" s="61" t="n"/>
      <c r="CD164" s="61" t="n"/>
      <c r="CE164" s="61" t="n"/>
      <c r="CF164" s="61" t="n"/>
      <c r="CG164" s="61" t="n"/>
      <c r="CH164" s="61" t="n"/>
    </row>
    <row r="165" ht="18.75" customHeight="1" s="98">
      <c r="A165" s="5" t="n"/>
      <c r="B165" s="59" t="n"/>
      <c r="C165" s="44" t="n"/>
      <c r="D165" s="59" t="n"/>
      <c r="E165" s="88" t="n"/>
      <c r="F165" s="66" t="n"/>
      <c r="G165" s="59" t="n"/>
      <c r="H165" s="44" t="n"/>
      <c r="I165" s="45" t="n"/>
      <c r="J165" s="59" t="n"/>
      <c r="K165" s="47" t="n"/>
      <c r="L165" s="47" t="n"/>
      <c r="M165" s="47" t="n"/>
      <c r="N165" s="47" t="n"/>
      <c r="O165" s="44" t="n"/>
      <c r="P165" s="62" t="n"/>
      <c r="Q165" s="44" t="n"/>
      <c r="R165" s="66" t="n"/>
      <c r="S165" s="61" t="n"/>
      <c r="T165" s="61" t="n"/>
      <c r="U165" s="61" t="n"/>
      <c r="V165" s="61" t="n"/>
      <c r="W165" s="61" t="n"/>
      <c r="X165" s="61" t="n"/>
      <c r="Y165" s="61" t="n"/>
      <c r="Z165" s="61" t="n"/>
      <c r="AA165" s="61" t="n"/>
      <c r="AB165" s="61" t="n"/>
      <c r="AC165" s="61" t="n"/>
      <c r="AD165" s="61" t="n"/>
      <c r="AE165" s="61" t="n"/>
      <c r="AF165" s="61" t="n"/>
      <c r="AG165" s="61" t="n"/>
      <c r="AH165" s="61" t="n"/>
      <c r="AI165" s="61" t="n"/>
      <c r="AJ165" s="61" t="n"/>
      <c r="AK165" s="61" t="n"/>
      <c r="AL165" s="61" t="n"/>
      <c r="AM165" s="61" t="n"/>
      <c r="AN165" s="61" t="n"/>
      <c r="AO165" s="61" t="n"/>
      <c r="AP165" s="61" t="n"/>
      <c r="AQ165" s="61" t="n"/>
      <c r="AR165" s="61" t="n"/>
      <c r="AS165" s="61" t="n"/>
      <c r="AT165" s="61" t="n"/>
      <c r="AU165" s="61" t="n"/>
      <c r="AV165" s="61" t="n"/>
      <c r="AW165" s="61" t="n"/>
      <c r="AX165" s="61" t="n"/>
      <c r="AY165" s="61" t="n"/>
      <c r="AZ165" s="61" t="n"/>
      <c r="BA165" s="61" t="n"/>
      <c r="BB165" s="61" t="n"/>
      <c r="BC165" s="61" t="n"/>
      <c r="BD165" s="61" t="n"/>
      <c r="BE165" s="61" t="n"/>
      <c r="BF165" s="61" t="n"/>
      <c r="BG165" s="61" t="n"/>
      <c r="BH165" s="61" t="n"/>
      <c r="BI165" s="61" t="n"/>
      <c r="BJ165" s="61" t="n"/>
      <c r="BK165" s="61" t="n"/>
      <c r="BL165" s="61" t="n"/>
      <c r="BM165" s="61" t="n"/>
      <c r="BN165" s="61" t="n"/>
      <c r="BO165" s="61" t="n"/>
      <c r="BP165" s="61" t="n"/>
      <c r="BQ165" s="61" t="n"/>
      <c r="BR165" s="61" t="n"/>
      <c r="BS165" s="61" t="n"/>
      <c r="BT165" s="61" t="n"/>
      <c r="BU165" s="61" t="n"/>
      <c r="BV165" s="61" t="n"/>
      <c r="BW165" s="61" t="n"/>
      <c r="BX165" s="61" t="n"/>
      <c r="BY165" s="61" t="n"/>
      <c r="BZ165" s="61" t="n"/>
      <c r="CA165" s="61" t="n"/>
      <c r="CB165" s="61" t="n"/>
      <c r="CC165" s="61" t="n"/>
      <c r="CD165" s="61" t="n"/>
      <c r="CE165" s="61" t="n"/>
      <c r="CF165" s="61" t="n"/>
      <c r="CG165" s="61" t="n"/>
      <c r="CH165" s="61" t="n"/>
    </row>
    <row r="166" ht="18.75" customHeight="1" s="98">
      <c r="A166" s="5" t="n"/>
      <c r="B166" s="59" t="n"/>
      <c r="C166" s="44" t="n"/>
      <c r="D166" s="59" t="n"/>
      <c r="E166" s="88" t="n"/>
      <c r="F166" s="66" t="n"/>
      <c r="G166" s="59" t="n"/>
      <c r="H166" s="44" t="n"/>
      <c r="I166" s="45" t="n"/>
      <c r="J166" s="59" t="n"/>
      <c r="K166" s="47" t="n"/>
      <c r="L166" s="47" t="n"/>
      <c r="M166" s="47" t="n"/>
      <c r="N166" s="47" t="n"/>
      <c r="O166" s="44" t="n"/>
      <c r="P166" s="62" t="n"/>
      <c r="Q166" s="44" t="n"/>
      <c r="R166" s="66" t="n"/>
      <c r="S166" s="61" t="n"/>
      <c r="T166" s="61" t="n"/>
      <c r="U166" s="61" t="n"/>
      <c r="V166" s="61" t="n"/>
      <c r="W166" s="61" t="n"/>
      <c r="X166" s="61" t="n"/>
      <c r="Y166" s="61" t="n"/>
      <c r="Z166" s="61" t="n"/>
      <c r="AA166" s="61" t="n"/>
      <c r="AB166" s="61" t="n"/>
      <c r="AC166" s="61" t="n"/>
      <c r="AD166" s="61" t="n"/>
      <c r="AE166" s="61" t="n"/>
      <c r="AF166" s="61" t="n"/>
      <c r="AG166" s="61" t="n"/>
      <c r="AH166" s="61" t="n"/>
      <c r="AI166" s="61" t="n"/>
      <c r="AJ166" s="61" t="n"/>
      <c r="AK166" s="61" t="n"/>
      <c r="AL166" s="61" t="n"/>
      <c r="AM166" s="61" t="n"/>
      <c r="AN166" s="61" t="n"/>
      <c r="AO166" s="61" t="n"/>
      <c r="AP166" s="61" t="n"/>
      <c r="AQ166" s="61" t="n"/>
      <c r="AR166" s="61" t="n"/>
      <c r="AS166" s="61" t="n"/>
      <c r="AT166" s="61" t="n"/>
      <c r="AU166" s="61" t="n"/>
      <c r="AV166" s="61" t="n"/>
      <c r="AW166" s="61" t="n"/>
      <c r="AX166" s="61" t="n"/>
      <c r="AY166" s="61" t="n"/>
      <c r="AZ166" s="61" t="n"/>
      <c r="BA166" s="61" t="n"/>
      <c r="BB166" s="61" t="n"/>
      <c r="BC166" s="61" t="n"/>
      <c r="BD166" s="61" t="n"/>
      <c r="BE166" s="61" t="n"/>
      <c r="BF166" s="61" t="n"/>
      <c r="BG166" s="61" t="n"/>
      <c r="BH166" s="61" t="n"/>
      <c r="BI166" s="61" t="n"/>
      <c r="BJ166" s="61" t="n"/>
      <c r="BK166" s="61" t="n"/>
      <c r="BL166" s="61" t="n"/>
      <c r="BM166" s="61" t="n"/>
      <c r="BN166" s="61" t="n"/>
      <c r="BO166" s="61" t="n"/>
      <c r="BP166" s="61" t="n"/>
      <c r="BQ166" s="61" t="n"/>
      <c r="BR166" s="61" t="n"/>
      <c r="BS166" s="61" t="n"/>
      <c r="BT166" s="61" t="n"/>
      <c r="BU166" s="61" t="n"/>
      <c r="BV166" s="61" t="n"/>
      <c r="BW166" s="61" t="n"/>
      <c r="BX166" s="61" t="n"/>
      <c r="BY166" s="61" t="n"/>
      <c r="BZ166" s="61" t="n"/>
      <c r="CA166" s="61" t="n"/>
      <c r="CB166" s="61" t="n"/>
      <c r="CC166" s="61" t="n"/>
      <c r="CD166" s="61" t="n"/>
      <c r="CE166" s="61" t="n"/>
      <c r="CF166" s="61" t="n"/>
      <c r="CG166" s="61" t="n"/>
      <c r="CH166" s="61" t="n"/>
    </row>
    <row r="167" ht="18.75" customHeight="1" s="98">
      <c r="A167" s="5" t="n"/>
      <c r="B167" s="59" t="n"/>
      <c r="C167" s="44" t="n"/>
      <c r="D167" s="59" t="n"/>
      <c r="E167" s="88" t="n"/>
      <c r="F167" s="66" t="n"/>
      <c r="G167" s="59" t="n"/>
      <c r="H167" s="44" t="n"/>
      <c r="I167" s="45" t="n"/>
      <c r="J167" s="59" t="n"/>
      <c r="K167" s="47" t="n"/>
      <c r="L167" s="47" t="n"/>
      <c r="M167" s="47" t="n"/>
      <c r="N167" s="47" t="n"/>
      <c r="O167" s="44" t="n"/>
      <c r="P167" s="62" t="n"/>
      <c r="Q167" s="44" t="n"/>
      <c r="R167" s="66" t="n"/>
      <c r="S167" s="61" t="n"/>
      <c r="T167" s="61" t="n"/>
      <c r="U167" s="61" t="n"/>
      <c r="V167" s="61" t="n"/>
      <c r="W167" s="61" t="n"/>
      <c r="X167" s="61" t="n"/>
      <c r="Y167" s="61" t="n"/>
      <c r="Z167" s="61" t="n"/>
      <c r="AA167" s="61" t="n"/>
      <c r="AB167" s="61" t="n"/>
      <c r="AC167" s="61" t="n"/>
      <c r="AD167" s="61" t="n"/>
      <c r="AE167" s="61" t="n"/>
      <c r="AF167" s="61" t="n"/>
      <c r="AG167" s="61" t="n"/>
      <c r="AH167" s="61" t="n"/>
      <c r="AI167" s="61" t="n"/>
      <c r="AJ167" s="61" t="n"/>
      <c r="AK167" s="61" t="n"/>
      <c r="AL167" s="61" t="n"/>
      <c r="AM167" s="61" t="n"/>
      <c r="AN167" s="61" t="n"/>
      <c r="AO167" s="61" t="n"/>
      <c r="AP167" s="61" t="n"/>
      <c r="AQ167" s="61" t="n"/>
      <c r="AR167" s="61" t="n"/>
      <c r="AS167" s="61" t="n"/>
      <c r="AT167" s="61" t="n"/>
      <c r="AU167" s="61" t="n"/>
      <c r="AV167" s="61" t="n"/>
      <c r="AW167" s="61" t="n"/>
      <c r="AX167" s="61" t="n"/>
      <c r="AY167" s="61" t="n"/>
      <c r="AZ167" s="61" t="n"/>
      <c r="BA167" s="61" t="n"/>
      <c r="BB167" s="61" t="n"/>
      <c r="BC167" s="61" t="n"/>
      <c r="BD167" s="61" t="n"/>
      <c r="BE167" s="61" t="n"/>
      <c r="BF167" s="61" t="n"/>
      <c r="BG167" s="61" t="n"/>
      <c r="BH167" s="61" t="n"/>
      <c r="BI167" s="61" t="n"/>
      <c r="BJ167" s="61" t="n"/>
      <c r="BK167" s="61" t="n"/>
      <c r="BL167" s="61" t="n"/>
      <c r="BM167" s="61" t="n"/>
      <c r="BN167" s="61" t="n"/>
      <c r="BO167" s="61" t="n"/>
      <c r="BP167" s="61" t="n"/>
      <c r="BQ167" s="61" t="n"/>
      <c r="BR167" s="61" t="n"/>
      <c r="BS167" s="61" t="n"/>
      <c r="BT167" s="61" t="n"/>
      <c r="BU167" s="61" t="n"/>
      <c r="BV167" s="61" t="n"/>
      <c r="BW167" s="61" t="n"/>
      <c r="BX167" s="61" t="n"/>
      <c r="BY167" s="61" t="n"/>
      <c r="BZ167" s="61" t="n"/>
      <c r="CA167" s="61" t="n"/>
      <c r="CB167" s="61" t="n"/>
      <c r="CC167" s="61" t="n"/>
      <c r="CD167" s="61" t="n"/>
      <c r="CE167" s="61" t="n"/>
      <c r="CF167" s="61" t="n"/>
      <c r="CG167" s="61" t="n"/>
      <c r="CH167" s="61" t="n"/>
    </row>
    <row r="168" ht="18.75" customHeight="1" s="98">
      <c r="A168" s="5" t="n"/>
      <c r="B168" s="59" t="n"/>
      <c r="C168" s="44" t="n"/>
      <c r="D168" s="59" t="n"/>
      <c r="E168" s="88" t="n"/>
      <c r="F168" s="66" t="n"/>
      <c r="G168" s="59" t="n"/>
      <c r="H168" s="44" t="n"/>
      <c r="I168" s="45" t="n"/>
      <c r="J168" s="59" t="n"/>
      <c r="K168" s="47" t="n"/>
      <c r="L168" s="47" t="n"/>
      <c r="M168" s="47" t="n"/>
      <c r="N168" s="47" t="n"/>
      <c r="O168" s="44" t="n"/>
      <c r="P168" s="62" t="n"/>
      <c r="Q168" s="44" t="n"/>
      <c r="R168" s="66" t="n"/>
      <c r="S168" s="61" t="n"/>
      <c r="T168" s="61" t="n"/>
      <c r="U168" s="61" t="n"/>
      <c r="V168" s="61" t="n"/>
      <c r="W168" s="61" t="n"/>
      <c r="X168" s="61" t="n"/>
      <c r="Y168" s="61" t="n"/>
      <c r="Z168" s="61" t="n"/>
      <c r="AA168" s="61" t="n"/>
      <c r="AB168" s="61" t="n"/>
      <c r="AC168" s="61" t="n"/>
      <c r="AD168" s="61" t="n"/>
      <c r="AE168" s="61" t="n"/>
      <c r="AF168" s="61" t="n"/>
      <c r="AG168" s="61" t="n"/>
      <c r="AH168" s="61" t="n"/>
      <c r="AI168" s="61" t="n"/>
      <c r="AJ168" s="61" t="n"/>
      <c r="AK168" s="61" t="n"/>
      <c r="AL168" s="61" t="n"/>
      <c r="AM168" s="61" t="n"/>
      <c r="AN168" s="61" t="n"/>
      <c r="AO168" s="61" t="n"/>
      <c r="AP168" s="61" t="n"/>
      <c r="AQ168" s="61" t="n"/>
      <c r="AR168" s="61" t="n"/>
      <c r="AS168" s="61" t="n"/>
      <c r="AT168" s="61" t="n"/>
      <c r="AU168" s="61" t="n"/>
      <c r="AV168" s="61" t="n"/>
      <c r="AW168" s="61" t="n"/>
      <c r="AX168" s="61" t="n"/>
      <c r="AY168" s="61" t="n"/>
      <c r="AZ168" s="61" t="n"/>
      <c r="BA168" s="61" t="n"/>
      <c r="BB168" s="61" t="n"/>
      <c r="BC168" s="61" t="n"/>
      <c r="BD168" s="61" t="n"/>
      <c r="BE168" s="61" t="n"/>
      <c r="BF168" s="61" t="n"/>
      <c r="BG168" s="61" t="n"/>
      <c r="BH168" s="61" t="n"/>
      <c r="BI168" s="61" t="n"/>
      <c r="BJ168" s="61" t="n"/>
      <c r="BK168" s="61" t="n"/>
      <c r="BL168" s="61" t="n"/>
      <c r="BM168" s="61" t="n"/>
      <c r="BN168" s="61" t="n"/>
      <c r="BO168" s="61" t="n"/>
      <c r="BP168" s="61" t="n"/>
      <c r="BQ168" s="61" t="n"/>
      <c r="BR168" s="61" t="n"/>
      <c r="BS168" s="61" t="n"/>
      <c r="BT168" s="61" t="n"/>
      <c r="BU168" s="61" t="n"/>
      <c r="BV168" s="61" t="n"/>
      <c r="BW168" s="61" t="n"/>
      <c r="BX168" s="61" t="n"/>
      <c r="BY168" s="61" t="n"/>
      <c r="BZ168" s="61" t="n"/>
      <c r="CA168" s="61" t="n"/>
      <c r="CB168" s="61" t="n"/>
      <c r="CC168" s="61" t="n"/>
      <c r="CD168" s="61" t="n"/>
      <c r="CE168" s="61" t="n"/>
      <c r="CF168" s="61" t="n"/>
      <c r="CG168" s="61" t="n"/>
      <c r="CH168" s="61" t="n"/>
    </row>
    <row r="169" ht="18.75" customHeight="1" s="98">
      <c r="A169" s="5" t="n"/>
      <c r="B169" s="59" t="n"/>
      <c r="C169" s="44" t="n"/>
      <c r="D169" s="59" t="n"/>
      <c r="E169" s="88" t="n"/>
      <c r="F169" s="66" t="n"/>
      <c r="G169" s="59" t="n"/>
      <c r="H169" s="44" t="n"/>
      <c r="I169" s="45" t="n"/>
      <c r="J169" s="59" t="n"/>
      <c r="K169" s="47" t="n"/>
      <c r="L169" s="47" t="n"/>
      <c r="M169" s="47" t="n"/>
      <c r="N169" s="47" t="n"/>
      <c r="O169" s="44" t="n"/>
      <c r="P169" s="62" t="n"/>
      <c r="Q169" s="44" t="n"/>
      <c r="R169" s="66" t="n"/>
      <c r="S169" s="61" t="n"/>
      <c r="T169" s="61" t="n"/>
      <c r="U169" s="61" t="n"/>
      <c r="V169" s="61" t="n"/>
      <c r="W169" s="61" t="n"/>
      <c r="X169" s="61" t="n"/>
      <c r="Y169" s="61" t="n"/>
      <c r="Z169" s="61" t="n"/>
      <c r="AA169" s="61" t="n"/>
      <c r="AB169" s="61" t="n"/>
      <c r="AC169" s="61" t="n"/>
      <c r="AD169" s="61" t="n"/>
      <c r="AE169" s="61" t="n"/>
      <c r="AF169" s="61" t="n"/>
      <c r="AG169" s="61" t="n"/>
      <c r="AH169" s="61" t="n"/>
      <c r="AI169" s="61" t="n"/>
      <c r="AJ169" s="61" t="n"/>
      <c r="AK169" s="61" t="n"/>
      <c r="AL169" s="61" t="n"/>
      <c r="AM169" s="61" t="n"/>
      <c r="AN169" s="61" t="n"/>
      <c r="AO169" s="61" t="n"/>
      <c r="AP169" s="61" t="n"/>
      <c r="AQ169" s="61" t="n"/>
      <c r="AR169" s="61" t="n"/>
      <c r="AS169" s="61" t="n"/>
      <c r="AT169" s="61" t="n"/>
      <c r="AU169" s="61" t="n"/>
      <c r="AV169" s="61" t="n"/>
      <c r="AW169" s="61" t="n"/>
      <c r="AX169" s="61" t="n"/>
      <c r="AY169" s="61" t="n"/>
      <c r="AZ169" s="61" t="n"/>
      <c r="BA169" s="61" t="n"/>
      <c r="BB169" s="61" t="n"/>
      <c r="BC169" s="61" t="n"/>
      <c r="BD169" s="61" t="n"/>
      <c r="BE169" s="61" t="n"/>
      <c r="BF169" s="61" t="n"/>
      <c r="BG169" s="61" t="n"/>
      <c r="BH169" s="61" t="n"/>
      <c r="BI169" s="61" t="n"/>
      <c r="BJ169" s="61" t="n"/>
      <c r="BK169" s="61" t="n"/>
      <c r="BL169" s="61" t="n"/>
      <c r="BM169" s="61" t="n"/>
      <c r="BN169" s="61" t="n"/>
      <c r="BO169" s="61" t="n"/>
      <c r="BP169" s="61" t="n"/>
      <c r="BQ169" s="61" t="n"/>
      <c r="BR169" s="61" t="n"/>
      <c r="BS169" s="61" t="n"/>
      <c r="BT169" s="61" t="n"/>
      <c r="BU169" s="61" t="n"/>
      <c r="BV169" s="61" t="n"/>
      <c r="BW169" s="61" t="n"/>
      <c r="BX169" s="61" t="n"/>
      <c r="BY169" s="61" t="n"/>
      <c r="BZ169" s="61" t="n"/>
      <c r="CA169" s="61" t="n"/>
      <c r="CB169" s="61" t="n"/>
      <c r="CC169" s="61" t="n"/>
      <c r="CD169" s="61" t="n"/>
      <c r="CE169" s="61" t="n"/>
      <c r="CF169" s="61" t="n"/>
      <c r="CG169" s="61" t="n"/>
      <c r="CH169" s="61" t="n"/>
    </row>
    <row r="170" ht="18.75" customHeight="1" s="98">
      <c r="A170" s="5" t="n"/>
      <c r="B170" s="59" t="n"/>
      <c r="C170" s="44" t="n"/>
      <c r="D170" s="59" t="n"/>
      <c r="E170" s="88" t="n"/>
      <c r="F170" s="66" t="n"/>
      <c r="G170" s="59" t="n"/>
      <c r="H170" s="44" t="n"/>
      <c r="I170" s="45" t="n"/>
      <c r="J170" s="59" t="n"/>
      <c r="K170" s="47" t="n"/>
      <c r="L170" s="47" t="n"/>
      <c r="M170" s="47" t="n"/>
      <c r="N170" s="47" t="n"/>
      <c r="O170" s="44" t="n"/>
      <c r="P170" s="62" t="n"/>
      <c r="Q170" s="59" t="n"/>
      <c r="R170" s="66" t="n"/>
      <c r="S170" s="61" t="n"/>
      <c r="T170" s="61" t="n"/>
      <c r="U170" s="61" t="n"/>
      <c r="V170" s="61" t="n"/>
      <c r="W170" s="61" t="n"/>
      <c r="X170" s="61" t="n"/>
      <c r="Y170" s="61" t="n"/>
      <c r="Z170" s="61" t="n"/>
      <c r="AA170" s="61" t="n"/>
      <c r="AB170" s="61" t="n"/>
      <c r="AC170" s="61" t="n"/>
      <c r="AD170" s="61" t="n"/>
      <c r="AE170" s="61" t="n"/>
      <c r="AF170" s="61" t="n"/>
      <c r="AG170" s="61" t="n"/>
      <c r="AH170" s="61" t="n"/>
      <c r="AI170" s="61" t="n"/>
      <c r="AJ170" s="61" t="n"/>
      <c r="AK170" s="61" t="n"/>
      <c r="AL170" s="61" t="n"/>
      <c r="AM170" s="61" t="n"/>
      <c r="AN170" s="61" t="n"/>
      <c r="AO170" s="61" t="n"/>
      <c r="AP170" s="61" t="n"/>
      <c r="AQ170" s="61" t="n"/>
      <c r="AR170" s="61" t="n"/>
      <c r="AS170" s="61" t="n"/>
      <c r="AT170" s="61" t="n"/>
      <c r="AU170" s="61" t="n"/>
      <c r="AV170" s="61" t="n"/>
      <c r="AW170" s="61" t="n"/>
      <c r="AX170" s="61" t="n"/>
      <c r="AY170" s="61" t="n"/>
      <c r="AZ170" s="61" t="n"/>
      <c r="BA170" s="61" t="n"/>
      <c r="BB170" s="61" t="n"/>
      <c r="BC170" s="61" t="n"/>
      <c r="BD170" s="61" t="n"/>
      <c r="BE170" s="61" t="n"/>
      <c r="BF170" s="61" t="n"/>
      <c r="BG170" s="61" t="n"/>
      <c r="BH170" s="61" t="n"/>
      <c r="BI170" s="61" t="n"/>
      <c r="BJ170" s="61" t="n"/>
      <c r="BK170" s="61" t="n"/>
      <c r="BL170" s="61" t="n"/>
      <c r="BM170" s="61" t="n"/>
      <c r="BN170" s="61" t="n"/>
      <c r="BO170" s="61" t="n"/>
      <c r="BP170" s="61" t="n"/>
      <c r="BQ170" s="61" t="n"/>
      <c r="BR170" s="61" t="n"/>
      <c r="BS170" s="61" t="n"/>
      <c r="BT170" s="61" t="n"/>
      <c r="BU170" s="61" t="n"/>
      <c r="BV170" s="61" t="n"/>
      <c r="BW170" s="61" t="n"/>
      <c r="BX170" s="61" t="n"/>
      <c r="BY170" s="61" t="n"/>
      <c r="BZ170" s="61" t="n"/>
      <c r="CA170" s="61" t="n"/>
      <c r="CB170" s="61" t="n"/>
      <c r="CC170" s="61" t="n"/>
      <c r="CD170" s="61" t="n"/>
      <c r="CE170" s="61" t="n"/>
      <c r="CF170" s="61" t="n"/>
      <c r="CG170" s="61" t="n"/>
      <c r="CH170" s="61" t="n"/>
    </row>
    <row r="171" ht="18.75" customHeight="1" s="98">
      <c r="A171" s="5" t="n"/>
      <c r="B171" s="59" t="n"/>
      <c r="C171" s="44" t="n"/>
      <c r="D171" s="59" t="n"/>
      <c r="E171" s="88" t="n"/>
      <c r="F171" s="66" t="n"/>
      <c r="G171" s="59" t="n"/>
      <c r="H171" s="44" t="n"/>
      <c r="I171" s="45" t="n"/>
      <c r="J171" s="59" t="n"/>
      <c r="K171" s="47" t="n"/>
      <c r="L171" s="47" t="n"/>
      <c r="M171" s="47" t="n"/>
      <c r="N171" s="47" t="n"/>
      <c r="O171" s="44" t="n"/>
      <c r="P171" s="62" t="n"/>
      <c r="Q171" s="59" t="n"/>
      <c r="R171" s="66" t="n"/>
      <c r="S171" s="61" t="n"/>
      <c r="T171" s="61" t="n"/>
      <c r="U171" s="61" t="n"/>
      <c r="V171" s="61" t="n"/>
      <c r="W171" s="61" t="n"/>
      <c r="X171" s="61" t="n"/>
      <c r="Y171" s="61" t="n"/>
      <c r="Z171" s="61" t="n"/>
      <c r="AA171" s="61" t="n"/>
      <c r="AB171" s="61" t="n"/>
      <c r="AC171" s="61" t="n"/>
      <c r="AD171" s="61" t="n"/>
      <c r="AE171" s="61" t="n"/>
      <c r="AF171" s="61" t="n"/>
      <c r="AG171" s="61" t="n"/>
      <c r="AH171" s="61" t="n"/>
      <c r="AI171" s="61" t="n"/>
      <c r="AJ171" s="61" t="n"/>
      <c r="AK171" s="61" t="n"/>
      <c r="AL171" s="61" t="n"/>
      <c r="AM171" s="61" t="n"/>
      <c r="AN171" s="61" t="n"/>
      <c r="AO171" s="61" t="n"/>
      <c r="AP171" s="61" t="n"/>
      <c r="AQ171" s="61" t="n"/>
      <c r="AR171" s="61" t="n"/>
      <c r="AS171" s="61" t="n"/>
      <c r="AT171" s="61" t="n"/>
      <c r="AU171" s="61" t="n"/>
      <c r="AV171" s="61" t="n"/>
      <c r="AW171" s="61" t="n"/>
      <c r="AX171" s="61" t="n"/>
      <c r="AY171" s="61" t="n"/>
      <c r="AZ171" s="61" t="n"/>
      <c r="BA171" s="61" t="n"/>
      <c r="BB171" s="61" t="n"/>
      <c r="BC171" s="61" t="n"/>
      <c r="BD171" s="61" t="n"/>
      <c r="BE171" s="61" t="n"/>
      <c r="BF171" s="61" t="n"/>
      <c r="BG171" s="61" t="n"/>
      <c r="BH171" s="61" t="n"/>
      <c r="BI171" s="61" t="n"/>
      <c r="BJ171" s="61" t="n"/>
      <c r="BK171" s="61" t="n"/>
      <c r="BL171" s="61" t="n"/>
      <c r="BM171" s="61" t="n"/>
      <c r="BN171" s="61" t="n"/>
      <c r="BO171" s="61" t="n"/>
      <c r="BP171" s="61" t="n"/>
      <c r="BQ171" s="61" t="n"/>
      <c r="BR171" s="61" t="n"/>
      <c r="BS171" s="61" t="n"/>
      <c r="BT171" s="61" t="n"/>
      <c r="BU171" s="61" t="n"/>
      <c r="BV171" s="61" t="n"/>
      <c r="BW171" s="61" t="n"/>
      <c r="BX171" s="61" t="n"/>
      <c r="BY171" s="61" t="n"/>
      <c r="BZ171" s="61" t="n"/>
      <c r="CA171" s="61" t="n"/>
      <c r="CB171" s="61" t="n"/>
      <c r="CC171" s="61" t="n"/>
      <c r="CD171" s="61" t="n"/>
      <c r="CE171" s="61" t="n"/>
      <c r="CF171" s="61" t="n"/>
      <c r="CG171" s="61" t="n"/>
      <c r="CH171" s="61" t="n"/>
    </row>
    <row r="172" ht="18.75" customHeight="1" s="98">
      <c r="A172" s="5" t="n"/>
      <c r="B172" s="59" t="n"/>
      <c r="C172" s="44" t="n"/>
      <c r="D172" s="59" t="n"/>
      <c r="E172" s="88" t="n"/>
      <c r="F172" s="66" t="n"/>
      <c r="G172" s="59" t="n"/>
      <c r="H172" s="44" t="n"/>
      <c r="I172" s="45" t="n"/>
      <c r="J172" s="59" t="n"/>
      <c r="K172" s="47" t="n"/>
      <c r="L172" s="47" t="n"/>
      <c r="M172" s="47" t="n"/>
      <c r="N172" s="47" t="n"/>
      <c r="O172" s="44" t="n"/>
      <c r="P172" s="62" t="n"/>
      <c r="Q172" s="59" t="n"/>
      <c r="R172" s="66" t="n"/>
      <c r="S172" s="61" t="n"/>
      <c r="T172" s="61" t="n"/>
      <c r="U172" s="61" t="n"/>
      <c r="V172" s="61" t="n"/>
      <c r="W172" s="61" t="n"/>
      <c r="X172" s="61" t="n"/>
      <c r="Y172" s="61" t="n"/>
      <c r="Z172" s="61" t="n"/>
      <c r="AA172" s="61" t="n"/>
      <c r="AB172" s="61" t="n"/>
      <c r="AC172" s="61" t="n"/>
      <c r="AD172" s="61" t="n"/>
      <c r="AE172" s="61" t="n"/>
      <c r="AF172" s="61" t="n"/>
      <c r="AG172" s="61" t="n"/>
      <c r="AH172" s="61" t="n"/>
      <c r="AI172" s="61" t="n"/>
      <c r="AJ172" s="61" t="n"/>
      <c r="AK172" s="61" t="n"/>
      <c r="AL172" s="61" t="n"/>
      <c r="AM172" s="61" t="n"/>
      <c r="AN172" s="61" t="n"/>
      <c r="AO172" s="61" t="n"/>
      <c r="AP172" s="61" t="n"/>
      <c r="AQ172" s="61" t="n"/>
      <c r="AR172" s="61" t="n"/>
      <c r="AS172" s="61" t="n"/>
      <c r="AT172" s="61" t="n"/>
      <c r="AU172" s="61" t="n"/>
      <c r="AV172" s="61" t="n"/>
      <c r="AW172" s="61" t="n"/>
      <c r="AX172" s="61" t="n"/>
      <c r="AY172" s="61" t="n"/>
      <c r="AZ172" s="61" t="n"/>
      <c r="BA172" s="61" t="n"/>
      <c r="BB172" s="61" t="n"/>
      <c r="BC172" s="61" t="n"/>
      <c r="BD172" s="61" t="n"/>
      <c r="BE172" s="61" t="n"/>
      <c r="BF172" s="61" t="n"/>
      <c r="BG172" s="61" t="n"/>
      <c r="BH172" s="61" t="n"/>
      <c r="BI172" s="61" t="n"/>
      <c r="BJ172" s="61" t="n"/>
      <c r="BK172" s="61" t="n"/>
      <c r="BL172" s="61" t="n"/>
      <c r="BM172" s="61" t="n"/>
      <c r="BN172" s="61" t="n"/>
      <c r="BO172" s="61" t="n"/>
      <c r="BP172" s="61" t="n"/>
      <c r="BQ172" s="61" t="n"/>
      <c r="BR172" s="61" t="n"/>
      <c r="BS172" s="61" t="n"/>
      <c r="BT172" s="61" t="n"/>
      <c r="BU172" s="61" t="n"/>
      <c r="BV172" s="61" t="n"/>
      <c r="BW172" s="61" t="n"/>
      <c r="BX172" s="61" t="n"/>
      <c r="BY172" s="61" t="n"/>
      <c r="BZ172" s="61" t="n"/>
      <c r="CA172" s="61" t="n"/>
      <c r="CB172" s="61" t="n"/>
      <c r="CC172" s="61" t="n"/>
      <c r="CD172" s="61" t="n"/>
      <c r="CE172" s="61" t="n"/>
      <c r="CF172" s="61" t="n"/>
      <c r="CG172" s="61" t="n"/>
      <c r="CH172" s="61" t="n"/>
    </row>
    <row r="173" ht="18.75" customHeight="1" s="98">
      <c r="A173" s="5" t="n"/>
      <c r="B173" s="59" t="n"/>
      <c r="C173" s="44" t="n"/>
      <c r="D173" s="59" t="n"/>
      <c r="E173" s="88" t="n"/>
      <c r="F173" s="66" t="n"/>
      <c r="G173" s="59" t="n"/>
      <c r="H173" s="44" t="n"/>
      <c r="I173" s="45" t="n"/>
      <c r="J173" s="59" t="n"/>
      <c r="K173" s="47" t="n"/>
      <c r="L173" s="47" t="n"/>
      <c r="M173" s="47" t="n"/>
      <c r="N173" s="47" t="n"/>
      <c r="O173" s="44" t="n"/>
      <c r="P173" s="62" t="n"/>
      <c r="Q173" s="59" t="n"/>
      <c r="R173" s="66" t="n"/>
      <c r="S173" s="61" t="n"/>
      <c r="T173" s="61" t="n"/>
      <c r="U173" s="61" t="n"/>
      <c r="V173" s="61" t="n"/>
      <c r="W173" s="61" t="n"/>
      <c r="X173" s="61" t="n"/>
      <c r="Y173" s="61" t="n"/>
      <c r="Z173" s="61" t="n"/>
      <c r="AA173" s="61" t="n"/>
      <c r="AB173" s="61" t="n"/>
      <c r="AC173" s="61" t="n"/>
      <c r="AD173" s="61" t="n"/>
      <c r="AE173" s="61" t="n"/>
      <c r="AF173" s="61" t="n"/>
      <c r="AG173" s="61" t="n"/>
      <c r="AH173" s="61" t="n"/>
      <c r="AI173" s="61" t="n"/>
      <c r="AJ173" s="61" t="n"/>
      <c r="AK173" s="61" t="n"/>
      <c r="AL173" s="61" t="n"/>
      <c r="AM173" s="61" t="n"/>
      <c r="AN173" s="61" t="n"/>
      <c r="AO173" s="61" t="n"/>
      <c r="AP173" s="61" t="n"/>
      <c r="AQ173" s="61" t="n"/>
      <c r="AR173" s="61" t="n"/>
      <c r="AS173" s="61" t="n"/>
      <c r="AT173" s="61" t="n"/>
      <c r="AU173" s="61" t="n"/>
      <c r="AV173" s="61" t="n"/>
      <c r="AW173" s="61" t="n"/>
      <c r="AX173" s="61" t="n"/>
      <c r="AY173" s="61" t="n"/>
      <c r="AZ173" s="61" t="n"/>
      <c r="BA173" s="61" t="n"/>
      <c r="BB173" s="61" t="n"/>
      <c r="BC173" s="61" t="n"/>
      <c r="BD173" s="61" t="n"/>
      <c r="BE173" s="61" t="n"/>
      <c r="BF173" s="61" t="n"/>
      <c r="BG173" s="61" t="n"/>
      <c r="BH173" s="61" t="n"/>
      <c r="BI173" s="61" t="n"/>
      <c r="BJ173" s="61" t="n"/>
      <c r="BK173" s="61" t="n"/>
      <c r="BL173" s="61" t="n"/>
      <c r="BM173" s="61" t="n"/>
      <c r="BN173" s="61" t="n"/>
      <c r="BO173" s="61" t="n"/>
      <c r="BP173" s="61" t="n"/>
      <c r="BQ173" s="61" t="n"/>
      <c r="BR173" s="61" t="n"/>
      <c r="BS173" s="61" t="n"/>
      <c r="BT173" s="61" t="n"/>
      <c r="BU173" s="61" t="n"/>
      <c r="BV173" s="61" t="n"/>
      <c r="BW173" s="61" t="n"/>
      <c r="BX173" s="61" t="n"/>
      <c r="BY173" s="61" t="n"/>
      <c r="BZ173" s="61" t="n"/>
      <c r="CA173" s="61" t="n"/>
      <c r="CB173" s="61" t="n"/>
      <c r="CC173" s="61" t="n"/>
      <c r="CD173" s="61" t="n"/>
      <c r="CE173" s="61" t="n"/>
      <c r="CF173" s="61" t="n"/>
      <c r="CG173" s="61" t="n"/>
      <c r="CH173" s="61" t="n"/>
    </row>
    <row r="174" ht="18.75" customHeight="1" s="98">
      <c r="A174" s="5" t="n"/>
      <c r="B174" s="59" t="n"/>
      <c r="C174" s="44" t="n"/>
      <c r="D174" s="59" t="n"/>
      <c r="E174" s="88" t="n"/>
      <c r="F174" s="66" t="n"/>
      <c r="G174" s="59" t="n"/>
      <c r="H174" s="44" t="n"/>
      <c r="I174" s="45" t="n"/>
      <c r="J174" s="59" t="n"/>
      <c r="K174" s="47" t="n"/>
      <c r="L174" s="47" t="n"/>
      <c r="M174" s="47" t="n"/>
      <c r="N174" s="47" t="n"/>
      <c r="O174" s="44" t="n"/>
      <c r="P174" s="62" t="n"/>
      <c r="Q174" s="59" t="n"/>
      <c r="R174" s="66" t="n"/>
      <c r="S174" s="61" t="n"/>
      <c r="T174" s="61" t="n"/>
      <c r="U174" s="61" t="n"/>
      <c r="V174" s="61" t="n"/>
      <c r="W174" s="61" t="n"/>
      <c r="X174" s="61" t="n"/>
      <c r="Y174" s="61" t="n"/>
      <c r="Z174" s="61" t="n"/>
      <c r="AA174" s="61" t="n"/>
      <c r="AB174" s="61" t="n"/>
      <c r="AC174" s="61" t="n"/>
      <c r="AD174" s="61" t="n"/>
      <c r="AE174" s="61" t="n"/>
      <c r="AF174" s="61" t="n"/>
      <c r="AG174" s="61" t="n"/>
      <c r="AH174" s="61" t="n"/>
      <c r="AI174" s="61" t="n"/>
      <c r="AJ174" s="61" t="n"/>
      <c r="AK174" s="61" t="n"/>
      <c r="AL174" s="61" t="n"/>
      <c r="AM174" s="61" t="n"/>
      <c r="AN174" s="61" t="n"/>
      <c r="AO174" s="61" t="n"/>
      <c r="AP174" s="61" t="n"/>
      <c r="AQ174" s="61" t="n"/>
      <c r="AR174" s="61" t="n"/>
      <c r="AS174" s="61" t="n"/>
      <c r="AT174" s="61" t="n"/>
      <c r="AU174" s="61" t="n"/>
      <c r="AV174" s="61" t="n"/>
      <c r="AW174" s="61" t="n"/>
      <c r="AX174" s="61" t="n"/>
      <c r="AY174" s="61" t="n"/>
      <c r="AZ174" s="61" t="n"/>
      <c r="BA174" s="61" t="n"/>
      <c r="BB174" s="61" t="n"/>
      <c r="BC174" s="61" t="n"/>
      <c r="BD174" s="61" t="n"/>
      <c r="BE174" s="61" t="n"/>
      <c r="BF174" s="61" t="n"/>
      <c r="BG174" s="61" t="n"/>
      <c r="BH174" s="61" t="n"/>
      <c r="BI174" s="61" t="n"/>
      <c r="BJ174" s="61" t="n"/>
      <c r="BK174" s="61" t="n"/>
      <c r="BL174" s="61" t="n"/>
      <c r="BM174" s="61" t="n"/>
      <c r="BN174" s="61" t="n"/>
      <c r="BO174" s="61" t="n"/>
      <c r="BP174" s="61" t="n"/>
      <c r="BQ174" s="61" t="n"/>
      <c r="BR174" s="61" t="n"/>
      <c r="BS174" s="61" t="n"/>
      <c r="BT174" s="61" t="n"/>
      <c r="BU174" s="61" t="n"/>
      <c r="BV174" s="61" t="n"/>
      <c r="BW174" s="61" t="n"/>
      <c r="BX174" s="61" t="n"/>
      <c r="BY174" s="61" t="n"/>
      <c r="BZ174" s="61" t="n"/>
      <c r="CA174" s="61" t="n"/>
      <c r="CB174" s="61" t="n"/>
      <c r="CC174" s="61" t="n"/>
      <c r="CD174" s="61" t="n"/>
      <c r="CE174" s="61" t="n"/>
      <c r="CF174" s="61" t="n"/>
      <c r="CG174" s="61" t="n"/>
      <c r="CH174" s="61" t="n"/>
    </row>
    <row r="175" ht="18.75" customHeight="1" s="98">
      <c r="A175" s="5" t="n"/>
      <c r="B175" s="59" t="n"/>
      <c r="C175" s="44" t="n"/>
      <c r="D175" s="59" t="n"/>
      <c r="E175" s="88" t="n"/>
      <c r="F175" s="66" t="n"/>
      <c r="G175" s="59" t="n"/>
      <c r="H175" s="44" t="n"/>
      <c r="I175" s="45" t="n"/>
      <c r="J175" s="59" t="n"/>
      <c r="K175" s="47" t="n"/>
      <c r="L175" s="47" t="n"/>
      <c r="M175" s="47" t="n"/>
      <c r="N175" s="47" t="n"/>
      <c r="O175" s="44" t="n"/>
      <c r="P175" s="62" t="n"/>
      <c r="Q175" s="59" t="n"/>
      <c r="R175" s="66" t="n"/>
      <c r="S175" s="61" t="n"/>
      <c r="T175" s="61" t="n"/>
      <c r="U175" s="61" t="n"/>
      <c r="V175" s="61" t="n"/>
      <c r="W175" s="61" t="n"/>
      <c r="X175" s="61" t="n"/>
      <c r="Y175" s="61" t="n"/>
      <c r="Z175" s="61" t="n"/>
      <c r="AA175" s="61" t="n"/>
      <c r="AB175" s="61" t="n"/>
      <c r="AC175" s="61" t="n"/>
      <c r="AD175" s="61" t="n"/>
      <c r="AE175" s="61" t="n"/>
      <c r="AF175" s="61" t="n"/>
      <c r="AG175" s="61" t="n"/>
      <c r="AH175" s="61" t="n"/>
      <c r="AI175" s="61" t="n"/>
      <c r="AJ175" s="61" t="n"/>
      <c r="AK175" s="61" t="n"/>
      <c r="AL175" s="61" t="n"/>
      <c r="AM175" s="61" t="n"/>
      <c r="AN175" s="61" t="n"/>
      <c r="AO175" s="61" t="n"/>
      <c r="AP175" s="61" t="n"/>
      <c r="AQ175" s="61" t="n"/>
      <c r="AR175" s="61" t="n"/>
      <c r="AS175" s="61" t="n"/>
      <c r="AT175" s="61" t="n"/>
      <c r="AU175" s="61" t="n"/>
      <c r="AV175" s="61" t="n"/>
      <c r="AW175" s="61" t="n"/>
      <c r="AX175" s="61" t="n"/>
      <c r="AY175" s="61" t="n"/>
      <c r="AZ175" s="61" t="n"/>
      <c r="BA175" s="61" t="n"/>
      <c r="BB175" s="61" t="n"/>
      <c r="BC175" s="61" t="n"/>
      <c r="BD175" s="61" t="n"/>
      <c r="BE175" s="61" t="n"/>
      <c r="BF175" s="61" t="n"/>
      <c r="BG175" s="61" t="n"/>
      <c r="BH175" s="61" t="n"/>
      <c r="BI175" s="61" t="n"/>
      <c r="BJ175" s="61" t="n"/>
      <c r="BK175" s="61" t="n"/>
      <c r="BL175" s="61" t="n"/>
      <c r="BM175" s="61" t="n"/>
      <c r="BN175" s="61" t="n"/>
      <c r="BO175" s="61" t="n"/>
      <c r="BP175" s="61" t="n"/>
      <c r="BQ175" s="61" t="n"/>
      <c r="BR175" s="61" t="n"/>
      <c r="BS175" s="61" t="n"/>
      <c r="BT175" s="61" t="n"/>
      <c r="BU175" s="61" t="n"/>
      <c r="BV175" s="61" t="n"/>
      <c r="BW175" s="61" t="n"/>
      <c r="BX175" s="61" t="n"/>
      <c r="BY175" s="61" t="n"/>
      <c r="BZ175" s="61" t="n"/>
      <c r="CA175" s="61" t="n"/>
      <c r="CB175" s="61" t="n"/>
      <c r="CC175" s="61" t="n"/>
      <c r="CD175" s="61" t="n"/>
      <c r="CE175" s="61" t="n"/>
      <c r="CF175" s="61" t="n"/>
      <c r="CG175" s="61" t="n"/>
      <c r="CH175" s="61" t="n"/>
    </row>
    <row r="176" ht="18.75" customHeight="1" s="98">
      <c r="A176" s="5" t="n"/>
      <c r="B176" s="59" t="n"/>
      <c r="C176" s="44" t="n"/>
      <c r="D176" s="59" t="n"/>
      <c r="E176" s="88" t="n"/>
      <c r="F176" s="66" t="n"/>
      <c r="G176" s="59" t="n"/>
      <c r="H176" s="44" t="n"/>
      <c r="I176" s="45" t="n"/>
      <c r="J176" s="59" t="n"/>
      <c r="K176" s="47" t="n"/>
      <c r="L176" s="47" t="n"/>
      <c r="M176" s="47" t="n"/>
      <c r="N176" s="47" t="n"/>
      <c r="O176" s="44" t="n"/>
      <c r="P176" s="62" t="n"/>
      <c r="Q176" s="59" t="n"/>
      <c r="R176" s="66" t="n"/>
      <c r="S176" s="61" t="n"/>
      <c r="T176" s="61" t="n"/>
      <c r="U176" s="61" t="n"/>
      <c r="V176" s="61" t="n"/>
      <c r="W176" s="61" t="n"/>
      <c r="X176" s="61" t="n"/>
      <c r="Y176" s="61" t="n"/>
      <c r="Z176" s="61" t="n"/>
      <c r="AA176" s="61" t="n"/>
      <c r="AB176" s="61" t="n"/>
      <c r="AC176" s="61" t="n"/>
      <c r="AD176" s="61" t="n"/>
      <c r="AE176" s="61" t="n"/>
      <c r="AF176" s="61" t="n"/>
      <c r="AG176" s="61" t="n"/>
      <c r="AH176" s="61" t="n"/>
      <c r="AI176" s="61" t="n"/>
      <c r="AJ176" s="61" t="n"/>
      <c r="AK176" s="61" t="n"/>
      <c r="AL176" s="61" t="n"/>
      <c r="AM176" s="61" t="n"/>
      <c r="AN176" s="61" t="n"/>
      <c r="AO176" s="61" t="n"/>
      <c r="AP176" s="61" t="n"/>
      <c r="AQ176" s="61" t="n"/>
      <c r="AR176" s="61" t="n"/>
      <c r="AS176" s="61" t="n"/>
      <c r="AT176" s="61" t="n"/>
      <c r="AU176" s="61" t="n"/>
      <c r="AV176" s="61" t="n"/>
      <c r="AW176" s="61" t="n"/>
      <c r="AX176" s="61" t="n"/>
      <c r="AY176" s="61" t="n"/>
      <c r="AZ176" s="61" t="n"/>
      <c r="BA176" s="61" t="n"/>
      <c r="BB176" s="61" t="n"/>
      <c r="BC176" s="61" t="n"/>
      <c r="BD176" s="61" t="n"/>
      <c r="BE176" s="61" t="n"/>
      <c r="BF176" s="61" t="n"/>
      <c r="BG176" s="61" t="n"/>
      <c r="BH176" s="61" t="n"/>
      <c r="BI176" s="61" t="n"/>
      <c r="BJ176" s="61" t="n"/>
      <c r="BK176" s="61" t="n"/>
      <c r="BL176" s="61" t="n"/>
      <c r="BM176" s="61" t="n"/>
      <c r="BN176" s="61" t="n"/>
      <c r="BO176" s="61" t="n"/>
      <c r="BP176" s="61" t="n"/>
      <c r="BQ176" s="61" t="n"/>
      <c r="BR176" s="61" t="n"/>
      <c r="BS176" s="61" t="n"/>
      <c r="BT176" s="61" t="n"/>
      <c r="BU176" s="61" t="n"/>
      <c r="BV176" s="61" t="n"/>
      <c r="BW176" s="61" t="n"/>
      <c r="BX176" s="61" t="n"/>
      <c r="BY176" s="61" t="n"/>
      <c r="BZ176" s="61" t="n"/>
      <c r="CA176" s="61" t="n"/>
      <c r="CB176" s="61" t="n"/>
      <c r="CC176" s="61" t="n"/>
      <c r="CD176" s="61" t="n"/>
      <c r="CE176" s="61" t="n"/>
      <c r="CF176" s="61" t="n"/>
      <c r="CG176" s="61" t="n"/>
      <c r="CH176" s="61" t="n"/>
    </row>
    <row r="177" ht="18.75" customHeight="1" s="98">
      <c r="A177" s="5" t="n"/>
      <c r="B177" s="59" t="n"/>
      <c r="C177" s="44" t="n"/>
      <c r="D177" s="59" t="n"/>
      <c r="E177" s="88" t="n"/>
      <c r="F177" s="66" t="n"/>
      <c r="G177" s="59" t="n"/>
      <c r="H177" s="44" t="n"/>
      <c r="I177" s="45" t="n"/>
      <c r="J177" s="59" t="n"/>
      <c r="K177" s="47" t="n"/>
      <c r="L177" s="47" t="n"/>
      <c r="M177" s="47" t="n"/>
      <c r="N177" s="47" t="n"/>
      <c r="O177" s="44" t="n"/>
      <c r="P177" s="62" t="n"/>
      <c r="Q177" s="44" t="n"/>
      <c r="R177" s="66" t="n"/>
      <c r="S177" s="61" t="n"/>
      <c r="T177" s="61" t="n"/>
      <c r="U177" s="61" t="n"/>
      <c r="V177" s="61" t="n"/>
      <c r="W177" s="61" t="n"/>
      <c r="X177" s="61" t="n"/>
      <c r="Y177" s="61" t="n"/>
      <c r="Z177" s="61" t="n"/>
      <c r="AA177" s="61" t="n"/>
      <c r="AB177" s="61" t="n"/>
      <c r="AC177" s="61" t="n"/>
      <c r="AD177" s="61" t="n"/>
      <c r="AE177" s="61" t="n"/>
      <c r="AF177" s="61" t="n"/>
      <c r="AG177" s="61" t="n"/>
      <c r="AH177" s="61" t="n"/>
      <c r="AI177" s="61" t="n"/>
      <c r="AJ177" s="61" t="n"/>
      <c r="AK177" s="61" t="n"/>
      <c r="AL177" s="61" t="n"/>
      <c r="AM177" s="61" t="n"/>
      <c r="AN177" s="61" t="n"/>
      <c r="AO177" s="61" t="n"/>
      <c r="AP177" s="61" t="n"/>
      <c r="AQ177" s="61" t="n"/>
      <c r="AR177" s="61" t="n"/>
      <c r="AS177" s="61" t="n"/>
      <c r="AT177" s="61" t="n"/>
      <c r="AU177" s="61" t="n"/>
      <c r="AV177" s="61" t="n"/>
      <c r="AW177" s="61" t="n"/>
      <c r="AX177" s="61" t="n"/>
      <c r="AY177" s="61" t="n"/>
      <c r="AZ177" s="61" t="n"/>
      <c r="BA177" s="61" t="n"/>
      <c r="BB177" s="61" t="n"/>
      <c r="BC177" s="61" t="n"/>
      <c r="BD177" s="61" t="n"/>
      <c r="BE177" s="61" t="n"/>
      <c r="BF177" s="61" t="n"/>
      <c r="BG177" s="61" t="n"/>
      <c r="BH177" s="61" t="n"/>
      <c r="BI177" s="61" t="n"/>
      <c r="BJ177" s="61" t="n"/>
      <c r="BK177" s="61" t="n"/>
      <c r="BL177" s="61" t="n"/>
      <c r="BM177" s="61" t="n"/>
      <c r="BN177" s="61" t="n"/>
      <c r="BO177" s="61" t="n"/>
      <c r="BP177" s="61" t="n"/>
      <c r="BQ177" s="61" t="n"/>
      <c r="BR177" s="61" t="n"/>
      <c r="BS177" s="61" t="n"/>
      <c r="BT177" s="61" t="n"/>
      <c r="BU177" s="61" t="n"/>
      <c r="BV177" s="61" t="n"/>
      <c r="BW177" s="61" t="n"/>
      <c r="BX177" s="61" t="n"/>
      <c r="BY177" s="61" t="n"/>
      <c r="BZ177" s="61" t="n"/>
      <c r="CA177" s="61" t="n"/>
      <c r="CB177" s="61" t="n"/>
      <c r="CC177" s="61" t="n"/>
      <c r="CD177" s="61" t="n"/>
      <c r="CE177" s="61" t="n"/>
      <c r="CF177" s="61" t="n"/>
      <c r="CG177" s="61" t="n"/>
      <c r="CH177" s="61" t="n"/>
    </row>
    <row r="178" ht="18.75" customHeight="1" s="98">
      <c r="A178" s="5" t="n"/>
      <c r="B178" s="59" t="n"/>
      <c r="C178" s="44" t="n"/>
      <c r="D178" s="59" t="n"/>
      <c r="E178" s="88" t="n"/>
      <c r="F178" s="66" t="n"/>
      <c r="G178" s="59" t="n"/>
      <c r="H178" s="44" t="n"/>
      <c r="I178" s="45" t="n"/>
      <c r="J178" s="59" t="n"/>
      <c r="K178" s="47" t="n"/>
      <c r="L178" s="47" t="n"/>
      <c r="M178" s="47" t="n"/>
      <c r="N178" s="47" t="n"/>
      <c r="O178" s="44" t="n"/>
      <c r="P178" s="62" t="n"/>
      <c r="Q178" s="44" t="n"/>
      <c r="R178" s="66" t="n"/>
      <c r="S178" s="61" t="n"/>
      <c r="T178" s="61" t="n"/>
      <c r="U178" s="61" t="n"/>
      <c r="V178" s="61" t="n"/>
      <c r="W178" s="61" t="n"/>
      <c r="X178" s="61" t="n"/>
      <c r="Y178" s="61" t="n"/>
      <c r="Z178" s="61" t="n"/>
      <c r="AA178" s="61" t="n"/>
      <c r="AB178" s="61" t="n"/>
      <c r="AC178" s="61" t="n"/>
      <c r="AD178" s="61" t="n"/>
      <c r="AE178" s="61" t="n"/>
      <c r="AF178" s="61" t="n"/>
      <c r="AG178" s="61" t="n"/>
      <c r="AH178" s="61" t="n"/>
      <c r="AI178" s="61" t="n"/>
      <c r="AJ178" s="61" t="n"/>
      <c r="AK178" s="61" t="n"/>
      <c r="AL178" s="61" t="n"/>
      <c r="AM178" s="61" t="n"/>
      <c r="AN178" s="61" t="n"/>
      <c r="AO178" s="61" t="n"/>
      <c r="AP178" s="61" t="n"/>
      <c r="AQ178" s="61" t="n"/>
      <c r="AR178" s="61" t="n"/>
      <c r="AS178" s="61" t="n"/>
      <c r="AT178" s="61" t="n"/>
      <c r="AU178" s="61" t="n"/>
      <c r="AV178" s="61" t="n"/>
      <c r="AW178" s="61" t="n"/>
      <c r="AX178" s="61" t="n"/>
      <c r="AY178" s="61" t="n"/>
      <c r="AZ178" s="61" t="n"/>
      <c r="BA178" s="61" t="n"/>
      <c r="BB178" s="61" t="n"/>
      <c r="BC178" s="61" t="n"/>
      <c r="BD178" s="61" t="n"/>
      <c r="BE178" s="61" t="n"/>
      <c r="BF178" s="61" t="n"/>
      <c r="BG178" s="61" t="n"/>
      <c r="BH178" s="61" t="n"/>
      <c r="BI178" s="61" t="n"/>
      <c r="BJ178" s="61" t="n"/>
      <c r="BK178" s="61" t="n"/>
      <c r="BL178" s="61" t="n"/>
      <c r="BM178" s="61" t="n"/>
      <c r="BN178" s="61" t="n"/>
      <c r="BO178" s="61" t="n"/>
      <c r="BP178" s="61" t="n"/>
      <c r="BQ178" s="61" t="n"/>
      <c r="BR178" s="61" t="n"/>
      <c r="BS178" s="61" t="n"/>
      <c r="BT178" s="61" t="n"/>
      <c r="BU178" s="61" t="n"/>
      <c r="BV178" s="61" t="n"/>
      <c r="BW178" s="61" t="n"/>
      <c r="BX178" s="61" t="n"/>
      <c r="BY178" s="61" t="n"/>
      <c r="BZ178" s="61" t="n"/>
      <c r="CA178" s="61" t="n"/>
      <c r="CB178" s="61" t="n"/>
      <c r="CC178" s="61" t="n"/>
      <c r="CD178" s="61" t="n"/>
      <c r="CE178" s="61" t="n"/>
      <c r="CF178" s="61" t="n"/>
      <c r="CG178" s="61" t="n"/>
      <c r="CH178" s="61" t="n"/>
    </row>
    <row r="179" ht="18.75" customHeight="1" s="98">
      <c r="A179" s="5" t="n"/>
      <c r="B179" s="59" t="n"/>
      <c r="C179" s="44" t="n"/>
      <c r="D179" s="59" t="n"/>
      <c r="E179" s="88" t="n"/>
      <c r="F179" s="66" t="n"/>
      <c r="G179" s="59" t="n"/>
      <c r="H179" s="44" t="n"/>
      <c r="I179" s="45" t="n"/>
      <c r="J179" s="59" t="n"/>
      <c r="K179" s="47" t="n"/>
      <c r="L179" s="47" t="n"/>
      <c r="M179" s="47" t="n"/>
      <c r="N179" s="47" t="n"/>
      <c r="O179" s="44" t="n"/>
      <c r="P179" s="62" t="n"/>
      <c r="Q179" s="59" t="n"/>
      <c r="R179" s="66" t="n"/>
      <c r="S179" s="61" t="n"/>
      <c r="T179" s="61" t="n"/>
      <c r="U179" s="61" t="n"/>
      <c r="V179" s="61" t="n"/>
      <c r="W179" s="61" t="n"/>
      <c r="X179" s="61" t="n"/>
      <c r="Y179" s="61" t="n"/>
      <c r="Z179" s="61" t="n"/>
      <c r="AA179" s="61" t="n"/>
      <c r="AB179" s="61" t="n"/>
      <c r="AC179" s="61" t="n"/>
      <c r="AD179" s="61" t="n"/>
      <c r="AE179" s="61" t="n"/>
      <c r="AF179" s="61" t="n"/>
      <c r="AG179" s="61" t="n"/>
      <c r="AH179" s="61" t="n"/>
      <c r="AI179" s="61" t="n"/>
      <c r="AJ179" s="61" t="n"/>
      <c r="AK179" s="61" t="n"/>
      <c r="AL179" s="61" t="n"/>
      <c r="AM179" s="61" t="n"/>
      <c r="AN179" s="61" t="n"/>
      <c r="AO179" s="61" t="n"/>
      <c r="AP179" s="61" t="n"/>
      <c r="AQ179" s="61" t="n"/>
      <c r="AR179" s="61" t="n"/>
      <c r="AS179" s="61" t="n"/>
      <c r="AT179" s="61" t="n"/>
      <c r="AU179" s="61" t="n"/>
      <c r="AV179" s="61" t="n"/>
      <c r="AW179" s="61" t="n"/>
      <c r="AX179" s="61" t="n"/>
      <c r="AY179" s="61" t="n"/>
      <c r="AZ179" s="61" t="n"/>
      <c r="BA179" s="61" t="n"/>
      <c r="BB179" s="61" t="n"/>
      <c r="BC179" s="61" t="n"/>
      <c r="BD179" s="61" t="n"/>
      <c r="BE179" s="61" t="n"/>
      <c r="BF179" s="61" t="n"/>
      <c r="BG179" s="61" t="n"/>
      <c r="BH179" s="61" t="n"/>
      <c r="BI179" s="61" t="n"/>
      <c r="BJ179" s="61" t="n"/>
      <c r="BK179" s="61" t="n"/>
      <c r="BL179" s="61" t="n"/>
      <c r="BM179" s="61" t="n"/>
      <c r="BN179" s="61" t="n"/>
      <c r="BO179" s="61" t="n"/>
      <c r="BP179" s="61" t="n"/>
      <c r="BQ179" s="61" t="n"/>
      <c r="BR179" s="61" t="n"/>
      <c r="BS179" s="61" t="n"/>
      <c r="BT179" s="61" t="n"/>
      <c r="BU179" s="61" t="n"/>
      <c r="BV179" s="61" t="n"/>
      <c r="BW179" s="61" t="n"/>
      <c r="BX179" s="61" t="n"/>
      <c r="BY179" s="61" t="n"/>
      <c r="BZ179" s="61" t="n"/>
      <c r="CA179" s="61" t="n"/>
      <c r="CB179" s="61" t="n"/>
      <c r="CC179" s="61" t="n"/>
      <c r="CD179" s="61" t="n"/>
      <c r="CE179" s="61" t="n"/>
      <c r="CF179" s="61" t="n"/>
      <c r="CG179" s="61" t="n"/>
      <c r="CH179" s="61" t="n"/>
    </row>
    <row r="180" ht="18.75" customHeight="1" s="98">
      <c r="A180" s="5" t="n"/>
      <c r="B180" s="59" t="n"/>
      <c r="C180" s="44" t="n"/>
      <c r="D180" s="59" t="n"/>
      <c r="E180" s="88" t="n"/>
      <c r="F180" s="66" t="n"/>
      <c r="G180" s="59" t="n"/>
      <c r="H180" s="44" t="n"/>
      <c r="I180" s="45" t="n"/>
      <c r="J180" s="59" t="n"/>
      <c r="K180" s="47" t="n"/>
      <c r="L180" s="47" t="n"/>
      <c r="M180" s="47" t="n"/>
      <c r="N180" s="47" t="n"/>
      <c r="O180" s="44" t="n"/>
      <c r="P180" s="62" t="n"/>
      <c r="Q180" s="44" t="n"/>
      <c r="R180" s="66" t="n"/>
      <c r="S180" s="61" t="n"/>
      <c r="T180" s="61" t="n"/>
      <c r="U180" s="61" t="n"/>
      <c r="V180" s="61" t="n"/>
      <c r="W180" s="61" t="n"/>
      <c r="X180" s="61" t="n"/>
      <c r="Y180" s="61" t="n"/>
      <c r="Z180" s="61" t="n"/>
      <c r="AA180" s="61" t="n"/>
      <c r="AB180" s="61" t="n"/>
      <c r="AC180" s="61" t="n"/>
      <c r="AD180" s="61" t="n"/>
      <c r="AE180" s="61" t="n"/>
      <c r="AF180" s="61" t="n"/>
      <c r="AG180" s="61" t="n"/>
      <c r="AH180" s="61" t="n"/>
      <c r="AI180" s="61" t="n"/>
      <c r="AJ180" s="61" t="n"/>
      <c r="AK180" s="61" t="n"/>
      <c r="AL180" s="61" t="n"/>
      <c r="AM180" s="61" t="n"/>
      <c r="AN180" s="61" t="n"/>
      <c r="AO180" s="61" t="n"/>
      <c r="AP180" s="61" t="n"/>
      <c r="AQ180" s="61" t="n"/>
      <c r="AR180" s="61" t="n"/>
      <c r="AS180" s="61" t="n"/>
      <c r="AT180" s="61" t="n"/>
      <c r="AU180" s="61" t="n"/>
      <c r="AV180" s="61" t="n"/>
      <c r="AW180" s="61" t="n"/>
      <c r="AX180" s="61" t="n"/>
      <c r="AY180" s="61" t="n"/>
      <c r="AZ180" s="61" t="n"/>
      <c r="BA180" s="61" t="n"/>
      <c r="BB180" s="61" t="n"/>
      <c r="BC180" s="61" t="n"/>
      <c r="BD180" s="61" t="n"/>
      <c r="BE180" s="61" t="n"/>
      <c r="BF180" s="61" t="n"/>
      <c r="BG180" s="61" t="n"/>
      <c r="BH180" s="61" t="n"/>
      <c r="BI180" s="61" t="n"/>
      <c r="BJ180" s="61" t="n"/>
      <c r="BK180" s="61" t="n"/>
      <c r="BL180" s="61" t="n"/>
      <c r="BM180" s="61" t="n"/>
      <c r="BN180" s="61" t="n"/>
      <c r="BO180" s="61" t="n"/>
      <c r="BP180" s="61" t="n"/>
      <c r="BQ180" s="61" t="n"/>
      <c r="BR180" s="61" t="n"/>
      <c r="BS180" s="61" t="n"/>
      <c r="BT180" s="61" t="n"/>
      <c r="BU180" s="61" t="n"/>
      <c r="BV180" s="61" t="n"/>
      <c r="BW180" s="61" t="n"/>
      <c r="BX180" s="61" t="n"/>
      <c r="BY180" s="61" t="n"/>
      <c r="BZ180" s="61" t="n"/>
      <c r="CA180" s="61" t="n"/>
      <c r="CB180" s="61" t="n"/>
      <c r="CC180" s="61" t="n"/>
      <c r="CD180" s="61" t="n"/>
      <c r="CE180" s="61" t="n"/>
      <c r="CF180" s="61" t="n"/>
      <c r="CG180" s="61" t="n"/>
      <c r="CH180" s="61" t="n"/>
    </row>
    <row r="181" ht="18.75" customHeight="1" s="98">
      <c r="A181" s="5" t="n"/>
      <c r="B181" s="59" t="n"/>
      <c r="C181" s="44" t="n"/>
      <c r="D181" s="59" t="n"/>
      <c r="E181" s="88" t="n"/>
      <c r="F181" s="66" t="n"/>
      <c r="G181" s="59" t="n"/>
      <c r="H181" s="44" t="n"/>
      <c r="I181" s="45" t="n"/>
      <c r="J181" s="59" t="n"/>
      <c r="K181" s="47" t="n"/>
      <c r="L181" s="47" t="n"/>
      <c r="M181" s="47" t="n"/>
      <c r="N181" s="47" t="n"/>
      <c r="O181" s="44" t="n"/>
      <c r="P181" s="62" t="n"/>
      <c r="Q181" s="44" t="n"/>
      <c r="R181" s="66" t="n"/>
      <c r="S181" s="61" t="n"/>
      <c r="T181" s="61" t="n"/>
      <c r="U181" s="61" t="n"/>
      <c r="V181" s="61" t="n"/>
      <c r="W181" s="61" t="n"/>
      <c r="X181" s="61" t="n"/>
      <c r="Y181" s="61" t="n"/>
      <c r="Z181" s="61" t="n"/>
      <c r="AA181" s="61" t="n"/>
      <c r="AB181" s="61" t="n"/>
      <c r="AC181" s="61" t="n"/>
      <c r="AD181" s="61" t="n"/>
      <c r="AE181" s="61" t="n"/>
      <c r="AF181" s="61" t="n"/>
      <c r="AG181" s="61" t="n"/>
      <c r="AH181" s="61" t="n"/>
      <c r="AI181" s="61" t="n"/>
      <c r="AJ181" s="61" t="n"/>
      <c r="AK181" s="61" t="n"/>
      <c r="AL181" s="61" t="n"/>
      <c r="AM181" s="61" t="n"/>
      <c r="AN181" s="61" t="n"/>
      <c r="AO181" s="61" t="n"/>
      <c r="AP181" s="61" t="n"/>
      <c r="AQ181" s="61" t="n"/>
      <c r="AR181" s="61" t="n"/>
      <c r="AS181" s="61" t="n"/>
      <c r="AT181" s="61" t="n"/>
      <c r="AU181" s="61" t="n"/>
      <c r="AV181" s="61" t="n"/>
      <c r="AW181" s="61" t="n"/>
      <c r="AX181" s="61" t="n"/>
      <c r="AY181" s="61" t="n"/>
      <c r="AZ181" s="61" t="n"/>
      <c r="BA181" s="61" t="n"/>
      <c r="BB181" s="61" t="n"/>
      <c r="BC181" s="61" t="n"/>
      <c r="BD181" s="61" t="n"/>
      <c r="BE181" s="61" t="n"/>
      <c r="BF181" s="61" t="n"/>
      <c r="BG181" s="61" t="n"/>
      <c r="BH181" s="61" t="n"/>
      <c r="BI181" s="61" t="n"/>
      <c r="BJ181" s="61" t="n"/>
      <c r="BK181" s="61" t="n"/>
      <c r="BL181" s="61" t="n"/>
      <c r="BM181" s="61" t="n"/>
      <c r="BN181" s="61" t="n"/>
      <c r="BO181" s="61" t="n"/>
      <c r="BP181" s="61" t="n"/>
      <c r="BQ181" s="61" t="n"/>
      <c r="BR181" s="61" t="n"/>
      <c r="BS181" s="61" t="n"/>
      <c r="BT181" s="61" t="n"/>
      <c r="BU181" s="61" t="n"/>
      <c r="BV181" s="61" t="n"/>
      <c r="BW181" s="61" t="n"/>
      <c r="BX181" s="61" t="n"/>
      <c r="BY181" s="61" t="n"/>
      <c r="BZ181" s="61" t="n"/>
      <c r="CA181" s="61" t="n"/>
      <c r="CB181" s="61" t="n"/>
      <c r="CC181" s="61" t="n"/>
      <c r="CD181" s="61" t="n"/>
      <c r="CE181" s="61" t="n"/>
      <c r="CF181" s="61" t="n"/>
      <c r="CG181" s="61" t="n"/>
      <c r="CH181" s="61" t="n"/>
    </row>
    <row r="182" ht="18.75" customHeight="1" s="98">
      <c r="A182" s="5" t="n"/>
      <c r="B182" s="59" t="n"/>
      <c r="C182" s="44" t="n"/>
      <c r="D182" s="59" t="n"/>
      <c r="E182" s="88" t="n"/>
      <c r="F182" s="66" t="n"/>
      <c r="G182" s="59" t="n"/>
      <c r="H182" s="44" t="n"/>
      <c r="I182" s="45" t="n"/>
      <c r="J182" s="59" t="n"/>
      <c r="K182" s="47" t="n"/>
      <c r="L182" s="47" t="n"/>
      <c r="M182" s="47" t="n"/>
      <c r="N182" s="47" t="n"/>
      <c r="O182" s="44" t="n"/>
      <c r="P182" s="62" t="n"/>
      <c r="Q182" s="44" t="n"/>
      <c r="R182" s="66" t="n"/>
      <c r="S182" s="61" t="n"/>
      <c r="T182" s="61" t="n"/>
      <c r="U182" s="61" t="n"/>
      <c r="V182" s="61" t="n"/>
      <c r="W182" s="61" t="n"/>
      <c r="X182" s="61" t="n"/>
      <c r="Y182" s="61" t="n"/>
      <c r="Z182" s="61" t="n"/>
      <c r="AA182" s="61" t="n"/>
      <c r="AB182" s="61" t="n"/>
      <c r="AC182" s="61" t="n"/>
      <c r="AD182" s="61" t="n"/>
      <c r="AE182" s="61" t="n"/>
      <c r="AF182" s="61" t="n"/>
      <c r="AG182" s="61" t="n"/>
      <c r="AH182" s="61" t="n"/>
      <c r="AI182" s="61" t="n"/>
      <c r="AJ182" s="61" t="n"/>
      <c r="AK182" s="61" t="n"/>
      <c r="AL182" s="61" t="n"/>
      <c r="AM182" s="61" t="n"/>
      <c r="AN182" s="61" t="n"/>
      <c r="AO182" s="61" t="n"/>
      <c r="AP182" s="61" t="n"/>
      <c r="AQ182" s="61" t="n"/>
      <c r="AR182" s="61" t="n"/>
      <c r="AS182" s="61" t="n"/>
      <c r="AT182" s="61" t="n"/>
      <c r="AU182" s="61" t="n"/>
      <c r="AV182" s="61" t="n"/>
      <c r="AW182" s="61" t="n"/>
      <c r="AX182" s="61" t="n"/>
      <c r="AY182" s="61" t="n"/>
      <c r="AZ182" s="61" t="n"/>
      <c r="BA182" s="61" t="n"/>
      <c r="BB182" s="61" t="n"/>
      <c r="BC182" s="61" t="n"/>
      <c r="BD182" s="61" t="n"/>
      <c r="BE182" s="61" t="n"/>
      <c r="BF182" s="61" t="n"/>
      <c r="BG182" s="61" t="n"/>
      <c r="BH182" s="61" t="n"/>
      <c r="BI182" s="61" t="n"/>
      <c r="BJ182" s="61" t="n"/>
      <c r="BK182" s="61" t="n"/>
      <c r="BL182" s="61" t="n"/>
      <c r="BM182" s="61" t="n"/>
      <c r="BN182" s="61" t="n"/>
      <c r="BO182" s="61" t="n"/>
      <c r="BP182" s="61" t="n"/>
      <c r="BQ182" s="61" t="n"/>
      <c r="BR182" s="61" t="n"/>
      <c r="BS182" s="61" t="n"/>
      <c r="BT182" s="61" t="n"/>
      <c r="BU182" s="61" t="n"/>
      <c r="BV182" s="61" t="n"/>
      <c r="BW182" s="61" t="n"/>
      <c r="BX182" s="61" t="n"/>
      <c r="BY182" s="61" t="n"/>
      <c r="BZ182" s="61" t="n"/>
      <c r="CA182" s="61" t="n"/>
      <c r="CB182" s="61" t="n"/>
      <c r="CC182" s="61" t="n"/>
      <c r="CD182" s="61" t="n"/>
      <c r="CE182" s="61" t="n"/>
      <c r="CF182" s="61" t="n"/>
      <c r="CG182" s="61" t="n"/>
      <c r="CH182" s="61" t="n"/>
    </row>
    <row r="183" ht="18.75" customHeight="1" s="98">
      <c r="A183" s="5" t="n"/>
      <c r="B183" s="59" t="n"/>
      <c r="C183" s="44" t="n"/>
      <c r="D183" s="59" t="n"/>
      <c r="E183" s="88" t="n"/>
      <c r="F183" s="66" t="n"/>
      <c r="G183" s="59" t="n"/>
      <c r="H183" s="44" t="n"/>
      <c r="I183" s="45" t="n"/>
      <c r="J183" s="59" t="n"/>
      <c r="K183" s="47" t="n"/>
      <c r="L183" s="47" t="n"/>
      <c r="M183" s="47" t="n"/>
      <c r="N183" s="47" t="n"/>
      <c r="O183" s="44" t="n"/>
      <c r="P183" s="62" t="n"/>
      <c r="Q183" s="44" t="n"/>
      <c r="R183" s="66" t="n"/>
      <c r="S183" s="61" t="n"/>
      <c r="T183" s="61" t="n"/>
      <c r="U183" s="61" t="n"/>
      <c r="V183" s="61" t="n"/>
      <c r="W183" s="61" t="n"/>
      <c r="X183" s="61" t="n"/>
      <c r="Y183" s="61" t="n"/>
      <c r="Z183" s="61" t="n"/>
      <c r="AA183" s="61" t="n"/>
      <c r="AB183" s="61" t="n"/>
      <c r="AC183" s="61" t="n"/>
      <c r="AD183" s="61" t="n"/>
      <c r="AE183" s="61" t="n"/>
      <c r="AF183" s="61" t="n"/>
      <c r="AG183" s="61" t="n"/>
      <c r="AH183" s="61" t="n"/>
      <c r="AI183" s="61" t="n"/>
      <c r="AJ183" s="61" t="n"/>
      <c r="AK183" s="61" t="n"/>
      <c r="AL183" s="61" t="n"/>
      <c r="AM183" s="61" t="n"/>
      <c r="AN183" s="61" t="n"/>
      <c r="AO183" s="61" t="n"/>
      <c r="AP183" s="61" t="n"/>
      <c r="AQ183" s="61" t="n"/>
      <c r="AR183" s="61" t="n"/>
      <c r="AS183" s="61" t="n"/>
      <c r="AT183" s="61" t="n"/>
      <c r="AU183" s="61" t="n"/>
      <c r="AV183" s="61" t="n"/>
      <c r="AW183" s="61" t="n"/>
      <c r="AX183" s="61" t="n"/>
      <c r="AY183" s="61" t="n"/>
      <c r="AZ183" s="61" t="n"/>
      <c r="BA183" s="61" t="n"/>
      <c r="BB183" s="61" t="n"/>
      <c r="BC183" s="61" t="n"/>
      <c r="BD183" s="61" t="n"/>
      <c r="BE183" s="61" t="n"/>
      <c r="BF183" s="61" t="n"/>
      <c r="BG183" s="61" t="n"/>
      <c r="BH183" s="61" t="n"/>
      <c r="BI183" s="61" t="n"/>
      <c r="BJ183" s="61" t="n"/>
      <c r="BK183" s="61" t="n"/>
      <c r="BL183" s="61" t="n"/>
      <c r="BM183" s="61" t="n"/>
      <c r="BN183" s="61" t="n"/>
      <c r="BO183" s="61" t="n"/>
      <c r="BP183" s="61" t="n"/>
      <c r="BQ183" s="61" t="n"/>
      <c r="BR183" s="61" t="n"/>
      <c r="BS183" s="61" t="n"/>
      <c r="BT183" s="61" t="n"/>
      <c r="BU183" s="61" t="n"/>
      <c r="BV183" s="61" t="n"/>
      <c r="BW183" s="61" t="n"/>
      <c r="BX183" s="61" t="n"/>
      <c r="BY183" s="61" t="n"/>
      <c r="BZ183" s="61" t="n"/>
      <c r="CA183" s="61" t="n"/>
      <c r="CB183" s="61" t="n"/>
      <c r="CC183" s="61" t="n"/>
      <c r="CD183" s="61" t="n"/>
      <c r="CE183" s="61" t="n"/>
      <c r="CF183" s="61" t="n"/>
      <c r="CG183" s="61" t="n"/>
      <c r="CH183" s="61" t="n"/>
    </row>
    <row r="184" ht="18.75" customHeight="1" s="98">
      <c r="A184" s="5" t="n"/>
      <c r="B184" s="59" t="n"/>
      <c r="C184" s="44" t="n"/>
      <c r="D184" s="59" t="n"/>
      <c r="E184" s="88" t="n"/>
      <c r="F184" s="66" t="n"/>
      <c r="G184" s="59" t="n"/>
      <c r="H184" s="44" t="n"/>
      <c r="I184" s="45" t="n"/>
      <c r="J184" s="59" t="n"/>
      <c r="K184" s="47" t="n"/>
      <c r="L184" s="47" t="n"/>
      <c r="M184" s="47" t="n"/>
      <c r="N184" s="47" t="n"/>
      <c r="O184" s="44" t="n"/>
      <c r="P184" s="62" t="n"/>
      <c r="Q184" s="44" t="n"/>
      <c r="R184" s="66" t="n"/>
      <c r="S184" s="61" t="n"/>
      <c r="T184" s="61" t="n"/>
      <c r="U184" s="61" t="n"/>
      <c r="V184" s="61" t="n"/>
      <c r="W184" s="61" t="n"/>
      <c r="X184" s="61" t="n"/>
      <c r="Y184" s="61" t="n"/>
      <c r="Z184" s="61" t="n"/>
      <c r="AA184" s="61" t="n"/>
      <c r="AB184" s="61" t="n"/>
      <c r="AC184" s="61" t="n"/>
      <c r="AD184" s="61" t="n"/>
      <c r="AE184" s="61" t="n"/>
      <c r="AF184" s="61" t="n"/>
      <c r="AG184" s="61" t="n"/>
      <c r="AH184" s="61" t="n"/>
      <c r="AI184" s="61" t="n"/>
      <c r="AJ184" s="61" t="n"/>
      <c r="AK184" s="61" t="n"/>
      <c r="AL184" s="61" t="n"/>
      <c r="AM184" s="61" t="n"/>
      <c r="AN184" s="61" t="n"/>
      <c r="AO184" s="61" t="n"/>
      <c r="AP184" s="61" t="n"/>
      <c r="AQ184" s="61" t="n"/>
      <c r="AR184" s="61" t="n"/>
      <c r="AS184" s="61" t="n"/>
      <c r="AT184" s="61" t="n"/>
      <c r="AU184" s="61" t="n"/>
      <c r="AV184" s="61" t="n"/>
      <c r="AW184" s="61" t="n"/>
      <c r="AX184" s="61" t="n"/>
      <c r="AY184" s="61" t="n"/>
      <c r="AZ184" s="61" t="n"/>
      <c r="BA184" s="61" t="n"/>
      <c r="BB184" s="61" t="n"/>
      <c r="BC184" s="61" t="n"/>
      <c r="BD184" s="61" t="n"/>
      <c r="BE184" s="61" t="n"/>
      <c r="BF184" s="61" t="n"/>
      <c r="BG184" s="61" t="n"/>
      <c r="BH184" s="61" t="n"/>
      <c r="BI184" s="61" t="n"/>
      <c r="BJ184" s="61" t="n"/>
      <c r="BK184" s="61" t="n"/>
      <c r="BL184" s="61" t="n"/>
      <c r="BM184" s="61" t="n"/>
      <c r="BN184" s="61" t="n"/>
      <c r="BO184" s="61" t="n"/>
      <c r="BP184" s="61" t="n"/>
      <c r="BQ184" s="61" t="n"/>
      <c r="BR184" s="61" t="n"/>
      <c r="BS184" s="61" t="n"/>
      <c r="BT184" s="61" t="n"/>
      <c r="BU184" s="61" t="n"/>
      <c r="BV184" s="61" t="n"/>
      <c r="BW184" s="61" t="n"/>
      <c r="BX184" s="61" t="n"/>
      <c r="BY184" s="61" t="n"/>
      <c r="BZ184" s="61" t="n"/>
      <c r="CA184" s="61" t="n"/>
      <c r="CB184" s="61" t="n"/>
      <c r="CC184" s="61" t="n"/>
      <c r="CD184" s="61" t="n"/>
      <c r="CE184" s="61" t="n"/>
      <c r="CF184" s="61" t="n"/>
      <c r="CG184" s="61" t="n"/>
      <c r="CH184" s="61" t="n"/>
    </row>
    <row r="185" ht="18.75" customHeight="1" s="98">
      <c r="A185" s="5" t="n"/>
      <c r="B185" s="59" t="n"/>
      <c r="C185" s="44" t="n"/>
      <c r="D185" s="59" t="n"/>
      <c r="E185" s="88" t="n"/>
      <c r="F185" s="66" t="n"/>
      <c r="G185" s="59" t="n"/>
      <c r="H185" s="44" t="n"/>
      <c r="I185" s="45" t="n"/>
      <c r="J185" s="59" t="n"/>
      <c r="K185" s="47" t="n"/>
      <c r="L185" s="47" t="n"/>
      <c r="M185" s="47" t="n"/>
      <c r="N185" s="47" t="n"/>
      <c r="O185" s="44" t="n"/>
      <c r="P185" s="62" t="n"/>
      <c r="Q185" s="44" t="n"/>
      <c r="R185" s="66" t="n"/>
      <c r="S185" s="61" t="n"/>
      <c r="T185" s="61" t="n"/>
      <c r="U185" s="61" t="n"/>
      <c r="V185" s="61" t="n"/>
      <c r="W185" s="61" t="n"/>
      <c r="X185" s="61" t="n"/>
      <c r="Y185" s="61" t="n"/>
      <c r="Z185" s="61" t="n"/>
      <c r="AA185" s="61" t="n"/>
      <c r="AB185" s="61" t="n"/>
      <c r="AC185" s="61" t="n"/>
      <c r="AD185" s="61" t="n"/>
      <c r="AE185" s="61" t="n"/>
      <c r="AF185" s="61" t="n"/>
      <c r="AG185" s="61" t="n"/>
      <c r="AH185" s="61" t="n"/>
      <c r="AI185" s="61" t="n"/>
      <c r="AJ185" s="61" t="n"/>
      <c r="AK185" s="61" t="n"/>
      <c r="AL185" s="61" t="n"/>
      <c r="AM185" s="61" t="n"/>
      <c r="AN185" s="61" t="n"/>
      <c r="AO185" s="61" t="n"/>
      <c r="AP185" s="61" t="n"/>
      <c r="AQ185" s="61" t="n"/>
      <c r="AR185" s="61" t="n"/>
      <c r="AS185" s="61" t="n"/>
      <c r="AT185" s="61" t="n"/>
      <c r="AU185" s="61" t="n"/>
      <c r="AV185" s="61" t="n"/>
      <c r="AW185" s="61" t="n"/>
      <c r="AX185" s="61" t="n"/>
      <c r="AY185" s="61" t="n"/>
      <c r="AZ185" s="61" t="n"/>
      <c r="BA185" s="61" t="n"/>
      <c r="BB185" s="61" t="n"/>
      <c r="BC185" s="61" t="n"/>
      <c r="BD185" s="61" t="n"/>
      <c r="BE185" s="61" t="n"/>
      <c r="BF185" s="61" t="n"/>
      <c r="BG185" s="61" t="n"/>
      <c r="BH185" s="61" t="n"/>
      <c r="BI185" s="61" t="n"/>
      <c r="BJ185" s="61" t="n"/>
      <c r="BK185" s="61" t="n"/>
      <c r="BL185" s="61" t="n"/>
      <c r="BM185" s="61" t="n"/>
      <c r="BN185" s="61" t="n"/>
      <c r="BO185" s="61" t="n"/>
      <c r="BP185" s="61" t="n"/>
      <c r="BQ185" s="61" t="n"/>
      <c r="BR185" s="61" t="n"/>
      <c r="BS185" s="61" t="n"/>
      <c r="BT185" s="61" t="n"/>
      <c r="BU185" s="61" t="n"/>
      <c r="BV185" s="61" t="n"/>
      <c r="BW185" s="61" t="n"/>
      <c r="BX185" s="61" t="n"/>
      <c r="BY185" s="61" t="n"/>
      <c r="BZ185" s="61" t="n"/>
      <c r="CA185" s="61" t="n"/>
      <c r="CB185" s="61" t="n"/>
      <c r="CC185" s="61" t="n"/>
      <c r="CD185" s="61" t="n"/>
      <c r="CE185" s="61" t="n"/>
      <c r="CF185" s="61" t="n"/>
      <c r="CG185" s="61" t="n"/>
      <c r="CH185" s="61" t="n"/>
    </row>
    <row r="186" ht="18.75" customHeight="1" s="98">
      <c r="A186" s="5" t="n"/>
      <c r="B186" s="59" t="n"/>
      <c r="C186" s="44" t="n"/>
      <c r="D186" s="59" t="n"/>
      <c r="E186" s="88" t="n"/>
      <c r="F186" s="66" t="n"/>
      <c r="G186" s="59" t="n"/>
      <c r="H186" s="44" t="n"/>
      <c r="I186" s="45" t="n"/>
      <c r="J186" s="59" t="n"/>
      <c r="K186" s="47" t="n"/>
      <c r="L186" s="47" t="n"/>
      <c r="M186" s="47" t="n"/>
      <c r="N186" s="47" t="n"/>
      <c r="O186" s="44" t="n"/>
      <c r="P186" s="62" t="n"/>
      <c r="Q186" s="44" t="n"/>
      <c r="R186" s="66" t="n"/>
      <c r="S186" s="61" t="n"/>
      <c r="T186" s="61" t="n"/>
      <c r="U186" s="61" t="n"/>
      <c r="V186" s="61" t="n"/>
      <c r="W186" s="61" t="n"/>
      <c r="X186" s="61" t="n"/>
      <c r="Y186" s="61" t="n"/>
      <c r="Z186" s="61" t="n"/>
      <c r="AA186" s="61" t="n"/>
      <c r="AB186" s="61" t="n"/>
      <c r="AC186" s="61" t="n"/>
      <c r="AD186" s="61" t="n"/>
      <c r="AE186" s="61" t="n"/>
      <c r="AF186" s="61" t="n"/>
      <c r="AG186" s="61" t="n"/>
      <c r="AH186" s="61" t="n"/>
      <c r="AI186" s="61" t="n"/>
      <c r="AJ186" s="61" t="n"/>
      <c r="AK186" s="61" t="n"/>
      <c r="AL186" s="61" t="n"/>
      <c r="AM186" s="61" t="n"/>
      <c r="AN186" s="61" t="n"/>
      <c r="AO186" s="61" t="n"/>
      <c r="AP186" s="61" t="n"/>
      <c r="AQ186" s="61" t="n"/>
      <c r="AR186" s="61" t="n"/>
      <c r="AS186" s="61" t="n"/>
      <c r="AT186" s="61" t="n"/>
      <c r="AU186" s="61" t="n"/>
      <c r="AV186" s="61" t="n"/>
      <c r="AW186" s="61" t="n"/>
      <c r="AX186" s="61" t="n"/>
      <c r="AY186" s="61" t="n"/>
      <c r="AZ186" s="61" t="n"/>
      <c r="BA186" s="61" t="n"/>
      <c r="BB186" s="61" t="n"/>
      <c r="BC186" s="61" t="n"/>
      <c r="BD186" s="61" t="n"/>
      <c r="BE186" s="61" t="n"/>
      <c r="BF186" s="61" t="n"/>
      <c r="BG186" s="61" t="n"/>
      <c r="BH186" s="61" t="n"/>
      <c r="BI186" s="61" t="n"/>
      <c r="BJ186" s="61" t="n"/>
      <c r="BK186" s="61" t="n"/>
      <c r="BL186" s="61" t="n"/>
      <c r="BM186" s="61" t="n"/>
      <c r="BN186" s="61" t="n"/>
      <c r="BO186" s="61" t="n"/>
      <c r="BP186" s="61" t="n"/>
      <c r="BQ186" s="61" t="n"/>
      <c r="BR186" s="61" t="n"/>
      <c r="BS186" s="61" t="n"/>
      <c r="BT186" s="61" t="n"/>
      <c r="BU186" s="61" t="n"/>
      <c r="BV186" s="61" t="n"/>
      <c r="BW186" s="61" t="n"/>
      <c r="BX186" s="61" t="n"/>
      <c r="BY186" s="61" t="n"/>
      <c r="BZ186" s="61" t="n"/>
      <c r="CA186" s="61" t="n"/>
      <c r="CB186" s="61" t="n"/>
      <c r="CC186" s="61" t="n"/>
      <c r="CD186" s="61" t="n"/>
      <c r="CE186" s="61" t="n"/>
      <c r="CF186" s="61" t="n"/>
      <c r="CG186" s="61" t="n"/>
      <c r="CH186" s="61" t="n"/>
    </row>
    <row r="187" ht="18.75" customHeight="1" s="98">
      <c r="A187" s="5" t="n"/>
      <c r="B187" s="59" t="n"/>
      <c r="C187" s="44" t="n"/>
      <c r="D187" s="59" t="n"/>
      <c r="E187" s="88" t="n"/>
      <c r="F187" s="66" t="n"/>
      <c r="G187" s="59" t="n"/>
      <c r="H187" s="44" t="n"/>
      <c r="I187" s="45" t="n"/>
      <c r="J187" s="59" t="n"/>
      <c r="K187" s="47" t="n"/>
      <c r="L187" s="47" t="n"/>
      <c r="M187" s="47" t="n"/>
      <c r="N187" s="47" t="n"/>
      <c r="O187" s="44" t="n"/>
      <c r="P187" s="62" t="n"/>
      <c r="Q187" s="44" t="n"/>
      <c r="R187" s="66" t="n"/>
      <c r="S187" s="61" t="n"/>
      <c r="T187" s="61" t="n"/>
      <c r="U187" s="61" t="n"/>
      <c r="V187" s="61" t="n"/>
      <c r="W187" s="61" t="n"/>
      <c r="X187" s="61" t="n"/>
      <c r="Y187" s="61" t="n"/>
      <c r="Z187" s="61" t="n"/>
      <c r="AA187" s="61" t="n"/>
      <c r="AB187" s="61" t="n"/>
      <c r="AC187" s="61" t="n"/>
      <c r="AD187" s="61" t="n"/>
      <c r="AE187" s="61" t="n"/>
      <c r="AF187" s="61" t="n"/>
      <c r="AG187" s="61" t="n"/>
      <c r="AH187" s="61" t="n"/>
      <c r="AI187" s="61" t="n"/>
      <c r="AJ187" s="61" t="n"/>
      <c r="AK187" s="61" t="n"/>
      <c r="AL187" s="61" t="n"/>
      <c r="AM187" s="61" t="n"/>
      <c r="AN187" s="61" t="n"/>
      <c r="AO187" s="61" t="n"/>
      <c r="AP187" s="61" t="n"/>
      <c r="AQ187" s="61" t="n"/>
      <c r="AR187" s="61" t="n"/>
      <c r="AS187" s="61" t="n"/>
      <c r="AT187" s="61" t="n"/>
      <c r="AU187" s="61" t="n"/>
      <c r="AV187" s="61" t="n"/>
      <c r="AW187" s="61" t="n"/>
      <c r="AX187" s="61" t="n"/>
      <c r="AY187" s="61" t="n"/>
      <c r="AZ187" s="61" t="n"/>
      <c r="BA187" s="61" t="n"/>
      <c r="BB187" s="61" t="n"/>
      <c r="BC187" s="61" t="n"/>
      <c r="BD187" s="61" t="n"/>
      <c r="BE187" s="61" t="n"/>
      <c r="BF187" s="61" t="n"/>
      <c r="BG187" s="61" t="n"/>
      <c r="BH187" s="61" t="n"/>
      <c r="BI187" s="61" t="n"/>
      <c r="BJ187" s="61" t="n"/>
      <c r="BK187" s="61" t="n"/>
      <c r="BL187" s="61" t="n"/>
      <c r="BM187" s="61" t="n"/>
      <c r="BN187" s="61" t="n"/>
      <c r="BO187" s="61" t="n"/>
      <c r="BP187" s="61" t="n"/>
      <c r="BQ187" s="61" t="n"/>
      <c r="BR187" s="61" t="n"/>
      <c r="BS187" s="61" t="n"/>
      <c r="BT187" s="61" t="n"/>
      <c r="BU187" s="61" t="n"/>
      <c r="BV187" s="61" t="n"/>
      <c r="BW187" s="61" t="n"/>
      <c r="BX187" s="61" t="n"/>
      <c r="BY187" s="61" t="n"/>
      <c r="BZ187" s="61" t="n"/>
      <c r="CA187" s="61" t="n"/>
      <c r="CB187" s="61" t="n"/>
      <c r="CC187" s="61" t="n"/>
      <c r="CD187" s="61" t="n"/>
      <c r="CE187" s="61" t="n"/>
      <c r="CF187" s="61" t="n"/>
      <c r="CG187" s="61" t="n"/>
      <c r="CH187" s="61" t="n"/>
    </row>
    <row r="188" ht="18.75" customHeight="1" s="98">
      <c r="A188" s="5" t="n"/>
      <c r="B188" s="59" t="n"/>
      <c r="C188" s="44" t="n"/>
      <c r="D188" s="59" t="n"/>
      <c r="E188" s="88" t="n"/>
      <c r="F188" s="66" t="n"/>
      <c r="G188" s="59" t="n"/>
      <c r="H188" s="44" t="n"/>
      <c r="I188" s="45" t="n"/>
      <c r="J188" s="59" t="n"/>
      <c r="K188" s="47" t="n"/>
      <c r="L188" s="47" t="n"/>
      <c r="M188" s="47" t="n"/>
      <c r="N188" s="47" t="n"/>
      <c r="O188" s="44" t="n"/>
      <c r="P188" s="62" t="n"/>
      <c r="Q188" s="59" t="n"/>
      <c r="R188" s="66" t="n"/>
      <c r="S188" s="61" t="n"/>
      <c r="T188" s="61" t="n"/>
      <c r="U188" s="61" t="n"/>
      <c r="V188" s="61" t="n"/>
      <c r="W188" s="61" t="n"/>
      <c r="X188" s="61" t="n"/>
      <c r="Y188" s="61" t="n"/>
      <c r="Z188" s="61" t="n"/>
      <c r="AA188" s="61" t="n"/>
      <c r="AB188" s="61" t="n"/>
      <c r="AC188" s="61" t="n"/>
      <c r="AD188" s="61" t="n"/>
      <c r="AE188" s="61" t="n"/>
      <c r="AF188" s="61" t="n"/>
      <c r="AG188" s="61" t="n"/>
      <c r="AH188" s="61" t="n"/>
      <c r="AI188" s="61" t="n"/>
      <c r="AJ188" s="61" t="n"/>
      <c r="AK188" s="61" t="n"/>
      <c r="AL188" s="61" t="n"/>
      <c r="AM188" s="61" t="n"/>
      <c r="AN188" s="61" t="n"/>
      <c r="AO188" s="61" t="n"/>
      <c r="AP188" s="61" t="n"/>
      <c r="AQ188" s="61" t="n"/>
      <c r="AR188" s="61" t="n"/>
      <c r="AS188" s="61" t="n"/>
      <c r="AT188" s="61" t="n"/>
      <c r="AU188" s="61" t="n"/>
      <c r="AV188" s="61" t="n"/>
      <c r="AW188" s="61" t="n"/>
      <c r="AX188" s="61" t="n"/>
      <c r="AY188" s="61" t="n"/>
      <c r="AZ188" s="61" t="n"/>
      <c r="BA188" s="61" t="n"/>
      <c r="BB188" s="61" t="n"/>
      <c r="BC188" s="61" t="n"/>
      <c r="BD188" s="61" t="n"/>
      <c r="BE188" s="61" t="n"/>
      <c r="BF188" s="61" t="n"/>
      <c r="BG188" s="61" t="n"/>
      <c r="BH188" s="61" t="n"/>
      <c r="BI188" s="61" t="n"/>
      <c r="BJ188" s="61" t="n"/>
      <c r="BK188" s="61" t="n"/>
      <c r="BL188" s="61" t="n"/>
      <c r="BM188" s="61" t="n"/>
      <c r="BN188" s="61" t="n"/>
      <c r="BO188" s="61" t="n"/>
      <c r="BP188" s="61" t="n"/>
      <c r="BQ188" s="61" t="n"/>
      <c r="BR188" s="61" t="n"/>
      <c r="BS188" s="61" t="n"/>
      <c r="BT188" s="61" t="n"/>
      <c r="BU188" s="61" t="n"/>
      <c r="BV188" s="61" t="n"/>
      <c r="BW188" s="61" t="n"/>
      <c r="BX188" s="61" t="n"/>
      <c r="BY188" s="61" t="n"/>
      <c r="BZ188" s="61" t="n"/>
      <c r="CA188" s="61" t="n"/>
      <c r="CB188" s="61" t="n"/>
      <c r="CC188" s="61" t="n"/>
      <c r="CD188" s="61" t="n"/>
      <c r="CE188" s="61" t="n"/>
      <c r="CF188" s="61" t="n"/>
      <c r="CG188" s="61" t="n"/>
      <c r="CH188" s="61" t="n"/>
    </row>
    <row r="189" ht="18.75" customHeight="1" s="98">
      <c r="A189" s="5" t="n"/>
      <c r="B189" s="59" t="n"/>
      <c r="C189" s="44" t="n"/>
      <c r="D189" s="59" t="n"/>
      <c r="E189" s="88" t="n"/>
      <c r="F189" s="66" t="n"/>
      <c r="G189" s="59" t="n"/>
      <c r="H189" s="44" t="n"/>
      <c r="I189" s="45" t="n"/>
      <c r="J189" s="59" t="n"/>
      <c r="K189" s="47" t="n"/>
      <c r="L189" s="47" t="n"/>
      <c r="M189" s="47" t="n"/>
      <c r="N189" s="47" t="n"/>
      <c r="O189" s="44" t="n"/>
      <c r="P189" s="62" t="n"/>
      <c r="Q189" s="44" t="n"/>
      <c r="R189" s="66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  <c r="AQ189" s="61" t="n"/>
      <c r="AR189" s="61" t="n"/>
      <c r="AS189" s="61" t="n"/>
      <c r="AT189" s="61" t="n"/>
      <c r="AU189" s="61" t="n"/>
      <c r="AV189" s="61" t="n"/>
      <c r="AW189" s="61" t="n"/>
      <c r="AX189" s="61" t="n"/>
      <c r="AY189" s="61" t="n"/>
      <c r="AZ189" s="61" t="n"/>
      <c r="BA189" s="61" t="n"/>
      <c r="BB189" s="61" t="n"/>
      <c r="BC189" s="61" t="n"/>
      <c r="BD189" s="61" t="n"/>
      <c r="BE189" s="61" t="n"/>
      <c r="BF189" s="61" t="n"/>
      <c r="BG189" s="61" t="n"/>
      <c r="BH189" s="61" t="n"/>
      <c r="BI189" s="61" t="n"/>
      <c r="BJ189" s="61" t="n"/>
      <c r="BK189" s="61" t="n"/>
      <c r="BL189" s="61" t="n"/>
      <c r="BM189" s="61" t="n"/>
      <c r="BN189" s="61" t="n"/>
      <c r="BO189" s="61" t="n"/>
      <c r="BP189" s="61" t="n"/>
      <c r="BQ189" s="61" t="n"/>
      <c r="BR189" s="61" t="n"/>
      <c r="BS189" s="61" t="n"/>
      <c r="BT189" s="61" t="n"/>
      <c r="BU189" s="61" t="n"/>
      <c r="BV189" s="61" t="n"/>
      <c r="BW189" s="61" t="n"/>
      <c r="BX189" s="61" t="n"/>
      <c r="BY189" s="61" t="n"/>
      <c r="BZ189" s="61" t="n"/>
      <c r="CA189" s="61" t="n"/>
      <c r="CB189" s="61" t="n"/>
      <c r="CC189" s="61" t="n"/>
      <c r="CD189" s="61" t="n"/>
      <c r="CE189" s="61" t="n"/>
      <c r="CF189" s="61" t="n"/>
      <c r="CG189" s="61" t="n"/>
      <c r="CH189" s="61" t="n"/>
    </row>
    <row r="190" ht="18.75" customHeight="1" s="98">
      <c r="A190" s="5" t="n"/>
      <c r="B190" s="59" t="n"/>
      <c r="C190" s="44" t="n"/>
      <c r="D190" s="59" t="n"/>
      <c r="E190" s="88" t="n"/>
      <c r="F190" s="66" t="n"/>
      <c r="G190" s="59" t="n"/>
      <c r="H190" s="44" t="n"/>
      <c r="I190" s="45" t="n"/>
      <c r="J190" s="59" t="n"/>
      <c r="K190" s="47" t="n"/>
      <c r="L190" s="47" t="n"/>
      <c r="M190" s="47" t="n"/>
      <c r="N190" s="47" t="n"/>
      <c r="O190" s="44" t="n"/>
      <c r="P190" s="62" t="n"/>
      <c r="Q190" s="44" t="n"/>
      <c r="R190" s="66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  <c r="AQ190" s="61" t="n"/>
      <c r="AR190" s="61" t="n"/>
      <c r="AS190" s="61" t="n"/>
      <c r="AT190" s="61" t="n"/>
      <c r="AU190" s="61" t="n"/>
      <c r="AV190" s="61" t="n"/>
      <c r="AW190" s="61" t="n"/>
      <c r="AX190" s="61" t="n"/>
      <c r="AY190" s="61" t="n"/>
      <c r="AZ190" s="61" t="n"/>
      <c r="BA190" s="61" t="n"/>
      <c r="BB190" s="61" t="n"/>
      <c r="BC190" s="61" t="n"/>
      <c r="BD190" s="61" t="n"/>
      <c r="BE190" s="61" t="n"/>
      <c r="BF190" s="61" t="n"/>
      <c r="BG190" s="61" t="n"/>
      <c r="BH190" s="61" t="n"/>
      <c r="BI190" s="61" t="n"/>
      <c r="BJ190" s="61" t="n"/>
      <c r="BK190" s="61" t="n"/>
      <c r="BL190" s="61" t="n"/>
      <c r="BM190" s="61" t="n"/>
      <c r="BN190" s="61" t="n"/>
      <c r="BO190" s="61" t="n"/>
      <c r="BP190" s="61" t="n"/>
      <c r="BQ190" s="61" t="n"/>
      <c r="BR190" s="61" t="n"/>
      <c r="BS190" s="61" t="n"/>
      <c r="BT190" s="61" t="n"/>
      <c r="BU190" s="61" t="n"/>
      <c r="BV190" s="61" t="n"/>
      <c r="BW190" s="61" t="n"/>
      <c r="BX190" s="61" t="n"/>
      <c r="BY190" s="61" t="n"/>
      <c r="BZ190" s="61" t="n"/>
      <c r="CA190" s="61" t="n"/>
      <c r="CB190" s="61" t="n"/>
      <c r="CC190" s="61" t="n"/>
      <c r="CD190" s="61" t="n"/>
      <c r="CE190" s="61" t="n"/>
      <c r="CF190" s="61" t="n"/>
      <c r="CG190" s="61" t="n"/>
      <c r="CH190" s="61" t="n"/>
    </row>
    <row r="191" ht="18.75" customHeight="1" s="98">
      <c r="A191" s="5" t="n"/>
      <c r="B191" s="59" t="n"/>
      <c r="C191" s="44" t="n"/>
      <c r="D191" s="59" t="n"/>
      <c r="E191" s="88" t="n"/>
      <c r="F191" s="66" t="n"/>
      <c r="G191" s="59" t="n"/>
      <c r="H191" s="44" t="n"/>
      <c r="I191" s="45" t="n"/>
      <c r="J191" s="59" t="n"/>
      <c r="K191" s="47" t="n"/>
      <c r="L191" s="47" t="n"/>
      <c r="M191" s="47" t="n"/>
      <c r="N191" s="47" t="n"/>
      <c r="O191" s="44" t="n"/>
      <c r="P191" s="62" t="n"/>
      <c r="Q191" s="44" t="n"/>
      <c r="R191" s="66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  <c r="AQ191" s="61" t="n"/>
      <c r="AR191" s="61" t="n"/>
      <c r="AS191" s="61" t="n"/>
      <c r="AT191" s="61" t="n"/>
      <c r="AU191" s="61" t="n"/>
      <c r="AV191" s="61" t="n"/>
      <c r="AW191" s="61" t="n"/>
      <c r="AX191" s="61" t="n"/>
      <c r="AY191" s="61" t="n"/>
      <c r="AZ191" s="61" t="n"/>
      <c r="BA191" s="61" t="n"/>
      <c r="BB191" s="61" t="n"/>
      <c r="BC191" s="61" t="n"/>
      <c r="BD191" s="61" t="n"/>
      <c r="BE191" s="61" t="n"/>
      <c r="BF191" s="61" t="n"/>
      <c r="BG191" s="61" t="n"/>
      <c r="BH191" s="61" t="n"/>
      <c r="BI191" s="61" t="n"/>
      <c r="BJ191" s="61" t="n"/>
      <c r="BK191" s="61" t="n"/>
      <c r="BL191" s="61" t="n"/>
      <c r="BM191" s="61" t="n"/>
      <c r="BN191" s="61" t="n"/>
      <c r="BO191" s="61" t="n"/>
      <c r="BP191" s="61" t="n"/>
      <c r="BQ191" s="61" t="n"/>
      <c r="BR191" s="61" t="n"/>
      <c r="BS191" s="61" t="n"/>
      <c r="BT191" s="61" t="n"/>
      <c r="BU191" s="61" t="n"/>
      <c r="BV191" s="61" t="n"/>
      <c r="BW191" s="61" t="n"/>
      <c r="BX191" s="61" t="n"/>
      <c r="BY191" s="61" t="n"/>
      <c r="BZ191" s="61" t="n"/>
      <c r="CA191" s="61" t="n"/>
      <c r="CB191" s="61" t="n"/>
      <c r="CC191" s="61" t="n"/>
      <c r="CD191" s="61" t="n"/>
      <c r="CE191" s="61" t="n"/>
      <c r="CF191" s="61" t="n"/>
      <c r="CG191" s="61" t="n"/>
      <c r="CH191" s="61" t="n"/>
    </row>
    <row r="192" ht="18.75" customHeight="1" s="98">
      <c r="A192" s="5" t="n"/>
      <c r="B192" s="59" t="n"/>
      <c r="C192" s="44" t="n"/>
      <c r="D192" s="59" t="n"/>
      <c r="E192" s="88" t="n"/>
      <c r="F192" s="66" t="n"/>
      <c r="G192" s="59" t="n"/>
      <c r="H192" s="44" t="n"/>
      <c r="I192" s="45" t="n"/>
      <c r="J192" s="59" t="n"/>
      <c r="K192" s="47" t="n"/>
      <c r="L192" s="47" t="n"/>
      <c r="M192" s="47" t="n"/>
      <c r="N192" s="47" t="n"/>
      <c r="O192" s="44" t="n"/>
      <c r="P192" s="62" t="n"/>
      <c r="Q192" s="59" t="n"/>
      <c r="R192" s="66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1" t="n"/>
      <c r="BM192" s="61" t="n"/>
      <c r="BN192" s="61" t="n"/>
      <c r="BO192" s="61" t="n"/>
      <c r="BP192" s="61" t="n"/>
      <c r="BQ192" s="61" t="n"/>
      <c r="BR192" s="61" t="n"/>
      <c r="BS192" s="61" t="n"/>
      <c r="BT192" s="61" t="n"/>
      <c r="BU192" s="61" t="n"/>
      <c r="BV192" s="61" t="n"/>
      <c r="BW192" s="61" t="n"/>
      <c r="BX192" s="61" t="n"/>
      <c r="BY192" s="61" t="n"/>
      <c r="BZ192" s="61" t="n"/>
      <c r="CA192" s="61" t="n"/>
      <c r="CB192" s="61" t="n"/>
      <c r="CC192" s="61" t="n"/>
      <c r="CD192" s="61" t="n"/>
      <c r="CE192" s="61" t="n"/>
      <c r="CF192" s="61" t="n"/>
      <c r="CG192" s="61" t="n"/>
      <c r="CH192" s="61" t="n"/>
    </row>
    <row r="193" ht="18.75" customHeight="1" s="98">
      <c r="A193" s="5" t="n"/>
      <c r="B193" s="59" t="n"/>
      <c r="C193" s="44" t="n"/>
      <c r="D193" s="59" t="n"/>
      <c r="E193" s="88" t="n"/>
      <c r="F193" s="66" t="n"/>
      <c r="G193" s="59" t="n"/>
      <c r="H193" s="44" t="n"/>
      <c r="I193" s="45" t="n"/>
      <c r="J193" s="59" t="n"/>
      <c r="K193" s="47" t="n"/>
      <c r="L193" s="47" t="n"/>
      <c r="M193" s="47" t="n"/>
      <c r="N193" s="47" t="n"/>
      <c r="O193" s="44" t="n"/>
      <c r="P193" s="62" t="n"/>
      <c r="Q193" s="59" t="n"/>
      <c r="R193" s="66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1" t="n"/>
      <c r="BM193" s="61" t="n"/>
      <c r="BN193" s="61" t="n"/>
      <c r="BO193" s="61" t="n"/>
      <c r="BP193" s="61" t="n"/>
      <c r="BQ193" s="61" t="n"/>
      <c r="BR193" s="61" t="n"/>
      <c r="BS193" s="61" t="n"/>
      <c r="BT193" s="61" t="n"/>
      <c r="BU193" s="61" t="n"/>
      <c r="BV193" s="61" t="n"/>
      <c r="BW193" s="61" t="n"/>
      <c r="BX193" s="61" t="n"/>
      <c r="BY193" s="61" t="n"/>
      <c r="BZ193" s="61" t="n"/>
      <c r="CA193" s="61" t="n"/>
      <c r="CB193" s="61" t="n"/>
      <c r="CC193" s="61" t="n"/>
      <c r="CD193" s="61" t="n"/>
      <c r="CE193" s="61" t="n"/>
      <c r="CF193" s="61" t="n"/>
      <c r="CG193" s="61" t="n"/>
      <c r="CH193" s="61" t="n"/>
    </row>
    <row r="194" ht="18.75" customHeight="1" s="98">
      <c r="A194" s="5" t="n"/>
      <c r="B194" s="59" t="n"/>
      <c r="C194" s="44" t="n"/>
      <c r="D194" s="59" t="n"/>
      <c r="E194" s="88" t="n"/>
      <c r="F194" s="66" t="n"/>
      <c r="G194" s="59" t="n"/>
      <c r="H194" s="44" t="n"/>
      <c r="I194" s="45" t="n"/>
      <c r="J194" s="59" t="n"/>
      <c r="K194" s="47" t="n"/>
      <c r="L194" s="47" t="n"/>
      <c r="M194" s="47" t="n"/>
      <c r="N194" s="47" t="n"/>
      <c r="O194" s="44" t="n"/>
      <c r="P194" s="62" t="n"/>
      <c r="Q194" s="59" t="n"/>
      <c r="R194" s="66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1" t="n"/>
      <c r="BM194" s="61" t="n"/>
      <c r="BN194" s="61" t="n"/>
      <c r="BO194" s="61" t="n"/>
      <c r="BP194" s="61" t="n"/>
      <c r="BQ194" s="61" t="n"/>
      <c r="BR194" s="61" t="n"/>
      <c r="BS194" s="61" t="n"/>
      <c r="BT194" s="61" t="n"/>
      <c r="BU194" s="61" t="n"/>
      <c r="BV194" s="61" t="n"/>
      <c r="BW194" s="61" t="n"/>
      <c r="BX194" s="61" t="n"/>
      <c r="BY194" s="61" t="n"/>
      <c r="BZ194" s="61" t="n"/>
      <c r="CA194" s="61" t="n"/>
      <c r="CB194" s="61" t="n"/>
      <c r="CC194" s="61" t="n"/>
      <c r="CD194" s="61" t="n"/>
      <c r="CE194" s="61" t="n"/>
      <c r="CF194" s="61" t="n"/>
      <c r="CG194" s="61" t="n"/>
      <c r="CH194" s="61" t="n"/>
    </row>
    <row r="195" ht="18.75" customHeight="1" s="98">
      <c r="A195" s="5" t="n"/>
      <c r="B195" s="59" t="n"/>
      <c r="C195" s="44" t="n"/>
      <c r="D195" s="59" t="n"/>
      <c r="E195" s="88" t="n"/>
      <c r="F195" s="66" t="n"/>
      <c r="G195" s="59" t="n"/>
      <c r="H195" s="44" t="n"/>
      <c r="I195" s="45" t="n"/>
      <c r="J195" s="59" t="n"/>
      <c r="K195" s="47" t="n"/>
      <c r="L195" s="47" t="n"/>
      <c r="M195" s="47" t="n"/>
      <c r="N195" s="47" t="n"/>
      <c r="O195" s="44" t="n"/>
      <c r="P195" s="62" t="n"/>
      <c r="Q195" s="59" t="n"/>
      <c r="R195" s="66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1" t="n"/>
      <c r="BM195" s="61" t="n"/>
      <c r="BN195" s="61" t="n"/>
      <c r="BO195" s="61" t="n"/>
      <c r="BP195" s="61" t="n"/>
      <c r="BQ195" s="61" t="n"/>
      <c r="BR195" s="61" t="n"/>
      <c r="BS195" s="61" t="n"/>
      <c r="BT195" s="61" t="n"/>
      <c r="BU195" s="61" t="n"/>
      <c r="BV195" s="61" t="n"/>
      <c r="BW195" s="61" t="n"/>
      <c r="BX195" s="61" t="n"/>
      <c r="BY195" s="61" t="n"/>
      <c r="BZ195" s="61" t="n"/>
      <c r="CA195" s="61" t="n"/>
      <c r="CB195" s="61" t="n"/>
      <c r="CC195" s="61" t="n"/>
      <c r="CD195" s="61" t="n"/>
      <c r="CE195" s="61" t="n"/>
      <c r="CF195" s="61" t="n"/>
      <c r="CG195" s="61" t="n"/>
      <c r="CH195" s="61" t="n"/>
    </row>
    <row r="196" ht="18.75" customHeight="1" s="98">
      <c r="A196" s="5" t="n"/>
      <c r="B196" s="59" t="n"/>
      <c r="C196" s="44" t="n"/>
      <c r="D196" s="59" t="n"/>
      <c r="E196" s="88" t="n"/>
      <c r="F196" s="66" t="n"/>
      <c r="G196" s="59" t="n"/>
      <c r="H196" s="44" t="n"/>
      <c r="I196" s="45" t="n"/>
      <c r="J196" s="59" t="n"/>
      <c r="K196" s="47" t="n"/>
      <c r="L196" s="47" t="n"/>
      <c r="M196" s="47" t="n"/>
      <c r="N196" s="47" t="n"/>
      <c r="O196" s="44" t="n"/>
      <c r="P196" s="62" t="n"/>
      <c r="Q196" s="44" t="n"/>
      <c r="R196" s="66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1" t="n"/>
      <c r="BM196" s="61" t="n"/>
      <c r="BN196" s="61" t="n"/>
      <c r="BO196" s="61" t="n"/>
      <c r="BP196" s="61" t="n"/>
      <c r="BQ196" s="61" t="n"/>
      <c r="BR196" s="61" t="n"/>
      <c r="BS196" s="61" t="n"/>
      <c r="BT196" s="61" t="n"/>
      <c r="BU196" s="61" t="n"/>
      <c r="BV196" s="61" t="n"/>
      <c r="BW196" s="61" t="n"/>
      <c r="BX196" s="61" t="n"/>
      <c r="BY196" s="61" t="n"/>
      <c r="BZ196" s="61" t="n"/>
      <c r="CA196" s="61" t="n"/>
      <c r="CB196" s="61" t="n"/>
      <c r="CC196" s="61" t="n"/>
      <c r="CD196" s="61" t="n"/>
      <c r="CE196" s="61" t="n"/>
      <c r="CF196" s="61" t="n"/>
      <c r="CG196" s="61" t="n"/>
      <c r="CH196" s="61" t="n"/>
    </row>
    <row r="197" ht="18.75" customHeight="1" s="98">
      <c r="A197" s="5" t="n"/>
      <c r="B197" s="59" t="n"/>
      <c r="C197" s="44" t="n"/>
      <c r="D197" s="59" t="n"/>
      <c r="E197" s="88" t="n"/>
      <c r="F197" s="66" t="n"/>
      <c r="G197" s="59" t="n"/>
      <c r="H197" s="44" t="n"/>
      <c r="I197" s="45" t="n"/>
      <c r="J197" s="59" t="n"/>
      <c r="K197" s="47" t="n"/>
      <c r="L197" s="47" t="n"/>
      <c r="M197" s="47" t="n"/>
      <c r="N197" s="47" t="n"/>
      <c r="O197" s="44" t="n"/>
      <c r="P197" s="62" t="n"/>
      <c r="Q197" s="44" t="n"/>
      <c r="R197" s="66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1" t="n"/>
      <c r="BM197" s="61" t="n"/>
      <c r="BN197" s="61" t="n"/>
      <c r="BO197" s="61" t="n"/>
      <c r="BP197" s="61" t="n"/>
      <c r="BQ197" s="61" t="n"/>
      <c r="BR197" s="61" t="n"/>
      <c r="BS197" s="61" t="n"/>
      <c r="BT197" s="61" t="n"/>
      <c r="BU197" s="61" t="n"/>
      <c r="BV197" s="61" t="n"/>
      <c r="BW197" s="61" t="n"/>
      <c r="BX197" s="61" t="n"/>
      <c r="BY197" s="61" t="n"/>
      <c r="BZ197" s="61" t="n"/>
      <c r="CA197" s="61" t="n"/>
      <c r="CB197" s="61" t="n"/>
      <c r="CC197" s="61" t="n"/>
      <c r="CD197" s="61" t="n"/>
      <c r="CE197" s="61" t="n"/>
      <c r="CF197" s="61" t="n"/>
      <c r="CG197" s="61" t="n"/>
      <c r="CH197" s="61" t="n"/>
    </row>
    <row r="198" ht="18.75" customHeight="1" s="98">
      <c r="A198" s="5" t="n"/>
      <c r="B198" s="59" t="n"/>
      <c r="C198" s="44" t="n"/>
      <c r="D198" s="59" t="n"/>
      <c r="E198" s="88" t="n"/>
      <c r="F198" s="66" t="n"/>
      <c r="G198" s="59" t="n"/>
      <c r="H198" s="44" t="n"/>
      <c r="I198" s="45" t="n"/>
      <c r="J198" s="59" t="n"/>
      <c r="K198" s="47" t="n"/>
      <c r="L198" s="47" t="n"/>
      <c r="M198" s="47" t="n"/>
      <c r="N198" s="47" t="n"/>
      <c r="O198" s="44" t="n"/>
      <c r="P198" s="62" t="n"/>
      <c r="Q198" s="59" t="n"/>
      <c r="R198" s="66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1" t="n"/>
      <c r="BM198" s="61" t="n"/>
      <c r="BN198" s="61" t="n"/>
      <c r="BO198" s="61" t="n"/>
      <c r="BP198" s="61" t="n"/>
      <c r="BQ198" s="61" t="n"/>
      <c r="BR198" s="61" t="n"/>
      <c r="BS198" s="61" t="n"/>
      <c r="BT198" s="61" t="n"/>
      <c r="BU198" s="61" t="n"/>
      <c r="BV198" s="61" t="n"/>
      <c r="BW198" s="61" t="n"/>
      <c r="BX198" s="61" t="n"/>
      <c r="BY198" s="61" t="n"/>
      <c r="BZ198" s="61" t="n"/>
      <c r="CA198" s="61" t="n"/>
      <c r="CB198" s="61" t="n"/>
      <c r="CC198" s="61" t="n"/>
      <c r="CD198" s="61" t="n"/>
      <c r="CE198" s="61" t="n"/>
      <c r="CF198" s="61" t="n"/>
      <c r="CG198" s="61" t="n"/>
      <c r="CH198" s="61" t="n"/>
    </row>
    <row r="199" ht="18.75" customHeight="1" s="98">
      <c r="A199" s="5" t="n"/>
      <c r="B199" s="59" t="n"/>
      <c r="C199" s="44" t="n"/>
      <c r="D199" s="59" t="n"/>
      <c r="E199" s="88" t="n"/>
      <c r="F199" s="66" t="n"/>
      <c r="G199" s="59" t="n"/>
      <c r="H199" s="44" t="n"/>
      <c r="I199" s="45" t="n"/>
      <c r="J199" s="59" t="n"/>
      <c r="K199" s="47" t="n"/>
      <c r="L199" s="47" t="n"/>
      <c r="M199" s="47" t="n"/>
      <c r="N199" s="47" t="n"/>
      <c r="O199" s="44" t="n"/>
      <c r="P199" s="62" t="n"/>
      <c r="Q199" s="44" t="n"/>
      <c r="R199" s="66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1" t="n"/>
      <c r="BM199" s="61" t="n"/>
      <c r="BN199" s="61" t="n"/>
      <c r="BO199" s="61" t="n"/>
      <c r="BP199" s="61" t="n"/>
      <c r="BQ199" s="61" t="n"/>
      <c r="BR199" s="61" t="n"/>
      <c r="BS199" s="61" t="n"/>
      <c r="BT199" s="61" t="n"/>
      <c r="BU199" s="61" t="n"/>
      <c r="BV199" s="61" t="n"/>
      <c r="BW199" s="61" t="n"/>
      <c r="BX199" s="61" t="n"/>
      <c r="BY199" s="61" t="n"/>
      <c r="BZ199" s="61" t="n"/>
      <c r="CA199" s="61" t="n"/>
      <c r="CB199" s="61" t="n"/>
      <c r="CC199" s="61" t="n"/>
      <c r="CD199" s="61" t="n"/>
      <c r="CE199" s="61" t="n"/>
      <c r="CF199" s="61" t="n"/>
      <c r="CG199" s="61" t="n"/>
      <c r="CH199" s="61" t="n"/>
    </row>
    <row r="200" ht="18.75" customHeight="1" s="98">
      <c r="A200" s="5" t="n"/>
      <c r="B200" s="59" t="n"/>
      <c r="C200" s="44" t="n"/>
      <c r="D200" s="59" t="n"/>
      <c r="E200" s="88" t="n"/>
      <c r="F200" s="66" t="n"/>
      <c r="G200" s="59" t="n"/>
      <c r="H200" s="44" t="n"/>
      <c r="I200" s="45" t="n"/>
      <c r="J200" s="59" t="n"/>
      <c r="K200" s="47" t="n"/>
      <c r="L200" s="47" t="n"/>
      <c r="M200" s="47" t="n"/>
      <c r="N200" s="47" t="n"/>
      <c r="O200" s="44" t="n"/>
      <c r="P200" s="62" t="n"/>
      <c r="Q200" s="44" t="n"/>
      <c r="R200" s="66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1" t="n"/>
      <c r="BM200" s="61" t="n"/>
      <c r="BN200" s="61" t="n"/>
      <c r="BO200" s="61" t="n"/>
      <c r="BP200" s="61" t="n"/>
      <c r="BQ200" s="61" t="n"/>
      <c r="BR200" s="61" t="n"/>
      <c r="BS200" s="61" t="n"/>
      <c r="BT200" s="61" t="n"/>
      <c r="BU200" s="61" t="n"/>
      <c r="BV200" s="61" t="n"/>
      <c r="BW200" s="61" t="n"/>
      <c r="BX200" s="61" t="n"/>
      <c r="BY200" s="61" t="n"/>
      <c r="BZ200" s="61" t="n"/>
      <c r="CA200" s="61" t="n"/>
      <c r="CB200" s="61" t="n"/>
      <c r="CC200" s="61" t="n"/>
      <c r="CD200" s="61" t="n"/>
      <c r="CE200" s="61" t="n"/>
      <c r="CF200" s="61" t="n"/>
      <c r="CG200" s="61" t="n"/>
      <c r="CH200" s="61" t="n"/>
    </row>
    <row r="201" ht="18.75" customHeight="1" s="98">
      <c r="A201" s="5" t="n"/>
      <c r="B201" s="59" t="n"/>
      <c r="C201" s="44" t="n"/>
      <c r="D201" s="59" t="n"/>
      <c r="E201" s="88" t="n"/>
      <c r="F201" s="66" t="n"/>
      <c r="G201" s="59" t="n"/>
      <c r="H201" s="44" t="n"/>
      <c r="I201" s="45" t="n"/>
      <c r="J201" s="59" t="n"/>
      <c r="K201" s="47" t="n"/>
      <c r="L201" s="47" t="n"/>
      <c r="M201" s="47" t="n"/>
      <c r="N201" s="47" t="n"/>
      <c r="O201" s="44" t="n"/>
      <c r="P201" s="62" t="n"/>
      <c r="Q201" s="59" t="n"/>
      <c r="R201" s="66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1" t="n"/>
      <c r="BM201" s="61" t="n"/>
      <c r="BN201" s="61" t="n"/>
      <c r="BO201" s="61" t="n"/>
      <c r="BP201" s="61" t="n"/>
      <c r="BQ201" s="61" t="n"/>
      <c r="BR201" s="61" t="n"/>
      <c r="BS201" s="61" t="n"/>
      <c r="BT201" s="61" t="n"/>
      <c r="BU201" s="61" t="n"/>
      <c r="BV201" s="61" t="n"/>
      <c r="BW201" s="61" t="n"/>
      <c r="BX201" s="61" t="n"/>
      <c r="BY201" s="61" t="n"/>
      <c r="BZ201" s="61" t="n"/>
      <c r="CA201" s="61" t="n"/>
      <c r="CB201" s="61" t="n"/>
      <c r="CC201" s="61" t="n"/>
      <c r="CD201" s="61" t="n"/>
      <c r="CE201" s="61" t="n"/>
      <c r="CF201" s="61" t="n"/>
      <c r="CG201" s="61" t="n"/>
      <c r="CH201" s="61" t="n"/>
    </row>
    <row r="202" ht="18.75" customHeight="1" s="98">
      <c r="A202" s="5" t="n"/>
      <c r="B202" s="59" t="n"/>
      <c r="C202" s="44" t="n"/>
      <c r="D202" s="59" t="n"/>
      <c r="E202" s="88" t="n"/>
      <c r="F202" s="66" t="n"/>
      <c r="G202" s="59" t="n"/>
      <c r="H202" s="44" t="n"/>
      <c r="I202" s="45" t="n"/>
      <c r="J202" s="59" t="n"/>
      <c r="K202" s="47" t="n"/>
      <c r="L202" s="47" t="n"/>
      <c r="M202" s="47" t="n"/>
      <c r="N202" s="47" t="n"/>
      <c r="O202" s="44" t="n"/>
      <c r="P202" s="62" t="n"/>
      <c r="Q202" s="44" t="n"/>
      <c r="R202" s="66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1" t="n"/>
      <c r="BM202" s="61" t="n"/>
      <c r="BN202" s="61" t="n"/>
      <c r="BO202" s="61" t="n"/>
      <c r="BP202" s="61" t="n"/>
      <c r="BQ202" s="61" t="n"/>
      <c r="BR202" s="61" t="n"/>
      <c r="BS202" s="61" t="n"/>
      <c r="BT202" s="61" t="n"/>
      <c r="BU202" s="61" t="n"/>
      <c r="BV202" s="61" t="n"/>
      <c r="BW202" s="61" t="n"/>
      <c r="BX202" s="61" t="n"/>
      <c r="BY202" s="61" t="n"/>
      <c r="BZ202" s="61" t="n"/>
      <c r="CA202" s="61" t="n"/>
      <c r="CB202" s="61" t="n"/>
      <c r="CC202" s="61" t="n"/>
      <c r="CD202" s="61" t="n"/>
      <c r="CE202" s="61" t="n"/>
      <c r="CF202" s="61" t="n"/>
      <c r="CG202" s="61" t="n"/>
      <c r="CH202" s="61" t="n"/>
    </row>
    <row r="203" ht="18.75" customHeight="1" s="98">
      <c r="A203" s="5" t="n"/>
      <c r="B203" s="59" t="n"/>
      <c r="C203" s="44" t="n"/>
      <c r="D203" s="59" t="n"/>
      <c r="E203" s="88" t="n"/>
      <c r="F203" s="66" t="n"/>
      <c r="G203" s="59" t="n"/>
      <c r="H203" s="44" t="n"/>
      <c r="I203" s="45" t="n"/>
      <c r="J203" s="59" t="n"/>
      <c r="K203" s="47" t="n"/>
      <c r="L203" s="47" t="n"/>
      <c r="M203" s="47" t="n"/>
      <c r="N203" s="47" t="n"/>
      <c r="O203" s="44" t="n"/>
      <c r="P203" s="62" t="n"/>
      <c r="Q203" s="44" t="n"/>
      <c r="R203" s="66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1" t="n"/>
      <c r="BM203" s="61" t="n"/>
      <c r="BN203" s="61" t="n"/>
      <c r="BO203" s="61" t="n"/>
      <c r="BP203" s="61" t="n"/>
      <c r="BQ203" s="61" t="n"/>
      <c r="BR203" s="61" t="n"/>
      <c r="BS203" s="61" t="n"/>
      <c r="BT203" s="61" t="n"/>
      <c r="BU203" s="61" t="n"/>
      <c r="BV203" s="61" t="n"/>
      <c r="BW203" s="61" t="n"/>
      <c r="BX203" s="61" t="n"/>
      <c r="BY203" s="61" t="n"/>
      <c r="BZ203" s="61" t="n"/>
      <c r="CA203" s="61" t="n"/>
      <c r="CB203" s="61" t="n"/>
      <c r="CC203" s="61" t="n"/>
      <c r="CD203" s="61" t="n"/>
      <c r="CE203" s="61" t="n"/>
      <c r="CF203" s="61" t="n"/>
      <c r="CG203" s="61" t="n"/>
      <c r="CH203" s="61" t="n"/>
    </row>
    <row r="204" ht="18.75" customHeight="1" s="98">
      <c r="A204" s="5" t="n"/>
      <c r="B204" s="59" t="n"/>
      <c r="C204" s="44" t="n"/>
      <c r="D204" s="59" t="n"/>
      <c r="E204" s="88" t="n"/>
      <c r="F204" s="66" t="n"/>
      <c r="G204" s="59" t="n"/>
      <c r="H204" s="44" t="n"/>
      <c r="I204" s="45" t="n"/>
      <c r="J204" s="59" t="n"/>
      <c r="K204" s="47" t="n"/>
      <c r="L204" s="47" t="n"/>
      <c r="M204" s="47" t="n"/>
      <c r="N204" s="47" t="n"/>
      <c r="O204" s="44" t="n"/>
      <c r="P204" s="62" t="n"/>
      <c r="Q204" s="44" t="n"/>
      <c r="R204" s="66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1" t="n"/>
      <c r="BM204" s="61" t="n"/>
      <c r="BN204" s="61" t="n"/>
      <c r="BO204" s="61" t="n"/>
      <c r="BP204" s="61" t="n"/>
      <c r="BQ204" s="61" t="n"/>
      <c r="BR204" s="61" t="n"/>
      <c r="BS204" s="61" t="n"/>
      <c r="BT204" s="61" t="n"/>
      <c r="BU204" s="61" t="n"/>
      <c r="BV204" s="61" t="n"/>
      <c r="BW204" s="61" t="n"/>
      <c r="BX204" s="61" t="n"/>
      <c r="BY204" s="61" t="n"/>
      <c r="BZ204" s="61" t="n"/>
      <c r="CA204" s="61" t="n"/>
      <c r="CB204" s="61" t="n"/>
      <c r="CC204" s="61" t="n"/>
      <c r="CD204" s="61" t="n"/>
      <c r="CE204" s="61" t="n"/>
      <c r="CF204" s="61" t="n"/>
      <c r="CG204" s="61" t="n"/>
      <c r="CH204" s="61" t="n"/>
    </row>
    <row r="205" ht="18.75" customHeight="1" s="98">
      <c r="A205" s="5" t="n"/>
      <c r="B205" s="59" t="n"/>
      <c r="C205" s="44" t="n"/>
      <c r="D205" s="59" t="n"/>
      <c r="E205" s="88" t="n"/>
      <c r="F205" s="66" t="n"/>
      <c r="G205" s="59" t="n"/>
      <c r="H205" s="44" t="n"/>
      <c r="I205" s="45" t="n"/>
      <c r="J205" s="59" t="n"/>
      <c r="K205" s="47" t="n"/>
      <c r="L205" s="47" t="n"/>
      <c r="M205" s="47" t="n"/>
      <c r="N205" s="47" t="n"/>
      <c r="O205" s="44" t="n"/>
      <c r="P205" s="62" t="n"/>
      <c r="Q205" s="59" t="n"/>
      <c r="R205" s="66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1" t="n"/>
      <c r="BM205" s="61" t="n"/>
      <c r="BN205" s="61" t="n"/>
      <c r="BO205" s="61" t="n"/>
      <c r="BP205" s="61" t="n"/>
      <c r="BQ205" s="61" t="n"/>
      <c r="BR205" s="61" t="n"/>
      <c r="BS205" s="61" t="n"/>
      <c r="BT205" s="61" t="n"/>
      <c r="BU205" s="61" t="n"/>
      <c r="BV205" s="61" t="n"/>
      <c r="BW205" s="61" t="n"/>
      <c r="BX205" s="61" t="n"/>
      <c r="BY205" s="61" t="n"/>
      <c r="BZ205" s="61" t="n"/>
      <c r="CA205" s="61" t="n"/>
      <c r="CB205" s="61" t="n"/>
      <c r="CC205" s="61" t="n"/>
      <c r="CD205" s="61" t="n"/>
      <c r="CE205" s="61" t="n"/>
      <c r="CF205" s="61" t="n"/>
      <c r="CG205" s="61" t="n"/>
      <c r="CH205" s="61" t="n"/>
    </row>
    <row r="206" ht="18.75" customHeight="1" s="98">
      <c r="A206" s="5" t="n"/>
      <c r="B206" s="59" t="n"/>
      <c r="C206" s="44" t="n"/>
      <c r="D206" s="59" t="n"/>
      <c r="E206" s="88" t="n"/>
      <c r="F206" s="66" t="n"/>
      <c r="G206" s="59" t="n"/>
      <c r="H206" s="44" t="n"/>
      <c r="I206" s="45" t="n"/>
      <c r="J206" s="59" t="n"/>
      <c r="K206" s="47" t="n"/>
      <c r="L206" s="47" t="n"/>
      <c r="M206" s="47" t="n"/>
      <c r="N206" s="47" t="n"/>
      <c r="O206" s="44" t="n"/>
      <c r="P206" s="62" t="n"/>
      <c r="Q206" s="44" t="n"/>
      <c r="R206" s="66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1" t="n"/>
      <c r="BM206" s="61" t="n"/>
      <c r="BN206" s="61" t="n"/>
      <c r="BO206" s="61" t="n"/>
      <c r="BP206" s="61" t="n"/>
      <c r="BQ206" s="61" t="n"/>
      <c r="BR206" s="61" t="n"/>
      <c r="BS206" s="61" t="n"/>
      <c r="BT206" s="61" t="n"/>
      <c r="BU206" s="61" t="n"/>
      <c r="BV206" s="61" t="n"/>
      <c r="BW206" s="61" t="n"/>
      <c r="BX206" s="61" t="n"/>
      <c r="BY206" s="61" t="n"/>
      <c r="BZ206" s="61" t="n"/>
      <c r="CA206" s="61" t="n"/>
      <c r="CB206" s="61" t="n"/>
      <c r="CC206" s="61" t="n"/>
      <c r="CD206" s="61" t="n"/>
      <c r="CE206" s="61" t="n"/>
      <c r="CF206" s="61" t="n"/>
      <c r="CG206" s="61" t="n"/>
      <c r="CH206" s="61" t="n"/>
    </row>
    <row r="207" ht="18.75" customHeight="1" s="98">
      <c r="A207" s="5" t="n"/>
      <c r="B207" s="59" t="n"/>
      <c r="C207" s="44" t="n"/>
      <c r="D207" s="59" t="n"/>
      <c r="E207" s="88" t="n"/>
      <c r="F207" s="66" t="n"/>
      <c r="G207" s="59" t="n"/>
      <c r="H207" s="44" t="n"/>
      <c r="I207" s="45" t="n"/>
      <c r="J207" s="59" t="n"/>
      <c r="K207" s="47" t="n"/>
      <c r="L207" s="47" t="n"/>
      <c r="M207" s="47" t="n"/>
      <c r="N207" s="47" t="n"/>
      <c r="O207" s="44" t="n"/>
      <c r="P207" s="62" t="n"/>
      <c r="Q207" s="44" t="n"/>
      <c r="R207" s="66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1" t="n"/>
      <c r="BM207" s="61" t="n"/>
      <c r="BN207" s="61" t="n"/>
      <c r="BO207" s="61" t="n"/>
      <c r="BP207" s="61" t="n"/>
      <c r="BQ207" s="61" t="n"/>
      <c r="BR207" s="61" t="n"/>
      <c r="BS207" s="61" t="n"/>
      <c r="BT207" s="61" t="n"/>
      <c r="BU207" s="61" t="n"/>
      <c r="BV207" s="61" t="n"/>
      <c r="BW207" s="61" t="n"/>
      <c r="BX207" s="61" t="n"/>
      <c r="BY207" s="61" t="n"/>
      <c r="BZ207" s="61" t="n"/>
      <c r="CA207" s="61" t="n"/>
      <c r="CB207" s="61" t="n"/>
      <c r="CC207" s="61" t="n"/>
      <c r="CD207" s="61" t="n"/>
      <c r="CE207" s="61" t="n"/>
      <c r="CF207" s="61" t="n"/>
      <c r="CG207" s="61" t="n"/>
      <c r="CH207" s="61" t="n"/>
    </row>
    <row r="208" ht="18.75" customHeight="1" s="98">
      <c r="A208" s="5" t="n"/>
      <c r="B208" s="59" t="n"/>
      <c r="C208" s="44" t="n"/>
      <c r="D208" s="59" t="n"/>
      <c r="E208" s="88" t="n"/>
      <c r="F208" s="66" t="n"/>
      <c r="G208" s="59" t="n"/>
      <c r="H208" s="44" t="n"/>
      <c r="I208" s="45" t="n"/>
      <c r="J208" s="59" t="n"/>
      <c r="K208" s="47" t="n"/>
      <c r="L208" s="47" t="n"/>
      <c r="M208" s="47" t="n"/>
      <c r="N208" s="47" t="n"/>
      <c r="O208" s="44" t="n"/>
      <c r="P208" s="62" t="n"/>
      <c r="Q208" s="44" t="n"/>
      <c r="R208" s="66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1" t="n"/>
      <c r="BM208" s="61" t="n"/>
      <c r="BN208" s="61" t="n"/>
      <c r="BO208" s="61" t="n"/>
      <c r="BP208" s="61" t="n"/>
      <c r="BQ208" s="61" t="n"/>
      <c r="BR208" s="61" t="n"/>
      <c r="BS208" s="61" t="n"/>
      <c r="BT208" s="61" t="n"/>
      <c r="BU208" s="61" t="n"/>
      <c r="BV208" s="61" t="n"/>
      <c r="BW208" s="61" t="n"/>
      <c r="BX208" s="61" t="n"/>
      <c r="BY208" s="61" t="n"/>
      <c r="BZ208" s="61" t="n"/>
      <c r="CA208" s="61" t="n"/>
      <c r="CB208" s="61" t="n"/>
      <c r="CC208" s="61" t="n"/>
      <c r="CD208" s="61" t="n"/>
      <c r="CE208" s="61" t="n"/>
      <c r="CF208" s="61" t="n"/>
      <c r="CG208" s="61" t="n"/>
      <c r="CH208" s="61" t="n"/>
    </row>
    <row r="209" ht="18.75" customHeight="1" s="98">
      <c r="A209" s="5" t="n"/>
      <c r="B209" s="59" t="n"/>
      <c r="C209" s="44" t="n"/>
      <c r="D209" s="59" t="n"/>
      <c r="E209" s="88" t="n"/>
      <c r="F209" s="66" t="n"/>
      <c r="G209" s="59" t="n"/>
      <c r="H209" s="44" t="n"/>
      <c r="I209" s="45" t="n"/>
      <c r="J209" s="59" t="n"/>
      <c r="K209" s="47" t="n"/>
      <c r="L209" s="47" t="n"/>
      <c r="M209" s="47" t="n"/>
      <c r="N209" s="47" t="n"/>
      <c r="O209" s="44" t="n"/>
      <c r="P209" s="62" t="n"/>
      <c r="Q209" s="44" t="n"/>
      <c r="R209" s="66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1" t="n"/>
      <c r="BM209" s="61" t="n"/>
      <c r="BN209" s="61" t="n"/>
      <c r="BO209" s="61" t="n"/>
      <c r="BP209" s="61" t="n"/>
      <c r="BQ209" s="61" t="n"/>
      <c r="BR209" s="61" t="n"/>
      <c r="BS209" s="61" t="n"/>
      <c r="BT209" s="61" t="n"/>
      <c r="BU209" s="61" t="n"/>
      <c r="BV209" s="61" t="n"/>
      <c r="BW209" s="61" t="n"/>
      <c r="BX209" s="61" t="n"/>
      <c r="BY209" s="61" t="n"/>
      <c r="BZ209" s="61" t="n"/>
      <c r="CA209" s="61" t="n"/>
      <c r="CB209" s="61" t="n"/>
      <c r="CC209" s="61" t="n"/>
      <c r="CD209" s="61" t="n"/>
      <c r="CE209" s="61" t="n"/>
      <c r="CF209" s="61" t="n"/>
      <c r="CG209" s="61" t="n"/>
      <c r="CH209" s="61" t="n"/>
    </row>
    <row r="210" ht="18.75" customHeight="1" s="98">
      <c r="A210" s="5" t="n"/>
      <c r="B210" s="59" t="n"/>
      <c r="C210" s="44" t="n"/>
      <c r="D210" s="59" t="n"/>
      <c r="E210" s="88" t="n"/>
      <c r="F210" s="66" t="n"/>
      <c r="G210" s="59" t="n"/>
      <c r="H210" s="44" t="n"/>
      <c r="I210" s="45" t="n"/>
      <c r="J210" s="59" t="n"/>
      <c r="K210" s="47" t="n"/>
      <c r="L210" s="47" t="n"/>
      <c r="M210" s="47" t="n"/>
      <c r="N210" s="47" t="n"/>
      <c r="O210" s="44" t="n"/>
      <c r="P210" s="62" t="n"/>
      <c r="Q210" s="44" t="n"/>
      <c r="R210" s="66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1" t="n"/>
      <c r="BM210" s="61" t="n"/>
      <c r="BN210" s="61" t="n"/>
      <c r="BO210" s="61" t="n"/>
      <c r="BP210" s="61" t="n"/>
      <c r="BQ210" s="61" t="n"/>
      <c r="BR210" s="61" t="n"/>
      <c r="BS210" s="61" t="n"/>
      <c r="BT210" s="61" t="n"/>
      <c r="BU210" s="61" t="n"/>
      <c r="BV210" s="61" t="n"/>
      <c r="BW210" s="61" t="n"/>
      <c r="BX210" s="61" t="n"/>
      <c r="BY210" s="61" t="n"/>
      <c r="BZ210" s="61" t="n"/>
      <c r="CA210" s="61" t="n"/>
      <c r="CB210" s="61" t="n"/>
      <c r="CC210" s="61" t="n"/>
      <c r="CD210" s="61" t="n"/>
      <c r="CE210" s="61" t="n"/>
      <c r="CF210" s="61" t="n"/>
      <c r="CG210" s="61" t="n"/>
      <c r="CH210" s="61" t="n"/>
    </row>
    <row r="211" ht="18.75" customHeight="1" s="98">
      <c r="A211" s="5" t="n"/>
      <c r="B211" s="59" t="n"/>
      <c r="C211" s="44" t="n"/>
      <c r="D211" s="59" t="n"/>
      <c r="E211" s="88" t="n"/>
      <c r="F211" s="66" t="n"/>
      <c r="G211" s="59" t="n"/>
      <c r="H211" s="44" t="n"/>
      <c r="I211" s="45" t="n"/>
      <c r="J211" s="59" t="n"/>
      <c r="K211" s="47" t="n"/>
      <c r="L211" s="47" t="n"/>
      <c r="M211" s="47" t="n"/>
      <c r="N211" s="47" t="n"/>
      <c r="O211" s="44" t="n"/>
      <c r="P211" s="62" t="n"/>
      <c r="Q211" s="59" t="n"/>
      <c r="R211" s="66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1" t="n"/>
      <c r="BM211" s="61" t="n"/>
      <c r="BN211" s="61" t="n"/>
      <c r="BO211" s="61" t="n"/>
      <c r="BP211" s="61" t="n"/>
      <c r="BQ211" s="61" t="n"/>
      <c r="BR211" s="61" t="n"/>
      <c r="BS211" s="61" t="n"/>
      <c r="BT211" s="61" t="n"/>
      <c r="BU211" s="61" t="n"/>
      <c r="BV211" s="61" t="n"/>
      <c r="BW211" s="61" t="n"/>
      <c r="BX211" s="61" t="n"/>
      <c r="BY211" s="61" t="n"/>
      <c r="BZ211" s="61" t="n"/>
      <c r="CA211" s="61" t="n"/>
      <c r="CB211" s="61" t="n"/>
      <c r="CC211" s="61" t="n"/>
      <c r="CD211" s="61" t="n"/>
      <c r="CE211" s="61" t="n"/>
      <c r="CF211" s="61" t="n"/>
      <c r="CG211" s="61" t="n"/>
      <c r="CH211" s="61" t="n"/>
    </row>
    <row r="212" ht="18.75" customHeight="1" s="98">
      <c r="A212" s="5" t="n"/>
      <c r="B212" s="59" t="n"/>
      <c r="C212" s="44" t="n"/>
      <c r="D212" s="59" t="n"/>
      <c r="E212" s="88" t="n"/>
      <c r="F212" s="66" t="n"/>
      <c r="G212" s="59" t="n"/>
      <c r="H212" s="44" t="n"/>
      <c r="I212" s="45" t="n"/>
      <c r="J212" s="59" t="n"/>
      <c r="K212" s="47" t="n"/>
      <c r="L212" s="47" t="n"/>
      <c r="M212" s="47" t="n"/>
      <c r="N212" s="47" t="n"/>
      <c r="O212" s="44" t="n"/>
      <c r="P212" s="62" t="n"/>
      <c r="Q212" s="59" t="n"/>
      <c r="R212" s="66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1" t="n"/>
      <c r="BM212" s="61" t="n"/>
      <c r="BN212" s="61" t="n"/>
      <c r="BO212" s="61" t="n"/>
      <c r="BP212" s="61" t="n"/>
      <c r="BQ212" s="61" t="n"/>
      <c r="BR212" s="61" t="n"/>
      <c r="BS212" s="61" t="n"/>
      <c r="BT212" s="61" t="n"/>
      <c r="BU212" s="61" t="n"/>
      <c r="BV212" s="61" t="n"/>
      <c r="BW212" s="61" t="n"/>
      <c r="BX212" s="61" t="n"/>
      <c r="BY212" s="61" t="n"/>
      <c r="BZ212" s="61" t="n"/>
      <c r="CA212" s="61" t="n"/>
      <c r="CB212" s="61" t="n"/>
      <c r="CC212" s="61" t="n"/>
      <c r="CD212" s="61" t="n"/>
      <c r="CE212" s="61" t="n"/>
      <c r="CF212" s="61" t="n"/>
      <c r="CG212" s="61" t="n"/>
      <c r="CH212" s="61" t="n"/>
    </row>
    <row r="213" ht="18.75" customHeight="1" s="98">
      <c r="A213" s="5" t="n"/>
      <c r="B213" s="59" t="n"/>
      <c r="C213" s="44" t="n"/>
      <c r="D213" s="59" t="n"/>
      <c r="E213" s="88" t="n"/>
      <c r="F213" s="66" t="n"/>
      <c r="G213" s="59" t="n"/>
      <c r="H213" s="44" t="n"/>
      <c r="I213" s="45" t="n"/>
      <c r="J213" s="59" t="n"/>
      <c r="K213" s="47" t="n"/>
      <c r="L213" s="47" t="n"/>
      <c r="M213" s="47" t="n"/>
      <c r="N213" s="47" t="n"/>
      <c r="O213" s="44" t="n"/>
      <c r="P213" s="62" t="n"/>
      <c r="Q213" s="59" t="n"/>
      <c r="R213" s="66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1" t="n"/>
      <c r="BM213" s="61" t="n"/>
      <c r="BN213" s="61" t="n"/>
      <c r="BO213" s="61" t="n"/>
      <c r="BP213" s="61" t="n"/>
      <c r="BQ213" s="61" t="n"/>
      <c r="BR213" s="61" t="n"/>
      <c r="BS213" s="61" t="n"/>
      <c r="BT213" s="61" t="n"/>
      <c r="BU213" s="61" t="n"/>
      <c r="BV213" s="61" t="n"/>
      <c r="BW213" s="61" t="n"/>
      <c r="BX213" s="61" t="n"/>
      <c r="BY213" s="61" t="n"/>
      <c r="BZ213" s="61" t="n"/>
      <c r="CA213" s="61" t="n"/>
      <c r="CB213" s="61" t="n"/>
      <c r="CC213" s="61" t="n"/>
      <c r="CD213" s="61" t="n"/>
      <c r="CE213" s="61" t="n"/>
      <c r="CF213" s="61" t="n"/>
      <c r="CG213" s="61" t="n"/>
      <c r="CH213" s="61" t="n"/>
    </row>
    <row r="214" ht="18.75" customHeight="1" s="98">
      <c r="A214" s="5" t="n"/>
      <c r="B214" s="59" t="n"/>
      <c r="C214" s="44" t="n"/>
      <c r="D214" s="59" t="n"/>
      <c r="E214" s="88" t="n"/>
      <c r="F214" s="66" t="n"/>
      <c r="G214" s="59" t="n"/>
      <c r="H214" s="44" t="n"/>
      <c r="I214" s="45" t="n"/>
      <c r="J214" s="59" t="n"/>
      <c r="K214" s="47" t="n"/>
      <c r="L214" s="47" t="n"/>
      <c r="M214" s="47" t="n"/>
      <c r="N214" s="47" t="n"/>
      <c r="O214" s="44" t="n"/>
      <c r="P214" s="62" t="n"/>
      <c r="Q214" s="59" t="n"/>
      <c r="R214" s="66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1" t="n"/>
      <c r="BM214" s="61" t="n"/>
      <c r="BN214" s="61" t="n"/>
      <c r="BO214" s="61" t="n"/>
      <c r="BP214" s="61" t="n"/>
      <c r="BQ214" s="61" t="n"/>
      <c r="BR214" s="61" t="n"/>
      <c r="BS214" s="61" t="n"/>
      <c r="BT214" s="61" t="n"/>
      <c r="BU214" s="61" t="n"/>
      <c r="BV214" s="61" t="n"/>
      <c r="BW214" s="61" t="n"/>
      <c r="BX214" s="61" t="n"/>
      <c r="BY214" s="61" t="n"/>
      <c r="BZ214" s="61" t="n"/>
      <c r="CA214" s="61" t="n"/>
      <c r="CB214" s="61" t="n"/>
      <c r="CC214" s="61" t="n"/>
      <c r="CD214" s="61" t="n"/>
      <c r="CE214" s="61" t="n"/>
      <c r="CF214" s="61" t="n"/>
      <c r="CG214" s="61" t="n"/>
      <c r="CH214" s="61" t="n"/>
    </row>
    <row r="215" ht="18.75" customHeight="1" s="98">
      <c r="A215" s="5" t="n"/>
      <c r="B215" s="59" t="n"/>
      <c r="C215" s="44" t="n"/>
      <c r="D215" s="59" t="n"/>
      <c r="E215" s="88" t="n"/>
      <c r="F215" s="66" t="n"/>
      <c r="G215" s="59" t="n"/>
      <c r="H215" s="44" t="n"/>
      <c r="I215" s="45" t="n"/>
      <c r="J215" s="59" t="n"/>
      <c r="K215" s="47" t="n"/>
      <c r="L215" s="47" t="n"/>
      <c r="M215" s="47" t="n"/>
      <c r="N215" s="47" t="n"/>
      <c r="O215" s="44" t="n"/>
      <c r="P215" s="62" t="n"/>
      <c r="Q215" s="59" t="n"/>
      <c r="R215" s="66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1" t="n"/>
      <c r="BM215" s="61" t="n"/>
      <c r="BN215" s="61" t="n"/>
      <c r="BO215" s="61" t="n"/>
      <c r="BP215" s="61" t="n"/>
      <c r="BQ215" s="61" t="n"/>
      <c r="BR215" s="61" t="n"/>
      <c r="BS215" s="61" t="n"/>
      <c r="BT215" s="61" t="n"/>
      <c r="BU215" s="61" t="n"/>
      <c r="BV215" s="61" t="n"/>
      <c r="BW215" s="61" t="n"/>
      <c r="BX215" s="61" t="n"/>
      <c r="BY215" s="61" t="n"/>
      <c r="BZ215" s="61" t="n"/>
      <c r="CA215" s="61" t="n"/>
      <c r="CB215" s="61" t="n"/>
      <c r="CC215" s="61" t="n"/>
      <c r="CD215" s="61" t="n"/>
      <c r="CE215" s="61" t="n"/>
      <c r="CF215" s="61" t="n"/>
      <c r="CG215" s="61" t="n"/>
      <c r="CH215" s="61" t="n"/>
    </row>
    <row r="216" ht="18.75" customHeight="1" s="98">
      <c r="A216" s="5" t="n"/>
      <c r="B216" s="59" t="n"/>
      <c r="C216" s="44" t="n"/>
      <c r="D216" s="59" t="n"/>
      <c r="E216" s="88" t="n"/>
      <c r="F216" s="66" t="n"/>
      <c r="G216" s="59" t="n"/>
      <c r="H216" s="44" t="n"/>
      <c r="I216" s="45" t="n"/>
      <c r="J216" s="59" t="n"/>
      <c r="K216" s="47" t="n"/>
      <c r="L216" s="47" t="n"/>
      <c r="M216" s="47" t="n"/>
      <c r="N216" s="47" t="n"/>
      <c r="O216" s="44" t="n"/>
      <c r="P216" s="62" t="n"/>
      <c r="Q216" s="59" t="n"/>
      <c r="R216" s="66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1" t="n"/>
      <c r="BM216" s="61" t="n"/>
      <c r="BN216" s="61" t="n"/>
      <c r="BO216" s="61" t="n"/>
      <c r="BP216" s="61" t="n"/>
      <c r="BQ216" s="61" t="n"/>
      <c r="BR216" s="61" t="n"/>
      <c r="BS216" s="61" t="n"/>
      <c r="BT216" s="61" t="n"/>
      <c r="BU216" s="61" t="n"/>
      <c r="BV216" s="61" t="n"/>
      <c r="BW216" s="61" t="n"/>
      <c r="BX216" s="61" t="n"/>
      <c r="BY216" s="61" t="n"/>
      <c r="BZ216" s="61" t="n"/>
      <c r="CA216" s="61" t="n"/>
      <c r="CB216" s="61" t="n"/>
      <c r="CC216" s="61" t="n"/>
      <c r="CD216" s="61" t="n"/>
      <c r="CE216" s="61" t="n"/>
      <c r="CF216" s="61" t="n"/>
      <c r="CG216" s="61" t="n"/>
      <c r="CH216" s="61" t="n"/>
    </row>
    <row r="217" ht="18.75" customHeight="1" s="98">
      <c r="A217" s="5" t="n"/>
      <c r="B217" s="59" t="n"/>
      <c r="C217" s="44" t="n"/>
      <c r="D217" s="59" t="n"/>
      <c r="E217" s="88" t="n"/>
      <c r="F217" s="66" t="n"/>
      <c r="G217" s="59" t="n"/>
      <c r="H217" s="44" t="n"/>
      <c r="I217" s="45" t="n"/>
      <c r="J217" s="59" t="n"/>
      <c r="K217" s="47" t="n"/>
      <c r="L217" s="47" t="n"/>
      <c r="M217" s="47" t="n"/>
      <c r="N217" s="47" t="n"/>
      <c r="O217" s="44" t="n"/>
      <c r="P217" s="62" t="n"/>
      <c r="Q217" s="44" t="n"/>
      <c r="R217" s="66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1" t="n"/>
      <c r="BM217" s="61" t="n"/>
      <c r="BN217" s="61" t="n"/>
      <c r="BO217" s="61" t="n"/>
      <c r="BP217" s="61" t="n"/>
      <c r="BQ217" s="61" t="n"/>
      <c r="BR217" s="61" t="n"/>
      <c r="BS217" s="61" t="n"/>
      <c r="BT217" s="61" t="n"/>
      <c r="BU217" s="61" t="n"/>
      <c r="BV217" s="61" t="n"/>
      <c r="BW217" s="61" t="n"/>
      <c r="BX217" s="61" t="n"/>
      <c r="BY217" s="61" t="n"/>
      <c r="BZ217" s="61" t="n"/>
      <c r="CA217" s="61" t="n"/>
      <c r="CB217" s="61" t="n"/>
      <c r="CC217" s="61" t="n"/>
      <c r="CD217" s="61" t="n"/>
      <c r="CE217" s="61" t="n"/>
      <c r="CF217" s="61" t="n"/>
      <c r="CG217" s="61" t="n"/>
      <c r="CH217" s="61" t="n"/>
    </row>
    <row r="218" ht="18.75" customHeight="1" s="98">
      <c r="A218" s="5" t="n"/>
      <c r="B218" s="59" t="n"/>
      <c r="C218" s="44" t="n"/>
      <c r="D218" s="59" t="n"/>
      <c r="E218" s="88" t="n"/>
      <c r="F218" s="66" t="n"/>
      <c r="G218" s="59" t="n"/>
      <c r="H218" s="44" t="n"/>
      <c r="I218" s="45" t="n"/>
      <c r="J218" s="59" t="n"/>
      <c r="K218" s="47" t="n"/>
      <c r="L218" s="47" t="n"/>
      <c r="M218" s="47" t="n"/>
      <c r="N218" s="47" t="n"/>
      <c r="O218" s="44" t="n"/>
      <c r="P218" s="62" t="n"/>
      <c r="Q218" s="44" t="n"/>
      <c r="R218" s="66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1" t="n"/>
      <c r="BM218" s="61" t="n"/>
      <c r="BN218" s="61" t="n"/>
      <c r="BO218" s="61" t="n"/>
      <c r="BP218" s="61" t="n"/>
      <c r="BQ218" s="61" t="n"/>
      <c r="BR218" s="61" t="n"/>
      <c r="BS218" s="61" t="n"/>
      <c r="BT218" s="61" t="n"/>
      <c r="BU218" s="61" t="n"/>
      <c r="BV218" s="61" t="n"/>
      <c r="BW218" s="61" t="n"/>
      <c r="BX218" s="61" t="n"/>
      <c r="BY218" s="61" t="n"/>
      <c r="BZ218" s="61" t="n"/>
      <c r="CA218" s="61" t="n"/>
      <c r="CB218" s="61" t="n"/>
      <c r="CC218" s="61" t="n"/>
      <c r="CD218" s="61" t="n"/>
      <c r="CE218" s="61" t="n"/>
      <c r="CF218" s="61" t="n"/>
      <c r="CG218" s="61" t="n"/>
      <c r="CH218" s="61" t="n"/>
    </row>
    <row r="219" ht="18.75" customHeight="1" s="98">
      <c r="A219" s="5" t="n"/>
      <c r="B219" s="59" t="n"/>
      <c r="C219" s="44" t="n"/>
      <c r="D219" s="59" t="n"/>
      <c r="E219" s="88" t="n"/>
      <c r="F219" s="66" t="n"/>
      <c r="G219" s="59" t="n"/>
      <c r="H219" s="44" t="n"/>
      <c r="I219" s="45" t="n"/>
      <c r="J219" s="59" t="n"/>
      <c r="K219" s="47" t="n"/>
      <c r="L219" s="47" t="n"/>
      <c r="M219" s="47" t="n"/>
      <c r="N219" s="47" t="n"/>
      <c r="O219" s="44" t="n"/>
      <c r="P219" s="62" t="n"/>
      <c r="Q219" s="59" t="n"/>
      <c r="R219" s="66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1" t="n"/>
      <c r="BM219" s="61" t="n"/>
      <c r="BN219" s="61" t="n"/>
      <c r="BO219" s="61" t="n"/>
      <c r="BP219" s="61" t="n"/>
      <c r="BQ219" s="61" t="n"/>
      <c r="BR219" s="61" t="n"/>
      <c r="BS219" s="61" t="n"/>
      <c r="BT219" s="61" t="n"/>
      <c r="BU219" s="61" t="n"/>
      <c r="BV219" s="61" t="n"/>
      <c r="BW219" s="61" t="n"/>
      <c r="BX219" s="61" t="n"/>
      <c r="BY219" s="61" t="n"/>
      <c r="BZ219" s="61" t="n"/>
      <c r="CA219" s="61" t="n"/>
      <c r="CB219" s="61" t="n"/>
      <c r="CC219" s="61" t="n"/>
      <c r="CD219" s="61" t="n"/>
      <c r="CE219" s="61" t="n"/>
      <c r="CF219" s="61" t="n"/>
      <c r="CG219" s="61" t="n"/>
      <c r="CH219" s="61" t="n"/>
    </row>
    <row r="220" ht="18.75" customHeight="1" s="98">
      <c r="A220" s="5" t="n"/>
      <c r="B220" s="59" t="n"/>
      <c r="C220" s="44" t="n"/>
      <c r="D220" s="59" t="n"/>
      <c r="E220" s="88" t="n"/>
      <c r="F220" s="66" t="n"/>
      <c r="G220" s="59" t="n"/>
      <c r="H220" s="44" t="n"/>
      <c r="I220" s="45" t="n"/>
      <c r="J220" s="59" t="n"/>
      <c r="K220" s="47" t="n"/>
      <c r="L220" s="47" t="n"/>
      <c r="M220" s="47" t="n"/>
      <c r="N220" s="47" t="n"/>
      <c r="O220" s="44" t="n"/>
      <c r="P220" s="62" t="n"/>
      <c r="Q220" s="44" t="n"/>
      <c r="R220" s="66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1" t="n"/>
      <c r="BM220" s="61" t="n"/>
      <c r="BN220" s="61" t="n"/>
      <c r="BO220" s="61" t="n"/>
      <c r="BP220" s="61" t="n"/>
      <c r="BQ220" s="61" t="n"/>
      <c r="BR220" s="61" t="n"/>
      <c r="BS220" s="61" t="n"/>
      <c r="BT220" s="61" t="n"/>
      <c r="BU220" s="61" t="n"/>
      <c r="BV220" s="61" t="n"/>
      <c r="BW220" s="61" t="n"/>
      <c r="BX220" s="61" t="n"/>
      <c r="BY220" s="61" t="n"/>
      <c r="BZ220" s="61" t="n"/>
      <c r="CA220" s="61" t="n"/>
      <c r="CB220" s="61" t="n"/>
      <c r="CC220" s="61" t="n"/>
      <c r="CD220" s="61" t="n"/>
      <c r="CE220" s="61" t="n"/>
      <c r="CF220" s="61" t="n"/>
      <c r="CG220" s="61" t="n"/>
      <c r="CH220" s="61" t="n"/>
    </row>
    <row r="221" ht="18.75" customHeight="1" s="98">
      <c r="A221" s="5" t="n"/>
      <c r="B221" s="59" t="n"/>
      <c r="C221" s="44" t="n"/>
      <c r="D221" s="59" t="n"/>
      <c r="E221" s="88" t="n"/>
      <c r="F221" s="66" t="n"/>
      <c r="G221" s="59" t="n"/>
      <c r="H221" s="44" t="n"/>
      <c r="I221" s="45" t="n"/>
      <c r="J221" s="59" t="n"/>
      <c r="K221" s="47" t="n"/>
      <c r="L221" s="47" t="n"/>
      <c r="M221" s="47" t="n"/>
      <c r="N221" s="47" t="n"/>
      <c r="O221" s="44" t="n"/>
      <c r="P221" s="62" t="n"/>
      <c r="Q221" s="44" t="n"/>
      <c r="R221" s="66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1" t="n"/>
      <c r="BM221" s="61" t="n"/>
      <c r="BN221" s="61" t="n"/>
      <c r="BO221" s="61" t="n"/>
      <c r="BP221" s="61" t="n"/>
      <c r="BQ221" s="61" t="n"/>
      <c r="BR221" s="61" t="n"/>
      <c r="BS221" s="61" t="n"/>
      <c r="BT221" s="61" t="n"/>
      <c r="BU221" s="61" t="n"/>
      <c r="BV221" s="61" t="n"/>
      <c r="BW221" s="61" t="n"/>
      <c r="BX221" s="61" t="n"/>
      <c r="BY221" s="61" t="n"/>
      <c r="BZ221" s="61" t="n"/>
      <c r="CA221" s="61" t="n"/>
      <c r="CB221" s="61" t="n"/>
      <c r="CC221" s="61" t="n"/>
      <c r="CD221" s="61" t="n"/>
      <c r="CE221" s="61" t="n"/>
      <c r="CF221" s="61" t="n"/>
      <c r="CG221" s="61" t="n"/>
      <c r="CH221" s="61" t="n"/>
    </row>
    <row r="222" ht="18.75" customHeight="1" s="98">
      <c r="A222" s="5" t="n"/>
      <c r="B222" s="59" t="n"/>
      <c r="C222" s="44" t="n"/>
      <c r="D222" s="59" t="n"/>
      <c r="E222" s="88" t="n"/>
      <c r="F222" s="66" t="n"/>
      <c r="G222" s="59" t="n"/>
      <c r="H222" s="44" t="n"/>
      <c r="I222" s="45" t="n"/>
      <c r="J222" s="59" t="n"/>
      <c r="K222" s="47" t="n"/>
      <c r="L222" s="47" t="n"/>
      <c r="M222" s="47" t="n"/>
      <c r="N222" s="47" t="n"/>
      <c r="O222" s="44" t="n"/>
      <c r="P222" s="62" t="n"/>
      <c r="Q222" s="44" t="n"/>
      <c r="R222" s="66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1" t="n"/>
      <c r="BM222" s="61" t="n"/>
      <c r="BN222" s="61" t="n"/>
      <c r="BO222" s="61" t="n"/>
      <c r="BP222" s="61" t="n"/>
      <c r="BQ222" s="61" t="n"/>
      <c r="BR222" s="61" t="n"/>
      <c r="BS222" s="61" t="n"/>
      <c r="BT222" s="61" t="n"/>
      <c r="BU222" s="61" t="n"/>
      <c r="BV222" s="61" t="n"/>
      <c r="BW222" s="61" t="n"/>
      <c r="BX222" s="61" t="n"/>
      <c r="BY222" s="61" t="n"/>
      <c r="BZ222" s="61" t="n"/>
      <c r="CA222" s="61" t="n"/>
      <c r="CB222" s="61" t="n"/>
      <c r="CC222" s="61" t="n"/>
      <c r="CD222" s="61" t="n"/>
      <c r="CE222" s="61" t="n"/>
      <c r="CF222" s="61" t="n"/>
      <c r="CG222" s="61" t="n"/>
      <c r="CH222" s="61" t="n"/>
    </row>
    <row r="223" ht="18.75" customHeight="1" s="98">
      <c r="A223" s="5" t="n"/>
      <c r="B223" s="59" t="n"/>
      <c r="C223" s="44" t="n"/>
      <c r="D223" s="59" t="n"/>
      <c r="E223" s="88" t="n"/>
      <c r="F223" s="66" t="n"/>
      <c r="G223" s="59" t="n"/>
      <c r="H223" s="44" t="n"/>
      <c r="I223" s="45" t="n"/>
      <c r="J223" s="59" t="n"/>
      <c r="K223" s="47" t="n"/>
      <c r="L223" s="47" t="n"/>
      <c r="M223" s="47" t="n"/>
      <c r="N223" s="47" t="n"/>
      <c r="O223" s="44" t="n"/>
      <c r="P223" s="62" t="n"/>
      <c r="Q223" s="44" t="n"/>
      <c r="R223" s="66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1" t="n"/>
      <c r="BM223" s="61" t="n"/>
      <c r="BN223" s="61" t="n"/>
      <c r="BO223" s="61" t="n"/>
      <c r="BP223" s="61" t="n"/>
      <c r="BQ223" s="61" t="n"/>
      <c r="BR223" s="61" t="n"/>
      <c r="BS223" s="61" t="n"/>
      <c r="BT223" s="61" t="n"/>
      <c r="BU223" s="61" t="n"/>
      <c r="BV223" s="61" t="n"/>
      <c r="BW223" s="61" t="n"/>
      <c r="BX223" s="61" t="n"/>
      <c r="BY223" s="61" t="n"/>
      <c r="BZ223" s="61" t="n"/>
      <c r="CA223" s="61" t="n"/>
      <c r="CB223" s="61" t="n"/>
      <c r="CC223" s="61" t="n"/>
      <c r="CD223" s="61" t="n"/>
      <c r="CE223" s="61" t="n"/>
      <c r="CF223" s="61" t="n"/>
      <c r="CG223" s="61" t="n"/>
      <c r="CH223" s="61" t="n"/>
    </row>
    <row r="224" ht="18.75" customHeight="1" s="98">
      <c r="A224" s="5" t="n"/>
      <c r="B224" s="59" t="n"/>
      <c r="C224" s="44" t="n"/>
      <c r="D224" s="59" t="n"/>
      <c r="E224" s="88" t="n"/>
      <c r="F224" s="66" t="n"/>
      <c r="G224" s="59" t="n"/>
      <c r="H224" s="44" t="n"/>
      <c r="I224" s="45" t="n"/>
      <c r="J224" s="59" t="n"/>
      <c r="K224" s="47" t="n"/>
      <c r="L224" s="47" t="n"/>
      <c r="M224" s="47" t="n"/>
      <c r="N224" s="47" t="n"/>
      <c r="O224" s="44" t="n"/>
      <c r="P224" s="62" t="n"/>
      <c r="Q224" s="44" t="n"/>
      <c r="R224" s="66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1" t="n"/>
      <c r="BM224" s="61" t="n"/>
      <c r="BN224" s="61" t="n"/>
      <c r="BO224" s="61" t="n"/>
      <c r="BP224" s="61" t="n"/>
      <c r="BQ224" s="61" t="n"/>
      <c r="BR224" s="61" t="n"/>
      <c r="BS224" s="61" t="n"/>
      <c r="BT224" s="61" t="n"/>
      <c r="BU224" s="61" t="n"/>
      <c r="BV224" s="61" t="n"/>
      <c r="BW224" s="61" t="n"/>
      <c r="BX224" s="61" t="n"/>
      <c r="BY224" s="61" t="n"/>
      <c r="BZ224" s="61" t="n"/>
      <c r="CA224" s="61" t="n"/>
      <c r="CB224" s="61" t="n"/>
      <c r="CC224" s="61" t="n"/>
      <c r="CD224" s="61" t="n"/>
      <c r="CE224" s="61" t="n"/>
      <c r="CF224" s="61" t="n"/>
      <c r="CG224" s="61" t="n"/>
      <c r="CH224" s="61" t="n"/>
    </row>
    <row r="225" ht="18.75" customHeight="1" s="98">
      <c r="A225" s="5" t="n"/>
      <c r="B225" s="59" t="n"/>
      <c r="C225" s="44" t="n"/>
      <c r="D225" s="59" t="n"/>
      <c r="E225" s="88" t="n"/>
      <c r="F225" s="66" t="n"/>
      <c r="G225" s="59" t="n"/>
      <c r="H225" s="44" t="n"/>
      <c r="I225" s="45" t="n"/>
      <c r="J225" s="59" t="n"/>
      <c r="K225" s="47" t="n"/>
      <c r="L225" s="47" t="n"/>
      <c r="M225" s="47" t="n"/>
      <c r="N225" s="47" t="n"/>
      <c r="O225" s="44" t="n"/>
      <c r="P225" s="62" t="n"/>
      <c r="Q225" s="44" t="n"/>
      <c r="R225" s="66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1" t="n"/>
      <c r="BM225" s="61" t="n"/>
      <c r="BN225" s="61" t="n"/>
      <c r="BO225" s="61" t="n"/>
      <c r="BP225" s="61" t="n"/>
      <c r="BQ225" s="61" t="n"/>
      <c r="BR225" s="61" t="n"/>
      <c r="BS225" s="61" t="n"/>
      <c r="BT225" s="61" t="n"/>
      <c r="BU225" s="61" t="n"/>
      <c r="BV225" s="61" t="n"/>
      <c r="BW225" s="61" t="n"/>
      <c r="BX225" s="61" t="n"/>
      <c r="BY225" s="61" t="n"/>
      <c r="BZ225" s="61" t="n"/>
      <c r="CA225" s="61" t="n"/>
      <c r="CB225" s="61" t="n"/>
      <c r="CC225" s="61" t="n"/>
      <c r="CD225" s="61" t="n"/>
      <c r="CE225" s="61" t="n"/>
      <c r="CF225" s="61" t="n"/>
      <c r="CG225" s="61" t="n"/>
      <c r="CH225" s="61" t="n"/>
    </row>
    <row r="226" ht="18.75" customHeight="1" s="98">
      <c r="A226" s="5" t="n"/>
      <c r="B226" s="59" t="n"/>
      <c r="C226" s="44" t="n"/>
      <c r="D226" s="59" t="n"/>
      <c r="E226" s="88" t="n"/>
      <c r="F226" s="66" t="n"/>
      <c r="G226" s="59" t="n"/>
      <c r="H226" s="44" t="n"/>
      <c r="I226" s="45" t="n"/>
      <c r="J226" s="59" t="n"/>
      <c r="K226" s="47" t="n"/>
      <c r="L226" s="47" t="n"/>
      <c r="M226" s="47" t="n"/>
      <c r="N226" s="47" t="n"/>
      <c r="O226" s="44" t="n"/>
      <c r="P226" s="62" t="n"/>
      <c r="Q226" s="44" t="n"/>
      <c r="R226" s="66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1" t="n"/>
      <c r="BM226" s="61" t="n"/>
      <c r="BN226" s="61" t="n"/>
      <c r="BO226" s="61" t="n"/>
      <c r="BP226" s="61" t="n"/>
      <c r="BQ226" s="61" t="n"/>
      <c r="BR226" s="61" t="n"/>
      <c r="BS226" s="61" t="n"/>
      <c r="BT226" s="61" t="n"/>
      <c r="BU226" s="61" t="n"/>
      <c r="BV226" s="61" t="n"/>
      <c r="BW226" s="61" t="n"/>
      <c r="BX226" s="61" t="n"/>
      <c r="BY226" s="61" t="n"/>
      <c r="BZ226" s="61" t="n"/>
      <c r="CA226" s="61" t="n"/>
      <c r="CB226" s="61" t="n"/>
      <c r="CC226" s="61" t="n"/>
      <c r="CD226" s="61" t="n"/>
      <c r="CE226" s="61" t="n"/>
      <c r="CF226" s="61" t="n"/>
      <c r="CG226" s="61" t="n"/>
      <c r="CH226" s="61" t="n"/>
    </row>
    <row r="227" ht="18.75" customHeight="1" s="98">
      <c r="A227" s="5" t="n"/>
      <c r="B227" s="59" t="n"/>
      <c r="C227" s="44" t="n"/>
      <c r="D227" s="59" t="n"/>
      <c r="E227" s="88" t="n"/>
      <c r="F227" s="66" t="n"/>
      <c r="G227" s="59" t="n"/>
      <c r="H227" s="44" t="n"/>
      <c r="I227" s="45" t="n"/>
      <c r="J227" s="59" t="n"/>
      <c r="K227" s="47" t="n"/>
      <c r="L227" s="47" t="n"/>
      <c r="M227" s="47" t="n"/>
      <c r="N227" s="47" t="n"/>
      <c r="O227" s="44" t="n"/>
      <c r="P227" s="62" t="n"/>
      <c r="Q227" s="44" t="n"/>
      <c r="R227" s="66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1" t="n"/>
      <c r="BM227" s="61" t="n"/>
      <c r="BN227" s="61" t="n"/>
      <c r="BO227" s="61" t="n"/>
      <c r="BP227" s="61" t="n"/>
      <c r="BQ227" s="61" t="n"/>
      <c r="BR227" s="61" t="n"/>
      <c r="BS227" s="61" t="n"/>
      <c r="BT227" s="61" t="n"/>
      <c r="BU227" s="61" t="n"/>
      <c r="BV227" s="61" t="n"/>
      <c r="BW227" s="61" t="n"/>
      <c r="BX227" s="61" t="n"/>
      <c r="BY227" s="61" t="n"/>
      <c r="BZ227" s="61" t="n"/>
      <c r="CA227" s="61" t="n"/>
      <c r="CB227" s="61" t="n"/>
      <c r="CC227" s="61" t="n"/>
      <c r="CD227" s="61" t="n"/>
      <c r="CE227" s="61" t="n"/>
      <c r="CF227" s="61" t="n"/>
      <c r="CG227" s="61" t="n"/>
      <c r="CH227" s="61" t="n"/>
    </row>
    <row r="228" ht="19.5" customHeight="1" s="98">
      <c r="A228" s="5" t="n"/>
      <c r="B228" s="132" t="n"/>
      <c r="C228" s="133" t="n"/>
      <c r="D228" s="134" t="n"/>
      <c r="E228" s="134" t="n"/>
      <c r="F228" s="134" t="n"/>
      <c r="G228" s="134" t="n"/>
      <c r="H228" s="134" t="n"/>
      <c r="I228" s="134" t="n"/>
      <c r="J228" s="134" t="n"/>
      <c r="K228" s="136" t="n"/>
      <c r="L228" s="136" t="n"/>
      <c r="M228" s="136" t="n"/>
      <c r="N228" s="136" t="n"/>
      <c r="O228" s="134" t="n"/>
      <c r="P228" s="134" t="n"/>
      <c r="Q228" s="134" t="n"/>
      <c r="R228" s="134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1" t="n"/>
      <c r="BM228" s="61" t="n"/>
      <c r="BN228" s="61" t="n"/>
      <c r="BO228" s="61" t="n"/>
      <c r="BP228" s="61" t="n"/>
      <c r="BQ228" s="61" t="n"/>
      <c r="BR228" s="61" t="n"/>
      <c r="BS228" s="61" t="n"/>
      <c r="BT228" s="61" t="n"/>
      <c r="BU228" s="61" t="n"/>
      <c r="BV228" s="61" t="n"/>
      <c r="BW228" s="61" t="n"/>
      <c r="BX228" s="61" t="n"/>
      <c r="BY228" s="61" t="n"/>
      <c r="BZ228" s="61" t="n"/>
      <c r="CA228" s="61" t="n"/>
      <c r="CB228" s="61" t="n"/>
      <c r="CC228" s="61" t="n"/>
      <c r="CD228" s="61" t="n"/>
      <c r="CE228" s="61" t="n"/>
      <c r="CF228" s="61" t="n"/>
      <c r="CG228" s="61" t="n"/>
      <c r="CH228" s="61" t="n"/>
    </row>
    <row r="229" ht="18.75" customHeight="1" s="98">
      <c r="A229" s="5" t="n"/>
      <c r="B229" s="59" t="n"/>
      <c r="C229" s="59" t="n"/>
      <c r="D229" s="44" t="n"/>
      <c r="E229" s="97" t="n"/>
      <c r="F229" s="8" t="n"/>
      <c r="G229" s="44" t="n"/>
      <c r="H229" s="44" t="n"/>
      <c r="I229" s="45" t="n"/>
      <c r="J229" s="59" t="n"/>
      <c r="K229" s="47" t="n"/>
      <c r="L229" s="47" t="n"/>
      <c r="M229" s="47" t="n"/>
      <c r="N229" s="47" t="n"/>
      <c r="O229" s="44" t="n"/>
      <c r="P229" s="62" t="n"/>
      <c r="Q229" s="44" t="n"/>
      <c r="R229" s="8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1" t="n"/>
      <c r="BM229" s="61" t="n"/>
      <c r="BN229" s="61" t="n"/>
      <c r="BO229" s="61" t="n"/>
      <c r="BP229" s="61" t="n"/>
      <c r="BQ229" s="61" t="n"/>
      <c r="BR229" s="61" t="n"/>
      <c r="BS229" s="61" t="n"/>
      <c r="BT229" s="61" t="n"/>
      <c r="BU229" s="61" t="n"/>
      <c r="BV229" s="61" t="n"/>
      <c r="BW229" s="61" t="n"/>
      <c r="BX229" s="61" t="n"/>
      <c r="BY229" s="61" t="n"/>
      <c r="BZ229" s="61" t="n"/>
      <c r="CA229" s="61" t="n"/>
      <c r="CB229" s="61" t="n"/>
      <c r="CC229" s="61" t="n"/>
      <c r="CD229" s="61" t="n"/>
      <c r="CE229" s="61" t="n"/>
      <c r="CF229" s="61" t="n"/>
      <c r="CG229" s="61" t="n"/>
      <c r="CH229" s="61" t="n"/>
    </row>
    <row r="230" ht="13.5" customHeight="1" s="98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/>
      <c r="CD230" s="5" t="n"/>
      <c r="CE230" s="5" t="n"/>
      <c r="CF230" s="5" t="n"/>
      <c r="CG230" s="5" t="n"/>
      <c r="CH230" s="5" t="n"/>
    </row>
    <row r="231" ht="13.5" customHeight="1" s="98">
      <c r="A231" s="5" t="n"/>
      <c r="B231" s="3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  <c r="CE231" s="5" t="n"/>
      <c r="CF231" s="5" t="n"/>
      <c r="CG231" s="5" t="n"/>
      <c r="CH231" s="5" t="n"/>
    </row>
    <row r="232" ht="13.5" customHeight="1" s="98">
      <c r="A232" s="5" t="n"/>
      <c r="B232" s="3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/>
      <c r="CD232" s="5" t="n"/>
      <c r="CE232" s="5" t="n"/>
      <c r="CF232" s="5" t="n"/>
      <c r="CG232" s="5" t="n"/>
      <c r="CH232" s="5" t="n"/>
    </row>
    <row r="233" ht="13.5" customHeight="1" s="98">
      <c r="A233" s="5" t="n"/>
      <c r="B233" s="3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  <c r="CE233" s="5" t="n"/>
      <c r="CF233" s="5" t="n"/>
      <c r="CG233" s="5" t="n"/>
      <c r="CH233" s="5" t="n"/>
    </row>
    <row r="234" ht="13.5" customHeight="1" s="98">
      <c r="A234" s="5" t="n"/>
      <c r="B234" s="3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/>
      <c r="CD234" s="5" t="n"/>
      <c r="CE234" s="5" t="n"/>
      <c r="CF234" s="5" t="n"/>
      <c r="CG234" s="5" t="n"/>
      <c r="CH234" s="5" t="n"/>
    </row>
    <row r="235" ht="13.5" customHeight="1" s="98">
      <c r="A235" s="5" t="n"/>
      <c r="B235" s="3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  <c r="CE235" s="5" t="n"/>
      <c r="CF235" s="5" t="n"/>
      <c r="CG235" s="5" t="n"/>
      <c r="CH235" s="5" t="n"/>
    </row>
    <row r="236" ht="13.5" customHeight="1" s="98">
      <c r="A236" s="5" t="n"/>
      <c r="B236" s="3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/>
      <c r="BZ236" s="5" t="n"/>
      <c r="CA236" s="5" t="n"/>
      <c r="CB236" s="5" t="n"/>
      <c r="CC236" s="5" t="n"/>
      <c r="CD236" s="5" t="n"/>
      <c r="CE236" s="5" t="n"/>
      <c r="CF236" s="5" t="n"/>
      <c r="CG236" s="5" t="n"/>
      <c r="CH236" s="5" t="n"/>
    </row>
    <row r="237" ht="13.5" customHeight="1" s="98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  <c r="CE237" s="5" t="n"/>
      <c r="CF237" s="5" t="n"/>
      <c r="CG237" s="5" t="n"/>
      <c r="CH237" s="5" t="n"/>
    </row>
    <row r="238" ht="13.5" customHeight="1" s="9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  <c r="BW238" s="5" t="n"/>
      <c r="BX238" s="5" t="n"/>
      <c r="BY238" s="5" t="n"/>
      <c r="BZ238" s="5" t="n"/>
      <c r="CA238" s="5" t="n"/>
      <c r="CB238" s="5" t="n"/>
      <c r="CC238" s="5" t="n"/>
      <c r="CD238" s="5" t="n"/>
      <c r="CE238" s="5" t="n"/>
      <c r="CF238" s="5" t="n"/>
      <c r="CG238" s="5" t="n"/>
      <c r="CH238" s="5" t="n"/>
    </row>
    <row r="239" ht="13.5" customHeight="1" s="98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  <c r="CE239" s="5" t="n"/>
      <c r="CF239" s="5" t="n"/>
      <c r="CG239" s="5" t="n"/>
      <c r="CH239" s="5" t="n"/>
    </row>
    <row r="240" ht="13.5" customHeight="1" s="98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  <c r="BW240" s="5" t="n"/>
      <c r="BX240" s="5" t="n"/>
      <c r="BY240" s="5" t="n"/>
      <c r="BZ240" s="5" t="n"/>
      <c r="CA240" s="5" t="n"/>
      <c r="CB240" s="5" t="n"/>
      <c r="CC240" s="5" t="n"/>
      <c r="CD240" s="5" t="n"/>
      <c r="CE240" s="5" t="n"/>
      <c r="CF240" s="5" t="n"/>
      <c r="CG240" s="5" t="n"/>
      <c r="CH240" s="5" t="n"/>
    </row>
    <row r="241" ht="13.5" customHeight="1" s="98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  <c r="CE241" s="5" t="n"/>
      <c r="CF241" s="5" t="n"/>
      <c r="CG241" s="5" t="n"/>
      <c r="CH241" s="5" t="n"/>
    </row>
    <row r="242" ht="13.5" customHeight="1" s="98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  <c r="BX242" s="5" t="n"/>
      <c r="BY242" s="5" t="n"/>
      <c r="BZ242" s="5" t="n"/>
      <c r="CA242" s="5" t="n"/>
      <c r="CB242" s="5" t="n"/>
      <c r="CC242" s="5" t="n"/>
      <c r="CD242" s="5" t="n"/>
      <c r="CE242" s="5" t="n"/>
      <c r="CF242" s="5" t="n"/>
      <c r="CG242" s="5" t="n"/>
      <c r="CH242" s="5" t="n"/>
    </row>
    <row r="243" ht="13.5" customHeight="1" s="98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  <c r="CE243" s="5" t="n"/>
      <c r="CF243" s="5" t="n"/>
      <c r="CG243" s="5" t="n"/>
      <c r="CH243" s="5" t="n"/>
    </row>
    <row r="244" ht="13.5" customHeight="1" s="98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  <c r="BW244" s="5" t="n"/>
      <c r="BX244" s="5" t="n"/>
      <c r="BY244" s="5" t="n"/>
      <c r="BZ244" s="5" t="n"/>
      <c r="CA244" s="5" t="n"/>
      <c r="CB244" s="5" t="n"/>
      <c r="CC244" s="5" t="n"/>
      <c r="CD244" s="5" t="n"/>
      <c r="CE244" s="5" t="n"/>
      <c r="CF244" s="5" t="n"/>
      <c r="CG244" s="5" t="n"/>
      <c r="CH244" s="5" t="n"/>
    </row>
    <row r="245" ht="13.5" customHeight="1" s="98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  <c r="CE245" s="5" t="n"/>
      <c r="CF245" s="5" t="n"/>
      <c r="CG245" s="5" t="n"/>
      <c r="CH245" s="5" t="n"/>
    </row>
    <row r="246" ht="13.5" customHeight="1" s="98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/>
      <c r="BZ246" s="5" t="n"/>
      <c r="CA246" s="5" t="n"/>
      <c r="CB246" s="5" t="n"/>
      <c r="CC246" s="5" t="n"/>
      <c r="CD246" s="5" t="n"/>
      <c r="CE246" s="5" t="n"/>
      <c r="CF246" s="5" t="n"/>
      <c r="CG246" s="5" t="n"/>
      <c r="CH246" s="5" t="n"/>
    </row>
    <row r="247" ht="13.5" customHeight="1" s="98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  <c r="CE247" s="5" t="n"/>
      <c r="CF247" s="5" t="n"/>
      <c r="CG247" s="5" t="n"/>
      <c r="CH247" s="5" t="n"/>
    </row>
    <row r="248" ht="13.5" customHeight="1" s="9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  <c r="BX248" s="5" t="n"/>
      <c r="BY248" s="5" t="n"/>
      <c r="BZ248" s="5" t="n"/>
      <c r="CA248" s="5" t="n"/>
      <c r="CB248" s="5" t="n"/>
      <c r="CC248" s="5" t="n"/>
      <c r="CD248" s="5" t="n"/>
      <c r="CE248" s="5" t="n"/>
      <c r="CF248" s="5" t="n"/>
      <c r="CG248" s="5" t="n"/>
      <c r="CH248" s="5" t="n"/>
    </row>
    <row r="249" ht="13.5" customHeight="1" s="98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  <c r="CE249" s="5" t="n"/>
      <c r="CF249" s="5" t="n"/>
      <c r="CG249" s="5" t="n"/>
      <c r="CH249" s="5" t="n"/>
    </row>
    <row r="250" ht="13.5" customHeight="1" s="98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  <c r="BW250" s="5" t="n"/>
      <c r="BX250" s="5" t="n"/>
      <c r="BY250" s="5" t="n"/>
      <c r="BZ250" s="5" t="n"/>
      <c r="CA250" s="5" t="n"/>
      <c r="CB250" s="5" t="n"/>
      <c r="CC250" s="5" t="n"/>
      <c r="CD250" s="5" t="n"/>
      <c r="CE250" s="5" t="n"/>
      <c r="CF250" s="5" t="n"/>
      <c r="CG250" s="5" t="n"/>
      <c r="CH250" s="5" t="n"/>
    </row>
    <row r="251" ht="13.5" customHeight="1" s="98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  <c r="CE251" s="5" t="n"/>
      <c r="CF251" s="5" t="n"/>
      <c r="CG251" s="5" t="n"/>
      <c r="CH251" s="5" t="n"/>
    </row>
    <row r="252" ht="13.5" customHeight="1" s="98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/>
      <c r="BZ252" s="5" t="n"/>
      <c r="CA252" s="5" t="n"/>
      <c r="CB252" s="5" t="n"/>
      <c r="CC252" s="5" t="n"/>
      <c r="CD252" s="5" t="n"/>
      <c r="CE252" s="5" t="n"/>
      <c r="CF252" s="5" t="n"/>
      <c r="CG252" s="5" t="n"/>
      <c r="CH252" s="5" t="n"/>
    </row>
    <row r="253" ht="13.5" customHeight="1" s="98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/>
      <c r="BZ253" s="5" t="n"/>
      <c r="CA253" s="5" t="n"/>
      <c r="CB253" s="5" t="n"/>
      <c r="CC253" s="5" t="n"/>
      <c r="CD253" s="5" t="n"/>
      <c r="CE253" s="5" t="n"/>
      <c r="CF253" s="5" t="n"/>
      <c r="CG253" s="5" t="n"/>
      <c r="CH253" s="5" t="n"/>
    </row>
    <row r="254" ht="13.5" customHeight="1" s="98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5" t="n"/>
      <c r="BW254" s="5" t="n"/>
      <c r="BX254" s="5" t="n"/>
      <c r="BY254" s="5" t="n"/>
      <c r="BZ254" s="5" t="n"/>
      <c r="CA254" s="5" t="n"/>
      <c r="CB254" s="5" t="n"/>
      <c r="CC254" s="5" t="n"/>
      <c r="CD254" s="5" t="n"/>
      <c r="CE254" s="5" t="n"/>
      <c r="CF254" s="5" t="n"/>
      <c r="CG254" s="5" t="n"/>
      <c r="CH254" s="5" t="n"/>
    </row>
    <row r="255" ht="13.5" customHeight="1" s="98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  <c r="CE255" s="5" t="n"/>
      <c r="CF255" s="5" t="n"/>
      <c r="CG255" s="5" t="n"/>
      <c r="CH255" s="5" t="n"/>
    </row>
    <row r="256" ht="13.5" customHeight="1" s="98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  <c r="BX256" s="5" t="n"/>
      <c r="BY256" s="5" t="n"/>
      <c r="BZ256" s="5" t="n"/>
      <c r="CA256" s="5" t="n"/>
      <c r="CB256" s="5" t="n"/>
      <c r="CC256" s="5" t="n"/>
      <c r="CD256" s="5" t="n"/>
      <c r="CE256" s="5" t="n"/>
      <c r="CF256" s="5" t="n"/>
      <c r="CG256" s="5" t="n"/>
      <c r="CH256" s="5" t="n"/>
    </row>
    <row r="257" ht="13.5" customHeight="1" s="98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5" t="n"/>
      <c r="BW257" s="5" t="n"/>
      <c r="BX257" s="5" t="n"/>
      <c r="BY257" s="5" t="n"/>
      <c r="BZ257" s="5" t="n"/>
      <c r="CA257" s="5" t="n"/>
      <c r="CB257" s="5" t="n"/>
      <c r="CC257" s="5" t="n"/>
      <c r="CD257" s="5" t="n"/>
      <c r="CE257" s="5" t="n"/>
      <c r="CF257" s="5" t="n"/>
      <c r="CG257" s="5" t="n"/>
      <c r="CH257" s="5" t="n"/>
    </row>
    <row r="258" ht="13.5" customHeight="1" s="9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  <c r="BW258" s="5" t="n"/>
      <c r="BX258" s="5" t="n"/>
      <c r="BY258" s="5" t="n"/>
      <c r="BZ258" s="5" t="n"/>
      <c r="CA258" s="5" t="n"/>
      <c r="CB258" s="5" t="n"/>
      <c r="CC258" s="5" t="n"/>
      <c r="CD258" s="5" t="n"/>
      <c r="CE258" s="5" t="n"/>
      <c r="CF258" s="5" t="n"/>
      <c r="CG258" s="5" t="n"/>
      <c r="CH258" s="5" t="n"/>
    </row>
    <row r="259" ht="13.5" customHeight="1" s="98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  <c r="CE259" s="5" t="n"/>
      <c r="CF259" s="5" t="n"/>
      <c r="CG259" s="5" t="n"/>
      <c r="CH259" s="5" t="n"/>
    </row>
    <row r="260" ht="13.5" customHeight="1" s="98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  <c r="BX260" s="5" t="n"/>
      <c r="BY260" s="5" t="n"/>
      <c r="BZ260" s="5" t="n"/>
      <c r="CA260" s="5" t="n"/>
      <c r="CB260" s="5" t="n"/>
      <c r="CC260" s="5" t="n"/>
      <c r="CD260" s="5" t="n"/>
      <c r="CE260" s="5" t="n"/>
      <c r="CF260" s="5" t="n"/>
      <c r="CG260" s="5" t="n"/>
      <c r="CH260" s="5" t="n"/>
    </row>
    <row r="261" ht="13.5" customHeight="1" s="98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  <c r="CE261" s="5" t="n"/>
      <c r="CF261" s="5" t="n"/>
      <c r="CG261" s="5" t="n"/>
      <c r="CH261" s="5" t="n"/>
    </row>
    <row r="262" ht="13.5" customHeight="1" s="98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  <c r="BW262" s="5" t="n"/>
      <c r="BX262" s="5" t="n"/>
      <c r="BY262" s="5" t="n"/>
      <c r="BZ262" s="5" t="n"/>
      <c r="CA262" s="5" t="n"/>
      <c r="CB262" s="5" t="n"/>
      <c r="CC262" s="5" t="n"/>
      <c r="CD262" s="5" t="n"/>
      <c r="CE262" s="5" t="n"/>
      <c r="CF262" s="5" t="n"/>
      <c r="CG262" s="5" t="n"/>
      <c r="CH262" s="5" t="n"/>
    </row>
    <row r="263" ht="13.5" customHeight="1" s="98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  <c r="CG263" s="5" t="n"/>
      <c r="CH263" s="5" t="n"/>
    </row>
    <row r="264" ht="13.5" customHeight="1" s="98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  <c r="CE264" s="5" t="n"/>
      <c r="CF264" s="5" t="n"/>
      <c r="CG264" s="5" t="n"/>
      <c r="CH264" s="5" t="n"/>
    </row>
    <row r="265" ht="13.5" customHeight="1" s="98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  <c r="CE265" s="5" t="n"/>
      <c r="CF265" s="5" t="n"/>
      <c r="CG265" s="5" t="n"/>
      <c r="CH265" s="5" t="n"/>
    </row>
    <row r="266" ht="13.5" customHeight="1" s="98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  <c r="BW266" s="5" t="n"/>
      <c r="BX266" s="5" t="n"/>
      <c r="BY266" s="5" t="n"/>
      <c r="BZ266" s="5" t="n"/>
      <c r="CA266" s="5" t="n"/>
      <c r="CB266" s="5" t="n"/>
      <c r="CC266" s="5" t="n"/>
      <c r="CD266" s="5" t="n"/>
      <c r="CE266" s="5" t="n"/>
      <c r="CF266" s="5" t="n"/>
      <c r="CG266" s="5" t="n"/>
      <c r="CH266" s="5" t="n"/>
    </row>
    <row r="267" ht="13.5" customHeight="1" s="98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</row>
    <row r="268" ht="13.5" customHeight="1" s="9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  <c r="BX268" s="5" t="n"/>
      <c r="BY268" s="5" t="n"/>
      <c r="BZ268" s="5" t="n"/>
      <c r="CA268" s="5" t="n"/>
      <c r="CB268" s="5" t="n"/>
      <c r="CC268" s="5" t="n"/>
      <c r="CD268" s="5" t="n"/>
      <c r="CE268" s="5" t="n"/>
      <c r="CF268" s="5" t="n"/>
      <c r="CG268" s="5" t="n"/>
      <c r="CH268" s="5" t="n"/>
    </row>
    <row r="269" ht="13.5" customHeight="1" s="98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  <c r="CE269" s="5" t="n"/>
      <c r="CF269" s="5" t="n"/>
      <c r="CG269" s="5" t="n"/>
      <c r="CH269" s="5" t="n"/>
    </row>
    <row r="270" ht="13.5" customHeight="1" s="98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  <c r="BW270" s="5" t="n"/>
      <c r="BX270" s="5" t="n"/>
      <c r="BY270" s="5" t="n"/>
      <c r="BZ270" s="5" t="n"/>
      <c r="CA270" s="5" t="n"/>
      <c r="CB270" s="5" t="n"/>
      <c r="CC270" s="5" t="n"/>
      <c r="CD270" s="5" t="n"/>
      <c r="CE270" s="5" t="n"/>
      <c r="CF270" s="5" t="n"/>
      <c r="CG270" s="5" t="n"/>
      <c r="CH270" s="5" t="n"/>
    </row>
    <row r="271" ht="13.5" customHeight="1" s="98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  <c r="CE271" s="5" t="n"/>
      <c r="CF271" s="5" t="n"/>
      <c r="CG271" s="5" t="n"/>
      <c r="CH271" s="5" t="n"/>
    </row>
    <row r="272" ht="13.5" customHeight="1" s="98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  <c r="BW272" s="5" t="n"/>
      <c r="BX272" s="5" t="n"/>
      <c r="BY272" s="5" t="n"/>
      <c r="BZ272" s="5" t="n"/>
      <c r="CA272" s="5" t="n"/>
      <c r="CB272" s="5" t="n"/>
      <c r="CC272" s="5" t="n"/>
      <c r="CD272" s="5" t="n"/>
      <c r="CE272" s="5" t="n"/>
      <c r="CF272" s="5" t="n"/>
      <c r="CG272" s="5" t="n"/>
      <c r="CH272" s="5" t="n"/>
    </row>
    <row r="273" ht="13.5" customHeight="1" s="98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  <c r="CE273" s="5" t="n"/>
      <c r="CF273" s="5" t="n"/>
      <c r="CG273" s="5" t="n"/>
      <c r="CH273" s="5" t="n"/>
    </row>
    <row r="274" ht="13.5" customHeight="1" s="98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  <c r="BW274" s="5" t="n"/>
      <c r="BX274" s="5" t="n"/>
      <c r="BY274" s="5" t="n"/>
      <c r="BZ274" s="5" t="n"/>
      <c r="CA274" s="5" t="n"/>
      <c r="CB274" s="5" t="n"/>
      <c r="CC274" s="5" t="n"/>
      <c r="CD274" s="5" t="n"/>
      <c r="CE274" s="5" t="n"/>
      <c r="CF274" s="5" t="n"/>
      <c r="CG274" s="5" t="n"/>
      <c r="CH274" s="5" t="n"/>
    </row>
    <row r="275" ht="13.5" customHeight="1" s="98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  <c r="CE275" s="5" t="n"/>
      <c r="CF275" s="5" t="n"/>
      <c r="CG275" s="5" t="n"/>
      <c r="CH275" s="5" t="n"/>
    </row>
    <row r="276" ht="13.5" customHeight="1" s="98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  <c r="CE276" s="5" t="n"/>
      <c r="CF276" s="5" t="n"/>
      <c r="CG276" s="5" t="n"/>
      <c r="CH276" s="5" t="n"/>
    </row>
    <row r="277" ht="13.5" customHeight="1" s="98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  <c r="CE277" s="5" t="n"/>
      <c r="CF277" s="5" t="n"/>
      <c r="CG277" s="5" t="n"/>
      <c r="CH277" s="5" t="n"/>
    </row>
    <row r="278" ht="13.5" customHeight="1" s="9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  <c r="BX278" s="5" t="n"/>
      <c r="BY278" s="5" t="n"/>
      <c r="BZ278" s="5" t="n"/>
      <c r="CA278" s="5" t="n"/>
      <c r="CB278" s="5" t="n"/>
      <c r="CC278" s="5" t="n"/>
      <c r="CD278" s="5" t="n"/>
      <c r="CE278" s="5" t="n"/>
      <c r="CF278" s="5" t="n"/>
      <c r="CG278" s="5" t="n"/>
      <c r="CH278" s="5" t="n"/>
    </row>
    <row r="279" ht="13.5" customHeight="1" s="98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  <c r="CE279" s="5" t="n"/>
      <c r="CF279" s="5" t="n"/>
      <c r="CG279" s="5" t="n"/>
      <c r="CH279" s="5" t="n"/>
    </row>
    <row r="280" ht="13.5" customHeight="1" s="98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  <c r="BW280" s="5" t="n"/>
      <c r="BX280" s="5" t="n"/>
      <c r="BY280" s="5" t="n"/>
      <c r="BZ280" s="5" t="n"/>
      <c r="CA280" s="5" t="n"/>
      <c r="CB280" s="5" t="n"/>
      <c r="CC280" s="5" t="n"/>
      <c r="CD280" s="5" t="n"/>
      <c r="CE280" s="5" t="n"/>
      <c r="CF280" s="5" t="n"/>
      <c r="CG280" s="5" t="n"/>
      <c r="CH280" s="5" t="n"/>
    </row>
    <row r="281" ht="13.5" customHeight="1" s="98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  <c r="CE281" s="5" t="n"/>
      <c r="CF281" s="5" t="n"/>
      <c r="CG281" s="5" t="n"/>
      <c r="CH281" s="5" t="n"/>
    </row>
    <row r="282" ht="13.5" customHeight="1" s="98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/>
      <c r="CD282" s="5" t="n"/>
      <c r="CE282" s="5" t="n"/>
      <c r="CF282" s="5" t="n"/>
      <c r="CG282" s="5" t="n"/>
      <c r="CH282" s="5" t="n"/>
    </row>
    <row r="283" ht="13.5" customHeight="1" s="98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  <c r="CE283" s="5" t="n"/>
      <c r="CF283" s="5" t="n"/>
      <c r="CG283" s="5" t="n"/>
      <c r="CH283" s="5" t="n"/>
    </row>
    <row r="284" ht="13.5" customHeight="1" s="98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/>
      <c r="CD284" s="5" t="n"/>
      <c r="CE284" s="5" t="n"/>
      <c r="CF284" s="5" t="n"/>
      <c r="CG284" s="5" t="n"/>
      <c r="CH284" s="5" t="n"/>
    </row>
    <row r="285" ht="13.5" customHeight="1" s="98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  <c r="CE285" s="5" t="n"/>
      <c r="CF285" s="5" t="n"/>
      <c r="CG285" s="5" t="n"/>
      <c r="CH285" s="5" t="n"/>
    </row>
    <row r="286" ht="13.5" customHeight="1" s="98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  <c r="BX286" s="5" t="n"/>
      <c r="BY286" s="5" t="n"/>
      <c r="BZ286" s="5" t="n"/>
      <c r="CA286" s="5" t="n"/>
      <c r="CB286" s="5" t="n"/>
      <c r="CC286" s="5" t="n"/>
      <c r="CD286" s="5" t="n"/>
      <c r="CE286" s="5" t="n"/>
      <c r="CF286" s="5" t="n"/>
      <c r="CG286" s="5" t="n"/>
      <c r="CH286" s="5" t="n"/>
    </row>
    <row r="287" ht="13.5" customHeight="1" s="98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  <c r="CE287" s="5" t="n"/>
      <c r="CF287" s="5" t="n"/>
      <c r="CG287" s="5" t="n"/>
      <c r="CH287" s="5" t="n"/>
    </row>
    <row r="288" ht="13.5" customHeight="1" s="9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/>
      <c r="CD288" s="5" t="n"/>
      <c r="CE288" s="5" t="n"/>
      <c r="CF288" s="5" t="n"/>
      <c r="CG288" s="5" t="n"/>
      <c r="CH288" s="5" t="n"/>
    </row>
    <row r="289" ht="13.5" customHeight="1" s="98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  <c r="CE289" s="5" t="n"/>
      <c r="CF289" s="5" t="n"/>
      <c r="CG289" s="5" t="n"/>
      <c r="CH289" s="5" t="n"/>
    </row>
    <row r="290" ht="13.5" customHeight="1" s="98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  <c r="CE290" s="5" t="n"/>
      <c r="CF290" s="5" t="n"/>
      <c r="CG290" s="5" t="n"/>
      <c r="CH290" s="5" t="n"/>
    </row>
    <row r="291" ht="13.5" customHeight="1" s="98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  <c r="CE291" s="5" t="n"/>
      <c r="CF291" s="5" t="n"/>
      <c r="CG291" s="5" t="n"/>
      <c r="CH291" s="5" t="n"/>
    </row>
    <row r="292" ht="13.5" customHeight="1" s="98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/>
      <c r="CD292" s="5" t="n"/>
      <c r="CE292" s="5" t="n"/>
      <c r="CF292" s="5" t="n"/>
      <c r="CG292" s="5" t="n"/>
      <c r="CH292" s="5" t="n"/>
    </row>
    <row r="293" ht="13.5" customHeight="1" s="98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  <c r="CE293" s="5" t="n"/>
      <c r="CF293" s="5" t="n"/>
      <c r="CG293" s="5" t="n"/>
      <c r="CH293" s="5" t="n"/>
    </row>
    <row r="294" ht="13.5" customHeight="1" s="98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  <c r="CE294" s="5" t="n"/>
      <c r="CF294" s="5" t="n"/>
      <c r="CG294" s="5" t="n"/>
      <c r="CH294" s="5" t="n"/>
    </row>
    <row r="295" ht="13.5" customHeight="1" s="98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  <c r="CE295" s="5" t="n"/>
      <c r="CF295" s="5" t="n"/>
      <c r="CG295" s="5" t="n"/>
      <c r="CH295" s="5" t="n"/>
    </row>
    <row r="296" ht="13.5" customHeight="1" s="98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  <c r="CE296" s="5" t="n"/>
      <c r="CF296" s="5" t="n"/>
      <c r="CG296" s="5" t="n"/>
      <c r="CH296" s="5" t="n"/>
    </row>
    <row r="297" ht="13.5" customHeight="1" s="98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  <c r="CG297" s="5" t="n"/>
      <c r="CH297" s="5" t="n"/>
    </row>
    <row r="298" ht="13.5" customHeight="1" s="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  <c r="CE298" s="5" t="n"/>
      <c r="CF298" s="5" t="n"/>
      <c r="CG298" s="5" t="n"/>
      <c r="CH298" s="5" t="n"/>
    </row>
    <row r="299" ht="13.5" customHeight="1" s="98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  <c r="CE299" s="5" t="n"/>
      <c r="CF299" s="5" t="n"/>
      <c r="CG299" s="5" t="n"/>
      <c r="CH299" s="5" t="n"/>
    </row>
    <row r="300" ht="13.5" customHeight="1" s="98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  <c r="CE300" s="5" t="n"/>
      <c r="CF300" s="5" t="n"/>
      <c r="CG300" s="5" t="n"/>
      <c r="CH300" s="5" t="n"/>
    </row>
    <row r="301" ht="13.5" customHeight="1" s="98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  <c r="CE301" s="5" t="n"/>
      <c r="CF301" s="5" t="n"/>
      <c r="CG301" s="5" t="n"/>
      <c r="CH301" s="5" t="n"/>
    </row>
    <row r="302" ht="13.5" customHeight="1" s="98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  <c r="CE302" s="5" t="n"/>
      <c r="CF302" s="5" t="n"/>
      <c r="CG302" s="5" t="n"/>
      <c r="CH302" s="5" t="n"/>
    </row>
    <row r="303" ht="13.5" customHeight="1" s="98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  <c r="CG303" s="5" t="n"/>
      <c r="CH303" s="5" t="n"/>
    </row>
    <row r="304" ht="13.5" customHeight="1" s="98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5" t="n"/>
      <c r="CE304" s="5" t="n"/>
      <c r="CF304" s="5" t="n"/>
      <c r="CG304" s="5" t="n"/>
      <c r="CH304" s="5" t="n"/>
    </row>
    <row r="305" ht="13.5" customHeight="1" s="98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  <c r="CE305" s="5" t="n"/>
      <c r="CF305" s="5" t="n"/>
      <c r="CG305" s="5" t="n"/>
      <c r="CH305" s="5" t="n"/>
    </row>
    <row r="306" ht="13.5" customHeight="1" s="98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5" t="n"/>
      <c r="BZ306" s="5" t="n"/>
      <c r="CA306" s="5" t="n"/>
      <c r="CB306" s="5" t="n"/>
      <c r="CC306" s="5" t="n"/>
      <c r="CD306" s="5" t="n"/>
      <c r="CE306" s="5" t="n"/>
      <c r="CF306" s="5" t="n"/>
      <c r="CG306" s="5" t="n"/>
      <c r="CH306" s="5" t="n"/>
    </row>
    <row r="307" ht="13.5" customHeight="1" s="98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5" t="n"/>
      <c r="BZ307" s="5" t="n"/>
      <c r="CA307" s="5" t="n"/>
      <c r="CB307" s="5" t="n"/>
      <c r="CC307" s="5" t="n"/>
      <c r="CD307" s="5" t="n"/>
      <c r="CE307" s="5" t="n"/>
      <c r="CF307" s="5" t="n"/>
      <c r="CG307" s="5" t="n"/>
      <c r="CH307" s="5" t="n"/>
    </row>
    <row r="308" ht="13.5" customHeight="1" s="9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5" t="n"/>
      <c r="CD308" s="5" t="n"/>
      <c r="CE308" s="5" t="n"/>
      <c r="CF308" s="5" t="n"/>
      <c r="CG308" s="5" t="n"/>
      <c r="CH308" s="5" t="n"/>
    </row>
    <row r="309" ht="13.5" customHeight="1" s="98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  <c r="CE309" s="5" t="n"/>
      <c r="CF309" s="5" t="n"/>
      <c r="CG309" s="5" t="n"/>
      <c r="CH309" s="5" t="n"/>
    </row>
    <row r="310" ht="13.5" customHeight="1" s="98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  <c r="CE310" s="5" t="n"/>
      <c r="CF310" s="5" t="n"/>
      <c r="CG310" s="5" t="n"/>
      <c r="CH310" s="5" t="n"/>
    </row>
    <row r="311" ht="13.5" customHeight="1" s="98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  <c r="CE311" s="5" t="n"/>
      <c r="CF311" s="5" t="n"/>
      <c r="CG311" s="5" t="n"/>
      <c r="CH311" s="5" t="n"/>
    </row>
    <row r="312" ht="13.5" customHeight="1" s="98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  <c r="BX312" s="5" t="n"/>
      <c r="BY312" s="5" t="n"/>
      <c r="BZ312" s="5" t="n"/>
      <c r="CA312" s="5" t="n"/>
      <c r="CB312" s="5" t="n"/>
      <c r="CC312" s="5" t="n"/>
      <c r="CD312" s="5" t="n"/>
      <c r="CE312" s="5" t="n"/>
      <c r="CF312" s="5" t="n"/>
      <c r="CG312" s="5" t="n"/>
      <c r="CH312" s="5" t="n"/>
    </row>
    <row r="313" ht="13.5" customHeight="1" s="98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  <c r="CE313" s="5" t="n"/>
      <c r="CF313" s="5" t="n"/>
      <c r="CG313" s="5" t="n"/>
      <c r="CH313" s="5" t="n"/>
    </row>
    <row r="314" ht="13.5" customHeight="1" s="98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  <c r="CE314" s="5" t="n"/>
      <c r="CF314" s="5" t="n"/>
      <c r="CG314" s="5" t="n"/>
      <c r="CH314" s="5" t="n"/>
    </row>
    <row r="315" ht="13.5" customHeight="1" s="98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5" t="n"/>
      <c r="BY315" s="5" t="n"/>
      <c r="BZ315" s="5" t="n"/>
      <c r="CA315" s="5" t="n"/>
      <c r="CB315" s="5" t="n"/>
      <c r="CC315" s="5" t="n"/>
      <c r="CD315" s="5" t="n"/>
      <c r="CE315" s="5" t="n"/>
      <c r="CF315" s="5" t="n"/>
      <c r="CG315" s="5" t="n"/>
      <c r="CH315" s="5" t="n"/>
    </row>
    <row r="316" ht="13.5" customHeight="1" s="98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  <c r="CE316" s="5" t="n"/>
      <c r="CF316" s="5" t="n"/>
      <c r="CG316" s="5" t="n"/>
      <c r="CH316" s="5" t="n"/>
    </row>
    <row r="317" ht="13.5" customHeight="1" s="98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  <c r="CE317" s="5" t="n"/>
      <c r="CF317" s="5" t="n"/>
      <c r="CG317" s="5" t="n"/>
      <c r="CH317" s="5" t="n"/>
    </row>
    <row r="318" ht="13.5" customHeight="1" s="9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  <c r="CE318" s="5" t="n"/>
      <c r="CF318" s="5" t="n"/>
      <c r="CG318" s="5" t="n"/>
      <c r="CH318" s="5" t="n"/>
    </row>
    <row r="319" ht="13.5" customHeight="1" s="98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  <c r="CE319" s="5" t="n"/>
      <c r="CF319" s="5" t="n"/>
      <c r="CG319" s="5" t="n"/>
      <c r="CH319" s="5" t="n"/>
    </row>
    <row r="320" ht="13.5" customHeight="1" s="98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  <c r="CE320" s="5" t="n"/>
      <c r="CF320" s="5" t="n"/>
      <c r="CG320" s="5" t="n"/>
      <c r="CH320" s="5" t="n"/>
    </row>
    <row r="321" ht="13.5" customHeight="1" s="98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  <c r="BX321" s="5" t="n"/>
      <c r="BY321" s="5" t="n"/>
      <c r="BZ321" s="5" t="n"/>
      <c r="CA321" s="5" t="n"/>
      <c r="CB321" s="5" t="n"/>
      <c r="CC321" s="5" t="n"/>
      <c r="CD321" s="5" t="n"/>
      <c r="CE321" s="5" t="n"/>
      <c r="CF321" s="5" t="n"/>
      <c r="CG321" s="5" t="n"/>
      <c r="CH321" s="5" t="n"/>
    </row>
    <row r="322" ht="13.5" customHeight="1" s="98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  <c r="CE322" s="5" t="n"/>
      <c r="CF322" s="5" t="n"/>
      <c r="CG322" s="5" t="n"/>
      <c r="CH322" s="5" t="n"/>
    </row>
    <row r="323" ht="13.5" customHeight="1" s="98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  <c r="CE323" s="5" t="n"/>
      <c r="CF323" s="5" t="n"/>
      <c r="CG323" s="5" t="n"/>
      <c r="CH323" s="5" t="n"/>
    </row>
    <row r="324" ht="13.5" customHeight="1" s="98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5" t="n"/>
      <c r="BZ324" s="5" t="n"/>
      <c r="CA324" s="5" t="n"/>
      <c r="CB324" s="5" t="n"/>
      <c r="CC324" s="5" t="n"/>
      <c r="CD324" s="5" t="n"/>
      <c r="CE324" s="5" t="n"/>
      <c r="CF324" s="5" t="n"/>
      <c r="CG324" s="5" t="n"/>
      <c r="CH324" s="5" t="n"/>
    </row>
    <row r="325" ht="13.5" customHeight="1" s="98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  <c r="BX325" s="5" t="n"/>
      <c r="BY325" s="5" t="n"/>
      <c r="BZ325" s="5" t="n"/>
      <c r="CA325" s="5" t="n"/>
      <c r="CB325" s="5" t="n"/>
      <c r="CC325" s="5" t="n"/>
      <c r="CD325" s="5" t="n"/>
      <c r="CE325" s="5" t="n"/>
      <c r="CF325" s="5" t="n"/>
      <c r="CG325" s="5" t="n"/>
      <c r="CH325" s="5" t="n"/>
    </row>
    <row r="326" ht="13.5" customHeight="1" s="98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5" t="n"/>
      <c r="BZ326" s="5" t="n"/>
      <c r="CA326" s="5" t="n"/>
      <c r="CB326" s="5" t="n"/>
      <c r="CC326" s="5" t="n"/>
      <c r="CD326" s="5" t="n"/>
      <c r="CE326" s="5" t="n"/>
      <c r="CF326" s="5" t="n"/>
      <c r="CG326" s="5" t="n"/>
      <c r="CH326" s="5" t="n"/>
    </row>
    <row r="327" ht="13.5" customHeight="1" s="98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  <c r="CE327" s="5" t="n"/>
      <c r="CF327" s="5" t="n"/>
      <c r="CG327" s="5" t="n"/>
      <c r="CH327" s="5" t="n"/>
    </row>
    <row r="328" ht="13.5" customHeight="1" s="9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  <c r="CE328" s="5" t="n"/>
      <c r="CF328" s="5" t="n"/>
      <c r="CG328" s="5" t="n"/>
      <c r="CH328" s="5" t="n"/>
    </row>
    <row r="329" ht="13.5" customHeight="1" s="98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  <c r="CE329" s="5" t="n"/>
      <c r="CF329" s="5" t="n"/>
      <c r="CG329" s="5" t="n"/>
      <c r="CH329" s="5" t="n"/>
    </row>
    <row r="330" ht="13.5" customHeight="1" s="98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  <c r="BX330" s="5" t="n"/>
      <c r="BY330" s="5" t="n"/>
      <c r="BZ330" s="5" t="n"/>
      <c r="CA330" s="5" t="n"/>
      <c r="CB330" s="5" t="n"/>
      <c r="CC330" s="5" t="n"/>
      <c r="CD330" s="5" t="n"/>
      <c r="CE330" s="5" t="n"/>
      <c r="CF330" s="5" t="n"/>
      <c r="CG330" s="5" t="n"/>
      <c r="CH330" s="5" t="n"/>
    </row>
    <row r="331" ht="13.5" customHeight="1" s="98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  <c r="BX331" s="5" t="n"/>
      <c r="BY331" s="5" t="n"/>
      <c r="BZ331" s="5" t="n"/>
      <c r="CA331" s="5" t="n"/>
      <c r="CB331" s="5" t="n"/>
      <c r="CC331" s="5" t="n"/>
      <c r="CD331" s="5" t="n"/>
      <c r="CE331" s="5" t="n"/>
      <c r="CF331" s="5" t="n"/>
      <c r="CG331" s="5" t="n"/>
      <c r="CH331" s="5" t="n"/>
    </row>
    <row r="332" ht="13.5" customHeight="1" s="98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  <c r="CE332" s="5" t="n"/>
      <c r="CF332" s="5" t="n"/>
      <c r="CG332" s="5" t="n"/>
      <c r="CH332" s="5" t="n"/>
    </row>
    <row r="333" ht="13.5" customHeight="1" s="98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5" t="n"/>
      <c r="CE333" s="5" t="n"/>
      <c r="CF333" s="5" t="n"/>
      <c r="CG333" s="5" t="n"/>
      <c r="CH333" s="5" t="n"/>
    </row>
    <row r="334" ht="13.5" customHeight="1" s="98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  <c r="CE334" s="5" t="n"/>
      <c r="CF334" s="5" t="n"/>
      <c r="CG334" s="5" t="n"/>
      <c r="CH334" s="5" t="n"/>
    </row>
    <row r="335" ht="13.5" customHeight="1" s="98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  <c r="CE335" s="5" t="n"/>
      <c r="CF335" s="5" t="n"/>
      <c r="CG335" s="5" t="n"/>
      <c r="CH335" s="5" t="n"/>
    </row>
    <row r="336" ht="13.5" customHeight="1" s="98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  <c r="CE336" s="5" t="n"/>
      <c r="CF336" s="5" t="n"/>
      <c r="CG336" s="5" t="n"/>
      <c r="CH336" s="5" t="n"/>
    </row>
    <row r="337" ht="13.5" customHeight="1" s="98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  <c r="CE337" s="5" t="n"/>
      <c r="CF337" s="5" t="n"/>
      <c r="CG337" s="5" t="n"/>
      <c r="CH337" s="5" t="n"/>
    </row>
    <row r="338" ht="13.5" customHeight="1" s="9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  <c r="CE338" s="5" t="n"/>
      <c r="CF338" s="5" t="n"/>
      <c r="CG338" s="5" t="n"/>
      <c r="CH338" s="5" t="n"/>
    </row>
    <row r="339" ht="13.5" customHeight="1" s="98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/>
      <c r="CD339" s="5" t="n"/>
      <c r="CE339" s="5" t="n"/>
      <c r="CF339" s="5" t="n"/>
      <c r="CG339" s="5" t="n"/>
      <c r="CH339" s="5" t="n"/>
    </row>
    <row r="340" ht="13.5" customHeight="1" s="98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  <c r="CE340" s="5" t="n"/>
      <c r="CF340" s="5" t="n"/>
      <c r="CG340" s="5" t="n"/>
      <c r="CH340" s="5" t="n"/>
    </row>
    <row r="341" ht="13.5" customHeight="1" s="98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/>
      <c r="CD341" s="5" t="n"/>
      <c r="CE341" s="5" t="n"/>
      <c r="CF341" s="5" t="n"/>
      <c r="CG341" s="5" t="n"/>
      <c r="CH341" s="5" t="n"/>
    </row>
    <row r="342" ht="13.5" customHeight="1" s="98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  <c r="CE342" s="5" t="n"/>
      <c r="CF342" s="5" t="n"/>
      <c r="CG342" s="5" t="n"/>
      <c r="CH342" s="5" t="n"/>
    </row>
    <row r="343" ht="13.5" customHeight="1" s="98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  <c r="CE343" s="5" t="n"/>
      <c r="CF343" s="5" t="n"/>
      <c r="CG343" s="5" t="n"/>
      <c r="CH343" s="5" t="n"/>
    </row>
    <row r="344" ht="13.5" customHeight="1" s="98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  <c r="CE344" s="5" t="n"/>
      <c r="CF344" s="5" t="n"/>
      <c r="CG344" s="5" t="n"/>
      <c r="CH344" s="5" t="n"/>
    </row>
    <row r="345" ht="13.5" customHeight="1" s="98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  <c r="CE345" s="5" t="n"/>
      <c r="CF345" s="5" t="n"/>
      <c r="CG345" s="5" t="n"/>
      <c r="CH345" s="5" t="n"/>
    </row>
    <row r="346" ht="13.5" customHeight="1" s="98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  <c r="CE346" s="5" t="n"/>
      <c r="CF346" s="5" t="n"/>
      <c r="CG346" s="5" t="n"/>
      <c r="CH346" s="5" t="n"/>
    </row>
    <row r="347" ht="13.5" customHeight="1" s="98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  <c r="CE347" s="5" t="n"/>
      <c r="CF347" s="5" t="n"/>
      <c r="CG347" s="5" t="n"/>
      <c r="CH347" s="5" t="n"/>
    </row>
    <row r="348" ht="13.5" customHeight="1" s="9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/>
      <c r="CD348" s="5" t="n"/>
      <c r="CE348" s="5" t="n"/>
      <c r="CF348" s="5" t="n"/>
      <c r="CG348" s="5" t="n"/>
      <c r="CH348" s="5" t="n"/>
    </row>
    <row r="349" ht="13.5" customHeight="1" s="98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  <c r="CE349" s="5" t="n"/>
      <c r="CF349" s="5" t="n"/>
      <c r="CG349" s="5" t="n"/>
      <c r="CH349" s="5" t="n"/>
    </row>
    <row r="350" ht="13.5" customHeight="1" s="98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/>
      <c r="BZ350" s="5" t="n"/>
      <c r="CA350" s="5" t="n"/>
      <c r="CB350" s="5" t="n"/>
      <c r="CC350" s="5" t="n"/>
      <c r="CD350" s="5" t="n"/>
      <c r="CE350" s="5" t="n"/>
      <c r="CF350" s="5" t="n"/>
      <c r="CG350" s="5" t="n"/>
      <c r="CH350" s="5" t="n"/>
    </row>
    <row r="351" ht="13.5" customHeight="1" s="98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  <c r="CE351" s="5" t="n"/>
      <c r="CF351" s="5" t="n"/>
      <c r="CG351" s="5" t="n"/>
      <c r="CH351" s="5" t="n"/>
    </row>
    <row r="352" ht="13.5" customHeight="1" s="98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/>
      <c r="BZ352" s="5" t="n"/>
      <c r="CA352" s="5" t="n"/>
      <c r="CB352" s="5" t="n"/>
      <c r="CC352" s="5" t="n"/>
      <c r="CD352" s="5" t="n"/>
      <c r="CE352" s="5" t="n"/>
      <c r="CF352" s="5" t="n"/>
      <c r="CG352" s="5" t="n"/>
      <c r="CH352" s="5" t="n"/>
    </row>
    <row r="353" ht="13.5" customHeight="1" s="98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/>
      <c r="BZ353" s="5" t="n"/>
      <c r="CA353" s="5" t="n"/>
      <c r="CB353" s="5" t="n"/>
      <c r="CC353" s="5" t="n"/>
      <c r="CD353" s="5" t="n"/>
      <c r="CE353" s="5" t="n"/>
      <c r="CF353" s="5" t="n"/>
      <c r="CG353" s="5" t="n"/>
      <c r="CH353" s="5" t="n"/>
    </row>
    <row r="354" ht="13.5" customHeight="1" s="98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  <c r="BX354" s="5" t="n"/>
      <c r="BY354" s="5" t="n"/>
      <c r="BZ354" s="5" t="n"/>
      <c r="CA354" s="5" t="n"/>
      <c r="CB354" s="5" t="n"/>
      <c r="CC354" s="5" t="n"/>
      <c r="CD354" s="5" t="n"/>
      <c r="CE354" s="5" t="n"/>
      <c r="CF354" s="5" t="n"/>
      <c r="CG354" s="5" t="n"/>
      <c r="CH354" s="5" t="n"/>
    </row>
    <row r="355" ht="13.5" customHeight="1" s="98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/>
      <c r="BZ355" s="5" t="n"/>
      <c r="CA355" s="5" t="n"/>
      <c r="CB355" s="5" t="n"/>
      <c r="CC355" s="5" t="n"/>
      <c r="CD355" s="5" t="n"/>
      <c r="CE355" s="5" t="n"/>
      <c r="CF355" s="5" t="n"/>
      <c r="CG355" s="5" t="n"/>
      <c r="CH355" s="5" t="n"/>
    </row>
    <row r="356" ht="13.5" customHeight="1" s="98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/>
      <c r="BZ356" s="5" t="n"/>
      <c r="CA356" s="5" t="n"/>
      <c r="CB356" s="5" t="n"/>
      <c r="CC356" s="5" t="n"/>
      <c r="CD356" s="5" t="n"/>
      <c r="CE356" s="5" t="n"/>
      <c r="CF356" s="5" t="n"/>
      <c r="CG356" s="5" t="n"/>
      <c r="CH356" s="5" t="n"/>
    </row>
    <row r="357" ht="13.5" customHeight="1" s="98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  <c r="CE357" s="5" t="n"/>
      <c r="CF357" s="5" t="n"/>
      <c r="CG357" s="5" t="n"/>
      <c r="CH357" s="5" t="n"/>
    </row>
    <row r="358" ht="13.5" customHeight="1" s="9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  <c r="CE358" s="5" t="n"/>
      <c r="CF358" s="5" t="n"/>
      <c r="CG358" s="5" t="n"/>
      <c r="CH358" s="5" t="n"/>
    </row>
    <row r="359" ht="13.5" customHeight="1" s="98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  <c r="CE359" s="5" t="n"/>
      <c r="CF359" s="5" t="n"/>
      <c r="CG359" s="5" t="n"/>
      <c r="CH359" s="5" t="n"/>
    </row>
    <row r="360" ht="13.5" customHeight="1" s="98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  <c r="BX360" s="5" t="n"/>
      <c r="BY360" s="5" t="n"/>
      <c r="BZ360" s="5" t="n"/>
      <c r="CA360" s="5" t="n"/>
      <c r="CB360" s="5" t="n"/>
      <c r="CC360" s="5" t="n"/>
      <c r="CD360" s="5" t="n"/>
      <c r="CE360" s="5" t="n"/>
      <c r="CF360" s="5" t="n"/>
      <c r="CG360" s="5" t="n"/>
      <c r="CH360" s="5" t="n"/>
    </row>
    <row r="361" ht="13.5" customHeight="1" s="98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  <c r="CE361" s="5" t="n"/>
      <c r="CF361" s="5" t="n"/>
      <c r="CG361" s="5" t="n"/>
      <c r="CH361" s="5" t="n"/>
    </row>
    <row r="362" ht="13.5" customHeight="1" s="98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  <c r="BX362" s="5" t="n"/>
      <c r="BY362" s="5" t="n"/>
      <c r="BZ362" s="5" t="n"/>
      <c r="CA362" s="5" t="n"/>
      <c r="CB362" s="5" t="n"/>
      <c r="CC362" s="5" t="n"/>
      <c r="CD362" s="5" t="n"/>
      <c r="CE362" s="5" t="n"/>
      <c r="CF362" s="5" t="n"/>
      <c r="CG362" s="5" t="n"/>
      <c r="CH362" s="5" t="n"/>
    </row>
    <row r="363" ht="13.5" customHeight="1" s="98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  <c r="CE363" s="5" t="n"/>
      <c r="CF363" s="5" t="n"/>
      <c r="CG363" s="5" t="n"/>
      <c r="CH363" s="5" t="n"/>
    </row>
    <row r="364" ht="13.5" customHeight="1" s="98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  <c r="BX364" s="5" t="n"/>
      <c r="BY364" s="5" t="n"/>
      <c r="BZ364" s="5" t="n"/>
      <c r="CA364" s="5" t="n"/>
      <c r="CB364" s="5" t="n"/>
      <c r="CC364" s="5" t="n"/>
      <c r="CD364" s="5" t="n"/>
      <c r="CE364" s="5" t="n"/>
      <c r="CF364" s="5" t="n"/>
      <c r="CG364" s="5" t="n"/>
      <c r="CH364" s="5" t="n"/>
    </row>
    <row r="365" ht="13.5" customHeight="1" s="98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  <c r="BX365" s="5" t="n"/>
      <c r="BY365" s="5" t="n"/>
      <c r="BZ365" s="5" t="n"/>
      <c r="CA365" s="5" t="n"/>
      <c r="CB365" s="5" t="n"/>
      <c r="CC365" s="5" t="n"/>
      <c r="CD365" s="5" t="n"/>
      <c r="CE365" s="5" t="n"/>
      <c r="CF365" s="5" t="n"/>
      <c r="CG365" s="5" t="n"/>
      <c r="CH365" s="5" t="n"/>
    </row>
    <row r="366" ht="13.5" customHeight="1" s="98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  <c r="BX366" s="5" t="n"/>
      <c r="BY366" s="5" t="n"/>
      <c r="BZ366" s="5" t="n"/>
      <c r="CA366" s="5" t="n"/>
      <c r="CB366" s="5" t="n"/>
      <c r="CC366" s="5" t="n"/>
      <c r="CD366" s="5" t="n"/>
      <c r="CE366" s="5" t="n"/>
      <c r="CF366" s="5" t="n"/>
      <c r="CG366" s="5" t="n"/>
      <c r="CH366" s="5" t="n"/>
    </row>
    <row r="367" ht="13.5" customHeight="1" s="98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  <c r="BX367" s="5" t="n"/>
      <c r="BY367" s="5" t="n"/>
      <c r="BZ367" s="5" t="n"/>
      <c r="CA367" s="5" t="n"/>
      <c r="CB367" s="5" t="n"/>
      <c r="CC367" s="5" t="n"/>
      <c r="CD367" s="5" t="n"/>
      <c r="CE367" s="5" t="n"/>
      <c r="CF367" s="5" t="n"/>
      <c r="CG367" s="5" t="n"/>
      <c r="CH367" s="5" t="n"/>
    </row>
    <row r="368" ht="13.5" customHeight="1" s="9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n"/>
      <c r="BZ368" s="5" t="n"/>
      <c r="CA368" s="5" t="n"/>
      <c r="CB368" s="5" t="n"/>
      <c r="CC368" s="5" t="n"/>
      <c r="CD368" s="5" t="n"/>
      <c r="CE368" s="5" t="n"/>
      <c r="CF368" s="5" t="n"/>
      <c r="CG368" s="5" t="n"/>
      <c r="CH368" s="5" t="n"/>
    </row>
    <row r="369" ht="13.5" customHeight="1" s="98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  <c r="CE369" s="5" t="n"/>
      <c r="CF369" s="5" t="n"/>
      <c r="CG369" s="5" t="n"/>
      <c r="CH369" s="5" t="n"/>
    </row>
    <row r="370" ht="13.5" customHeight="1" s="98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/>
      <c r="BZ370" s="5" t="n"/>
      <c r="CA370" s="5" t="n"/>
      <c r="CB370" s="5" t="n"/>
      <c r="CC370" s="5" t="n"/>
      <c r="CD370" s="5" t="n"/>
      <c r="CE370" s="5" t="n"/>
      <c r="CF370" s="5" t="n"/>
      <c r="CG370" s="5" t="n"/>
      <c r="CH370" s="5" t="n"/>
    </row>
    <row r="371" ht="13.5" customHeight="1" s="98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  <c r="CE371" s="5" t="n"/>
      <c r="CF371" s="5" t="n"/>
      <c r="CG371" s="5" t="n"/>
      <c r="CH371" s="5" t="n"/>
    </row>
    <row r="372" ht="13.5" customHeight="1" s="98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  <c r="CE372" s="5" t="n"/>
      <c r="CF372" s="5" t="n"/>
      <c r="CG372" s="5" t="n"/>
      <c r="CH372" s="5" t="n"/>
    </row>
    <row r="373" ht="13.5" customHeight="1" s="98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  <c r="CE373" s="5" t="n"/>
      <c r="CF373" s="5" t="n"/>
      <c r="CG373" s="5" t="n"/>
      <c r="CH373" s="5" t="n"/>
    </row>
    <row r="374" ht="13.5" customHeight="1" s="98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  <c r="CE374" s="5" t="n"/>
      <c r="CF374" s="5" t="n"/>
      <c r="CG374" s="5" t="n"/>
      <c r="CH374" s="5" t="n"/>
    </row>
    <row r="375" ht="13.5" customHeight="1" s="98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  <c r="CE375" s="5" t="n"/>
      <c r="CF375" s="5" t="n"/>
      <c r="CG375" s="5" t="n"/>
      <c r="CH375" s="5" t="n"/>
    </row>
    <row r="376" ht="13.5" customHeight="1" s="98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  <c r="BX376" s="5" t="n"/>
      <c r="BY376" s="5" t="n"/>
      <c r="BZ376" s="5" t="n"/>
      <c r="CA376" s="5" t="n"/>
      <c r="CB376" s="5" t="n"/>
      <c r="CC376" s="5" t="n"/>
      <c r="CD376" s="5" t="n"/>
      <c r="CE376" s="5" t="n"/>
      <c r="CF376" s="5" t="n"/>
      <c r="CG376" s="5" t="n"/>
      <c r="CH376" s="5" t="n"/>
    </row>
    <row r="377" ht="13.5" customHeight="1" s="98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  <c r="CE377" s="5" t="n"/>
      <c r="CF377" s="5" t="n"/>
      <c r="CG377" s="5" t="n"/>
      <c r="CH377" s="5" t="n"/>
    </row>
    <row r="378" ht="13.5" customHeight="1" s="9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  <c r="BX378" s="5" t="n"/>
      <c r="BY378" s="5" t="n"/>
      <c r="BZ378" s="5" t="n"/>
      <c r="CA378" s="5" t="n"/>
      <c r="CB378" s="5" t="n"/>
      <c r="CC378" s="5" t="n"/>
      <c r="CD378" s="5" t="n"/>
      <c r="CE378" s="5" t="n"/>
      <c r="CF378" s="5" t="n"/>
      <c r="CG378" s="5" t="n"/>
      <c r="CH378" s="5" t="n"/>
    </row>
    <row r="379" ht="13.5" customHeight="1" s="98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/>
      <c r="BZ379" s="5" t="n"/>
      <c r="CA379" s="5" t="n"/>
      <c r="CB379" s="5" t="n"/>
      <c r="CC379" s="5" t="n"/>
      <c r="CD379" s="5" t="n"/>
      <c r="CE379" s="5" t="n"/>
      <c r="CF379" s="5" t="n"/>
      <c r="CG379" s="5" t="n"/>
      <c r="CH379" s="5" t="n"/>
    </row>
    <row r="380" ht="13.5" customHeight="1" s="98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  <c r="BX380" s="5" t="n"/>
      <c r="BY380" s="5" t="n"/>
      <c r="BZ380" s="5" t="n"/>
      <c r="CA380" s="5" t="n"/>
      <c r="CB380" s="5" t="n"/>
      <c r="CC380" s="5" t="n"/>
      <c r="CD380" s="5" t="n"/>
      <c r="CE380" s="5" t="n"/>
      <c r="CF380" s="5" t="n"/>
      <c r="CG380" s="5" t="n"/>
      <c r="CH380" s="5" t="n"/>
    </row>
    <row r="381" ht="13.5" customHeight="1" s="98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  <c r="CE381" s="5" t="n"/>
      <c r="CF381" s="5" t="n"/>
      <c r="CG381" s="5" t="n"/>
      <c r="CH381" s="5" t="n"/>
    </row>
    <row r="382" ht="13.5" customHeight="1" s="98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5" t="n"/>
      <c r="CC382" s="5" t="n"/>
      <c r="CD382" s="5" t="n"/>
      <c r="CE382" s="5" t="n"/>
      <c r="CF382" s="5" t="n"/>
      <c r="CG382" s="5" t="n"/>
      <c r="CH382" s="5" t="n"/>
    </row>
    <row r="383" ht="13.5" customHeight="1" s="98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/>
      <c r="BZ383" s="5" t="n"/>
      <c r="CA383" s="5" t="n"/>
      <c r="CB383" s="5" t="n"/>
      <c r="CC383" s="5" t="n"/>
      <c r="CD383" s="5" t="n"/>
      <c r="CE383" s="5" t="n"/>
      <c r="CF383" s="5" t="n"/>
      <c r="CG383" s="5" t="n"/>
      <c r="CH383" s="5" t="n"/>
    </row>
    <row r="384" ht="13.5" customHeight="1" s="98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/>
      <c r="BZ384" s="5" t="n"/>
      <c r="CA384" s="5" t="n"/>
      <c r="CB384" s="5" t="n"/>
      <c r="CC384" s="5" t="n"/>
      <c r="CD384" s="5" t="n"/>
      <c r="CE384" s="5" t="n"/>
      <c r="CF384" s="5" t="n"/>
      <c r="CG384" s="5" t="n"/>
      <c r="CH384" s="5" t="n"/>
    </row>
    <row r="385" ht="13.5" customHeight="1" s="98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  <c r="CE385" s="5" t="n"/>
      <c r="CF385" s="5" t="n"/>
      <c r="CG385" s="5" t="n"/>
      <c r="CH385" s="5" t="n"/>
    </row>
    <row r="386" ht="13.5" customHeight="1" s="98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/>
      <c r="BZ386" s="5" t="n"/>
      <c r="CA386" s="5" t="n"/>
      <c r="CB386" s="5" t="n"/>
      <c r="CC386" s="5" t="n"/>
      <c r="CD386" s="5" t="n"/>
      <c r="CE386" s="5" t="n"/>
      <c r="CF386" s="5" t="n"/>
      <c r="CG386" s="5" t="n"/>
      <c r="CH386" s="5" t="n"/>
    </row>
    <row r="387" ht="13.5" customHeight="1" s="98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/>
      <c r="BZ387" s="5" t="n"/>
      <c r="CA387" s="5" t="n"/>
      <c r="CB387" s="5" t="n"/>
      <c r="CC387" s="5" t="n"/>
      <c r="CD387" s="5" t="n"/>
      <c r="CE387" s="5" t="n"/>
      <c r="CF387" s="5" t="n"/>
      <c r="CG387" s="5" t="n"/>
      <c r="CH387" s="5" t="n"/>
    </row>
    <row r="388" ht="13.5" customHeight="1" s="9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  <c r="BX388" s="5" t="n"/>
      <c r="BY388" s="5" t="n"/>
      <c r="BZ388" s="5" t="n"/>
      <c r="CA388" s="5" t="n"/>
      <c r="CB388" s="5" t="n"/>
      <c r="CC388" s="5" t="n"/>
      <c r="CD388" s="5" t="n"/>
      <c r="CE388" s="5" t="n"/>
      <c r="CF388" s="5" t="n"/>
      <c r="CG388" s="5" t="n"/>
      <c r="CH388" s="5" t="n"/>
    </row>
    <row r="389" ht="13.5" customHeight="1" s="98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  <c r="CE389" s="5" t="n"/>
      <c r="CF389" s="5" t="n"/>
      <c r="CG389" s="5" t="n"/>
      <c r="CH389" s="5" t="n"/>
    </row>
    <row r="390" ht="13.5" customHeight="1" s="98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  <c r="BX390" s="5" t="n"/>
      <c r="BY390" s="5" t="n"/>
      <c r="BZ390" s="5" t="n"/>
      <c r="CA390" s="5" t="n"/>
      <c r="CB390" s="5" t="n"/>
      <c r="CC390" s="5" t="n"/>
      <c r="CD390" s="5" t="n"/>
      <c r="CE390" s="5" t="n"/>
      <c r="CF390" s="5" t="n"/>
      <c r="CG390" s="5" t="n"/>
      <c r="CH390" s="5" t="n"/>
    </row>
    <row r="391" ht="13.5" customHeight="1" s="98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  <c r="BX391" s="5" t="n"/>
      <c r="BY391" s="5" t="n"/>
      <c r="BZ391" s="5" t="n"/>
      <c r="CA391" s="5" t="n"/>
      <c r="CB391" s="5" t="n"/>
      <c r="CC391" s="5" t="n"/>
      <c r="CD391" s="5" t="n"/>
      <c r="CE391" s="5" t="n"/>
      <c r="CF391" s="5" t="n"/>
      <c r="CG391" s="5" t="n"/>
      <c r="CH391" s="5" t="n"/>
    </row>
    <row r="392" ht="13.5" customHeight="1" s="98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  <c r="BX392" s="5" t="n"/>
      <c r="BY392" s="5" t="n"/>
      <c r="BZ392" s="5" t="n"/>
      <c r="CA392" s="5" t="n"/>
      <c r="CB392" s="5" t="n"/>
      <c r="CC392" s="5" t="n"/>
      <c r="CD392" s="5" t="n"/>
      <c r="CE392" s="5" t="n"/>
      <c r="CF392" s="5" t="n"/>
      <c r="CG392" s="5" t="n"/>
      <c r="CH392" s="5" t="n"/>
    </row>
    <row r="393" ht="13.5" customHeight="1" s="98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/>
      <c r="BZ393" s="5" t="n"/>
      <c r="CA393" s="5" t="n"/>
      <c r="CB393" s="5" t="n"/>
      <c r="CC393" s="5" t="n"/>
      <c r="CD393" s="5" t="n"/>
      <c r="CE393" s="5" t="n"/>
      <c r="CF393" s="5" t="n"/>
      <c r="CG393" s="5" t="n"/>
      <c r="CH393" s="5" t="n"/>
    </row>
    <row r="394" ht="13.5" customHeight="1" s="98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/>
      <c r="BZ394" s="5" t="n"/>
      <c r="CA394" s="5" t="n"/>
      <c r="CB394" s="5" t="n"/>
      <c r="CC394" s="5" t="n"/>
      <c r="CD394" s="5" t="n"/>
      <c r="CE394" s="5" t="n"/>
      <c r="CF394" s="5" t="n"/>
      <c r="CG394" s="5" t="n"/>
      <c r="CH394" s="5" t="n"/>
    </row>
    <row r="395" ht="13.5" customHeight="1" s="98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  <c r="BX395" s="5" t="n"/>
      <c r="BY395" s="5" t="n"/>
      <c r="BZ395" s="5" t="n"/>
      <c r="CA395" s="5" t="n"/>
      <c r="CB395" s="5" t="n"/>
      <c r="CC395" s="5" t="n"/>
      <c r="CD395" s="5" t="n"/>
      <c r="CE395" s="5" t="n"/>
      <c r="CF395" s="5" t="n"/>
      <c r="CG395" s="5" t="n"/>
      <c r="CH395" s="5" t="n"/>
    </row>
    <row r="396" ht="13.5" customHeight="1" s="98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  <c r="BX396" s="5" t="n"/>
      <c r="BY396" s="5" t="n"/>
      <c r="BZ396" s="5" t="n"/>
      <c r="CA396" s="5" t="n"/>
      <c r="CB396" s="5" t="n"/>
      <c r="CC396" s="5" t="n"/>
      <c r="CD396" s="5" t="n"/>
      <c r="CE396" s="5" t="n"/>
      <c r="CF396" s="5" t="n"/>
      <c r="CG396" s="5" t="n"/>
      <c r="CH396" s="5" t="n"/>
    </row>
    <row r="397" ht="13.5" customHeight="1" s="98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  <c r="CE397" s="5" t="n"/>
      <c r="CF397" s="5" t="n"/>
      <c r="CG397" s="5" t="n"/>
      <c r="CH397" s="5" t="n"/>
    </row>
    <row r="398" ht="13.5" customHeight="1" s="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/>
      <c r="BZ398" s="5" t="n"/>
      <c r="CA398" s="5" t="n"/>
      <c r="CB398" s="5" t="n"/>
      <c r="CC398" s="5" t="n"/>
      <c r="CD398" s="5" t="n"/>
      <c r="CE398" s="5" t="n"/>
      <c r="CF398" s="5" t="n"/>
      <c r="CG398" s="5" t="n"/>
      <c r="CH398" s="5" t="n"/>
    </row>
    <row r="399" ht="13.5" customHeight="1" s="98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  <c r="CE399" s="5" t="n"/>
      <c r="CF399" s="5" t="n"/>
      <c r="CG399" s="5" t="n"/>
      <c r="CH399" s="5" t="n"/>
    </row>
    <row r="400" ht="13.5" customHeight="1" s="98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  <c r="BX400" s="5" t="n"/>
      <c r="BY400" s="5" t="n"/>
      <c r="BZ400" s="5" t="n"/>
      <c r="CA400" s="5" t="n"/>
      <c r="CB400" s="5" t="n"/>
      <c r="CC400" s="5" t="n"/>
      <c r="CD400" s="5" t="n"/>
      <c r="CE400" s="5" t="n"/>
      <c r="CF400" s="5" t="n"/>
      <c r="CG400" s="5" t="n"/>
      <c r="CH400" s="5" t="n"/>
    </row>
    <row r="401" ht="13.5" customHeight="1" s="98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  <c r="BX401" s="5" t="n"/>
      <c r="BY401" s="5" t="n"/>
      <c r="BZ401" s="5" t="n"/>
      <c r="CA401" s="5" t="n"/>
      <c r="CB401" s="5" t="n"/>
      <c r="CC401" s="5" t="n"/>
      <c r="CD401" s="5" t="n"/>
      <c r="CE401" s="5" t="n"/>
      <c r="CF401" s="5" t="n"/>
      <c r="CG401" s="5" t="n"/>
      <c r="CH401" s="5" t="n"/>
    </row>
    <row r="402" ht="13.5" customHeight="1" s="98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  <c r="BX402" s="5" t="n"/>
      <c r="BY402" s="5" t="n"/>
      <c r="BZ402" s="5" t="n"/>
      <c r="CA402" s="5" t="n"/>
      <c r="CB402" s="5" t="n"/>
      <c r="CC402" s="5" t="n"/>
      <c r="CD402" s="5" t="n"/>
      <c r="CE402" s="5" t="n"/>
      <c r="CF402" s="5" t="n"/>
      <c r="CG402" s="5" t="n"/>
      <c r="CH402" s="5" t="n"/>
    </row>
    <row r="403" ht="13.5" customHeight="1" s="98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  <c r="CE403" s="5" t="n"/>
      <c r="CF403" s="5" t="n"/>
      <c r="CG403" s="5" t="n"/>
      <c r="CH403" s="5" t="n"/>
    </row>
    <row r="404" ht="13.5" customHeight="1" s="98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  <c r="BX404" s="5" t="n"/>
      <c r="BY404" s="5" t="n"/>
      <c r="BZ404" s="5" t="n"/>
      <c r="CA404" s="5" t="n"/>
      <c r="CB404" s="5" t="n"/>
      <c r="CC404" s="5" t="n"/>
      <c r="CD404" s="5" t="n"/>
      <c r="CE404" s="5" t="n"/>
      <c r="CF404" s="5" t="n"/>
      <c r="CG404" s="5" t="n"/>
      <c r="CH404" s="5" t="n"/>
    </row>
    <row r="405" ht="13.5" customHeight="1" s="98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  <c r="BX405" s="5" t="n"/>
      <c r="BY405" s="5" t="n"/>
      <c r="BZ405" s="5" t="n"/>
      <c r="CA405" s="5" t="n"/>
      <c r="CB405" s="5" t="n"/>
      <c r="CC405" s="5" t="n"/>
      <c r="CD405" s="5" t="n"/>
      <c r="CE405" s="5" t="n"/>
      <c r="CF405" s="5" t="n"/>
      <c r="CG405" s="5" t="n"/>
      <c r="CH405" s="5" t="n"/>
    </row>
    <row r="406" ht="13.5" customHeight="1" s="98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  <c r="BX406" s="5" t="n"/>
      <c r="BY406" s="5" t="n"/>
      <c r="BZ406" s="5" t="n"/>
      <c r="CA406" s="5" t="n"/>
      <c r="CB406" s="5" t="n"/>
      <c r="CC406" s="5" t="n"/>
      <c r="CD406" s="5" t="n"/>
      <c r="CE406" s="5" t="n"/>
      <c r="CF406" s="5" t="n"/>
      <c r="CG406" s="5" t="n"/>
      <c r="CH406" s="5" t="n"/>
    </row>
    <row r="407" ht="13.5" customHeight="1" s="98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  <c r="CE407" s="5" t="n"/>
      <c r="CF407" s="5" t="n"/>
      <c r="CG407" s="5" t="n"/>
      <c r="CH407" s="5" t="n"/>
    </row>
    <row r="408" ht="13.5" customHeight="1" s="9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  <c r="BX408" s="5" t="n"/>
      <c r="BY408" s="5" t="n"/>
      <c r="BZ408" s="5" t="n"/>
      <c r="CA408" s="5" t="n"/>
      <c r="CB408" s="5" t="n"/>
      <c r="CC408" s="5" t="n"/>
      <c r="CD408" s="5" t="n"/>
      <c r="CE408" s="5" t="n"/>
      <c r="CF408" s="5" t="n"/>
      <c r="CG408" s="5" t="n"/>
      <c r="CH408" s="5" t="n"/>
    </row>
    <row r="409" ht="13.5" customHeight="1" s="98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  <c r="BX409" s="5" t="n"/>
      <c r="BY409" s="5" t="n"/>
      <c r="BZ409" s="5" t="n"/>
      <c r="CA409" s="5" t="n"/>
      <c r="CB409" s="5" t="n"/>
      <c r="CC409" s="5" t="n"/>
      <c r="CD409" s="5" t="n"/>
      <c r="CE409" s="5" t="n"/>
      <c r="CF409" s="5" t="n"/>
      <c r="CG409" s="5" t="n"/>
      <c r="CH409" s="5" t="n"/>
    </row>
    <row r="410" ht="13.5" customHeight="1" s="98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  <c r="BX410" s="5" t="n"/>
      <c r="BY410" s="5" t="n"/>
      <c r="BZ410" s="5" t="n"/>
      <c r="CA410" s="5" t="n"/>
      <c r="CB410" s="5" t="n"/>
      <c r="CC410" s="5" t="n"/>
      <c r="CD410" s="5" t="n"/>
      <c r="CE410" s="5" t="n"/>
      <c r="CF410" s="5" t="n"/>
      <c r="CG410" s="5" t="n"/>
      <c r="CH410" s="5" t="n"/>
    </row>
    <row r="411" ht="13.5" customHeight="1" s="98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  <c r="CE411" s="5" t="n"/>
      <c r="CF411" s="5" t="n"/>
      <c r="CG411" s="5" t="n"/>
      <c r="CH411" s="5" t="n"/>
    </row>
    <row r="412" ht="13.5" customHeight="1" s="98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  <c r="BX412" s="5" t="n"/>
      <c r="BY412" s="5" t="n"/>
      <c r="BZ412" s="5" t="n"/>
      <c r="CA412" s="5" t="n"/>
      <c r="CB412" s="5" t="n"/>
      <c r="CC412" s="5" t="n"/>
      <c r="CD412" s="5" t="n"/>
      <c r="CE412" s="5" t="n"/>
      <c r="CF412" s="5" t="n"/>
      <c r="CG412" s="5" t="n"/>
      <c r="CH412" s="5" t="n"/>
    </row>
    <row r="413" ht="13.5" customHeight="1" s="98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  <c r="BX413" s="5" t="n"/>
      <c r="BY413" s="5" t="n"/>
      <c r="BZ413" s="5" t="n"/>
      <c r="CA413" s="5" t="n"/>
      <c r="CB413" s="5" t="n"/>
      <c r="CC413" s="5" t="n"/>
      <c r="CD413" s="5" t="n"/>
      <c r="CE413" s="5" t="n"/>
      <c r="CF413" s="5" t="n"/>
      <c r="CG413" s="5" t="n"/>
      <c r="CH413" s="5" t="n"/>
    </row>
    <row r="414" ht="13.5" customHeight="1" s="98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  <c r="BX414" s="5" t="n"/>
      <c r="BY414" s="5" t="n"/>
      <c r="BZ414" s="5" t="n"/>
      <c r="CA414" s="5" t="n"/>
      <c r="CB414" s="5" t="n"/>
      <c r="CC414" s="5" t="n"/>
      <c r="CD414" s="5" t="n"/>
      <c r="CE414" s="5" t="n"/>
      <c r="CF414" s="5" t="n"/>
      <c r="CG414" s="5" t="n"/>
      <c r="CH414" s="5" t="n"/>
    </row>
    <row r="415" ht="13.5" customHeight="1" s="98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  <c r="CE415" s="5" t="n"/>
      <c r="CF415" s="5" t="n"/>
      <c r="CG415" s="5" t="n"/>
      <c r="CH415" s="5" t="n"/>
    </row>
    <row r="416" ht="13.5" customHeight="1" s="98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  <c r="BX416" s="5" t="n"/>
      <c r="BY416" s="5" t="n"/>
      <c r="BZ416" s="5" t="n"/>
      <c r="CA416" s="5" t="n"/>
      <c r="CB416" s="5" t="n"/>
      <c r="CC416" s="5" t="n"/>
      <c r="CD416" s="5" t="n"/>
      <c r="CE416" s="5" t="n"/>
      <c r="CF416" s="5" t="n"/>
      <c r="CG416" s="5" t="n"/>
      <c r="CH416" s="5" t="n"/>
    </row>
    <row r="417" ht="13.5" customHeight="1" s="98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  <c r="CE417" s="5" t="n"/>
      <c r="CF417" s="5" t="n"/>
      <c r="CG417" s="5" t="n"/>
      <c r="CH417" s="5" t="n"/>
    </row>
    <row r="418" ht="13.5" customHeight="1" s="9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  <c r="BX418" s="5" t="n"/>
      <c r="BY418" s="5" t="n"/>
      <c r="BZ418" s="5" t="n"/>
      <c r="CA418" s="5" t="n"/>
      <c r="CB418" s="5" t="n"/>
      <c r="CC418" s="5" t="n"/>
      <c r="CD418" s="5" t="n"/>
      <c r="CE418" s="5" t="n"/>
      <c r="CF418" s="5" t="n"/>
      <c r="CG418" s="5" t="n"/>
      <c r="CH418" s="5" t="n"/>
    </row>
    <row r="419" ht="13.5" customHeight="1" s="98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  <c r="CE419" s="5" t="n"/>
      <c r="CF419" s="5" t="n"/>
      <c r="CG419" s="5" t="n"/>
      <c r="CH419" s="5" t="n"/>
    </row>
    <row r="420" ht="13.5" customHeight="1" s="98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  <c r="BX420" s="5" t="n"/>
      <c r="BY420" s="5" t="n"/>
      <c r="BZ420" s="5" t="n"/>
      <c r="CA420" s="5" t="n"/>
      <c r="CB420" s="5" t="n"/>
      <c r="CC420" s="5" t="n"/>
      <c r="CD420" s="5" t="n"/>
      <c r="CE420" s="5" t="n"/>
      <c r="CF420" s="5" t="n"/>
      <c r="CG420" s="5" t="n"/>
      <c r="CH420" s="5" t="n"/>
    </row>
    <row r="421" ht="13.5" customHeight="1" s="98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  <c r="BX421" s="5" t="n"/>
      <c r="BY421" s="5" t="n"/>
      <c r="BZ421" s="5" t="n"/>
      <c r="CA421" s="5" t="n"/>
      <c r="CB421" s="5" t="n"/>
      <c r="CC421" s="5" t="n"/>
      <c r="CD421" s="5" t="n"/>
      <c r="CE421" s="5" t="n"/>
      <c r="CF421" s="5" t="n"/>
      <c r="CG421" s="5" t="n"/>
      <c r="CH421" s="5" t="n"/>
    </row>
    <row r="422" ht="13.5" customHeight="1" s="98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  <c r="BX422" s="5" t="n"/>
      <c r="BY422" s="5" t="n"/>
      <c r="BZ422" s="5" t="n"/>
      <c r="CA422" s="5" t="n"/>
      <c r="CB422" s="5" t="n"/>
      <c r="CC422" s="5" t="n"/>
      <c r="CD422" s="5" t="n"/>
      <c r="CE422" s="5" t="n"/>
      <c r="CF422" s="5" t="n"/>
      <c r="CG422" s="5" t="n"/>
      <c r="CH422" s="5" t="n"/>
    </row>
    <row r="423" ht="13.5" customHeight="1" s="98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  <c r="BX423" s="5" t="n"/>
      <c r="BY423" s="5" t="n"/>
      <c r="BZ423" s="5" t="n"/>
      <c r="CA423" s="5" t="n"/>
      <c r="CB423" s="5" t="n"/>
      <c r="CC423" s="5" t="n"/>
      <c r="CD423" s="5" t="n"/>
      <c r="CE423" s="5" t="n"/>
      <c r="CF423" s="5" t="n"/>
      <c r="CG423" s="5" t="n"/>
      <c r="CH423" s="5" t="n"/>
    </row>
    <row r="424" ht="13.5" customHeight="1" s="98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  <c r="BX424" s="5" t="n"/>
      <c r="BY424" s="5" t="n"/>
      <c r="BZ424" s="5" t="n"/>
      <c r="CA424" s="5" t="n"/>
      <c r="CB424" s="5" t="n"/>
      <c r="CC424" s="5" t="n"/>
      <c r="CD424" s="5" t="n"/>
      <c r="CE424" s="5" t="n"/>
      <c r="CF424" s="5" t="n"/>
      <c r="CG424" s="5" t="n"/>
      <c r="CH424" s="5" t="n"/>
    </row>
    <row r="425" ht="13.5" customHeight="1" s="98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  <c r="BX425" s="5" t="n"/>
      <c r="BY425" s="5" t="n"/>
      <c r="BZ425" s="5" t="n"/>
      <c r="CA425" s="5" t="n"/>
      <c r="CB425" s="5" t="n"/>
      <c r="CC425" s="5" t="n"/>
      <c r="CD425" s="5" t="n"/>
      <c r="CE425" s="5" t="n"/>
      <c r="CF425" s="5" t="n"/>
      <c r="CG425" s="5" t="n"/>
      <c r="CH425" s="5" t="n"/>
    </row>
    <row r="426" ht="13.5" customHeight="1" s="98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  <c r="BX426" s="5" t="n"/>
      <c r="BY426" s="5" t="n"/>
      <c r="BZ426" s="5" t="n"/>
      <c r="CA426" s="5" t="n"/>
      <c r="CB426" s="5" t="n"/>
      <c r="CC426" s="5" t="n"/>
      <c r="CD426" s="5" t="n"/>
      <c r="CE426" s="5" t="n"/>
      <c r="CF426" s="5" t="n"/>
      <c r="CG426" s="5" t="n"/>
      <c r="CH426" s="5" t="n"/>
    </row>
    <row r="427" ht="13.5" customHeight="1" s="98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  <c r="CE427" s="5" t="n"/>
      <c r="CF427" s="5" t="n"/>
      <c r="CG427" s="5" t="n"/>
      <c r="CH427" s="5" t="n"/>
    </row>
    <row r="428" ht="13.5" customHeight="1" s="9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  <c r="BX428" s="5" t="n"/>
      <c r="BY428" s="5" t="n"/>
      <c r="BZ428" s="5" t="n"/>
      <c r="CA428" s="5" t="n"/>
      <c r="CB428" s="5" t="n"/>
      <c r="CC428" s="5" t="n"/>
      <c r="CD428" s="5" t="n"/>
      <c r="CE428" s="5" t="n"/>
      <c r="CF428" s="5" t="n"/>
      <c r="CG428" s="5" t="n"/>
      <c r="CH428" s="5" t="n"/>
    </row>
    <row r="429" ht="13.5" customHeight="1" s="98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  <c r="BX429" s="5" t="n"/>
      <c r="BY429" s="5" t="n"/>
      <c r="BZ429" s="5" t="n"/>
      <c r="CA429" s="5" t="n"/>
      <c r="CB429" s="5" t="n"/>
      <c r="CC429" s="5" t="n"/>
      <c r="CD429" s="5" t="n"/>
      <c r="CE429" s="5" t="n"/>
      <c r="CF429" s="5" t="n"/>
      <c r="CG429" s="5" t="n"/>
      <c r="CH429" s="5" t="n"/>
    </row>
    <row r="430" ht="13.5" customHeight="1" s="98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  <c r="BX430" s="5" t="n"/>
      <c r="BY430" s="5" t="n"/>
      <c r="BZ430" s="5" t="n"/>
      <c r="CA430" s="5" t="n"/>
      <c r="CB430" s="5" t="n"/>
      <c r="CC430" s="5" t="n"/>
      <c r="CD430" s="5" t="n"/>
      <c r="CE430" s="5" t="n"/>
      <c r="CF430" s="5" t="n"/>
      <c r="CG430" s="5" t="n"/>
      <c r="CH430" s="5" t="n"/>
    </row>
    <row r="431" ht="13.5" customHeight="1" s="98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  <c r="CE431" s="5" t="n"/>
      <c r="CF431" s="5" t="n"/>
      <c r="CG431" s="5" t="n"/>
      <c r="CH431" s="5" t="n"/>
    </row>
    <row r="432" ht="13.5" customHeight="1" s="98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  <c r="BX432" s="5" t="n"/>
      <c r="BY432" s="5" t="n"/>
      <c r="BZ432" s="5" t="n"/>
      <c r="CA432" s="5" t="n"/>
      <c r="CB432" s="5" t="n"/>
      <c r="CC432" s="5" t="n"/>
      <c r="CD432" s="5" t="n"/>
      <c r="CE432" s="5" t="n"/>
      <c r="CF432" s="5" t="n"/>
      <c r="CG432" s="5" t="n"/>
      <c r="CH432" s="5" t="n"/>
    </row>
    <row r="433" ht="13.5" customHeight="1" s="98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  <c r="BX433" s="5" t="n"/>
      <c r="BY433" s="5" t="n"/>
      <c r="BZ433" s="5" t="n"/>
      <c r="CA433" s="5" t="n"/>
      <c r="CB433" s="5" t="n"/>
      <c r="CC433" s="5" t="n"/>
      <c r="CD433" s="5" t="n"/>
      <c r="CE433" s="5" t="n"/>
      <c r="CF433" s="5" t="n"/>
      <c r="CG433" s="5" t="n"/>
      <c r="CH433" s="5" t="n"/>
    </row>
    <row r="434" ht="13.5" customHeight="1" s="98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  <c r="BX434" s="5" t="n"/>
      <c r="BY434" s="5" t="n"/>
      <c r="BZ434" s="5" t="n"/>
      <c r="CA434" s="5" t="n"/>
      <c r="CB434" s="5" t="n"/>
      <c r="CC434" s="5" t="n"/>
      <c r="CD434" s="5" t="n"/>
      <c r="CE434" s="5" t="n"/>
      <c r="CF434" s="5" t="n"/>
      <c r="CG434" s="5" t="n"/>
      <c r="CH434" s="5" t="n"/>
    </row>
    <row r="435" ht="13.5" customHeight="1" s="98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  <c r="CE435" s="5" t="n"/>
      <c r="CF435" s="5" t="n"/>
      <c r="CG435" s="5" t="n"/>
      <c r="CH435" s="5" t="n"/>
    </row>
    <row r="436" ht="13.5" customHeight="1" s="98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  <c r="CE436" s="5" t="n"/>
      <c r="CF436" s="5" t="n"/>
      <c r="CG436" s="5" t="n"/>
      <c r="CH436" s="5" t="n"/>
    </row>
  </sheetData>
  <autoFilter ref="A7:CO62">
    <filterColumn colId="14" hiddenButton="0" showButton="1">
      <filters blank="1">
        <filter val="完了"/>
        <filter val="未着手"/>
        <filter val="レビュー中"/>
        <filter val="確認待ち"/>
        <filter val="進行中"/>
      </filters>
    </filterColumn>
  </autoFilter>
  <mergeCells count="20">
    <mergeCell ref="D4:D6"/>
    <mergeCell ref="J4:J6"/>
    <mergeCell ref="L4:L6"/>
    <mergeCell ref="S4:AL4"/>
    <mergeCell ref="I4:I6"/>
    <mergeCell ref="G4:G6"/>
    <mergeCell ref="K4:K6"/>
    <mergeCell ref="M4:M6"/>
    <mergeCell ref="B4:B6"/>
    <mergeCell ref="F4:F6"/>
    <mergeCell ref="H4:H6"/>
    <mergeCell ref="N4:N6"/>
    <mergeCell ref="P4:P6"/>
    <mergeCell ref="AM4:BP4"/>
    <mergeCell ref="R4:R6"/>
    <mergeCell ref="E4:E6"/>
    <mergeCell ref="C4:C6"/>
    <mergeCell ref="O4:O6"/>
    <mergeCell ref="BQ4:CO4"/>
    <mergeCell ref="Q4:Q6"/>
  </mergeCells>
  <conditionalFormatting sqref="S5:CO6">
    <cfRule type="expression" priority="2" dxfId="1">
      <formula>S$5=TODAY()</formula>
    </cfRule>
  </conditionalFormatting>
  <dataValidations count="2">
    <dataValidation sqref="J7:J62" showDropDown="0" showInputMessage="0" showErrorMessage="0" allowBlank="1" type="list">
      <formula1>"高,中,低,－"</formula1>
    </dataValidation>
    <dataValidation sqref="O7:O62" showDropDown="0" showInputMessage="0" showErrorMessage="0" allowBlank="1" type="list">
      <formula1>"未着手,進行中,確認待ち,レビュー待ち,レビュー中,完了,遅延,保留,中止,追加"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Q60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2" customWidth="1" style="98" min="1" max="1"/>
    <col width="8" customWidth="1" style="98" min="2" max="2"/>
    <col width="12" customWidth="1" style="98" min="3" max="4"/>
    <col width="14" customWidth="1" style="98" min="5" max="5"/>
    <col width="16" customWidth="1" style="98" min="6" max="6"/>
    <col width="38" customWidth="1" style="98" min="7" max="7"/>
    <col width="14" customWidth="1" style="98" min="8" max="11"/>
    <col width="12" customWidth="1" style="98" min="12" max="13"/>
    <col width="38" customWidth="1" style="98" min="14" max="14"/>
    <col width="12" customWidth="1" style="98" min="15" max="15"/>
    <col width="14" customWidth="1" style="98" min="16" max="16"/>
    <col width="8.710000000000001" customWidth="1" style="98" min="17" max="17"/>
  </cols>
  <sheetData>
    <row r="1">
      <c r="B1" s="1" t="inlineStr">
        <is>
          <t>D-3. 課題管理表（Phase2版）</t>
        </is>
      </c>
    </row>
    <row r="2">
      <c r="B2" s="3" t="inlineStr">
        <is>
          <t>標準案の見積・概算日程に残っている未確定事項。出典に無い日付・担当・工数は空欄</t>
        </is>
      </c>
    </row>
    <row r="5" ht="39.75" customHeight="1" s="98">
      <c r="B5" s="4" t="inlineStr">
        <is>
          <t>課題No</t>
        </is>
      </c>
      <c r="C5" s="4" t="inlineStr">
        <is>
          <t>起票日</t>
        </is>
      </c>
      <c r="D5" s="4" t="inlineStr">
        <is>
          <t>分類</t>
        </is>
      </c>
      <c r="E5" s="4" t="inlineStr">
        <is>
          <t>対象IF</t>
        </is>
      </c>
      <c r="F5" s="4" t="inlineStr">
        <is>
          <t>対象マスタ・項目</t>
        </is>
      </c>
      <c r="G5" s="4" t="inlineStr">
        <is>
          <t>起票者</t>
        </is>
      </c>
      <c r="H5" s="4" t="inlineStr">
        <is>
          <t>課題内容</t>
        </is>
      </c>
      <c r="I5" s="4" t="inlineStr">
        <is>
          <t>影響段階</t>
        </is>
      </c>
      <c r="J5" s="4" t="inlineStr">
        <is>
          <t>影響工数</t>
        </is>
      </c>
      <c r="K5" s="4" t="inlineStr">
        <is>
          <t>責任者</t>
        </is>
      </c>
      <c r="L5" s="4" t="inlineStr">
        <is>
          <t>期限</t>
        </is>
      </c>
      <c r="M5" s="4" t="inlineStr">
        <is>
          <t>状態</t>
        </is>
      </c>
      <c r="N5" s="4" t="inlineStr">
        <is>
          <t>解決日</t>
        </is>
      </c>
      <c r="O5" s="4" t="inlineStr">
        <is>
          <t>回答・決着内容</t>
        </is>
      </c>
      <c r="P5" s="6" t="inlineStr">
        <is>
          <t>Phase1課題No</t>
        </is>
      </c>
      <c r="Q5" s="4" t="inlineStr">
        <is>
          <t>関連TBD-ID</t>
        </is>
      </c>
    </row>
    <row r="6" ht="31.5" customHeight="1" s="98">
      <c r="B6" s="9" t="n"/>
      <c r="C6" s="9" t="n"/>
      <c r="D6" s="10" t="n"/>
      <c r="E6" s="9" t="n"/>
      <c r="F6" s="10" t="n"/>
      <c r="G6" s="10" t="n"/>
      <c r="H6" s="10" t="n"/>
      <c r="I6" s="10" t="n"/>
      <c r="J6" s="9" t="n"/>
      <c r="K6" s="10" t="n"/>
      <c r="L6" s="9" t="n"/>
      <c r="M6" s="10" t="n"/>
      <c r="N6" s="9" t="n"/>
      <c r="O6" s="9" t="n"/>
      <c r="P6" s="10" t="n"/>
      <c r="Q6" s="9" t="n"/>
    </row>
    <row r="7" ht="48" customHeight="1" s="98">
      <c r="B7" s="100" t="inlineStr">
        <is>
          <t>生鮮-001</t>
        </is>
      </c>
      <c r="C7" s="66" t="n"/>
      <c r="D7" s="100" t="inlineStr">
        <is>
          <t>マスタ</t>
        </is>
      </c>
      <c r="E7" s="137" t="inlineStr">
        <is>
          <t>未定</t>
        </is>
      </c>
      <c r="F7" s="137" t="inlineStr">
        <is>
          <t>店舗系マスタ・実績12本</t>
        </is>
      </c>
      <c r="G7" s="66" t="n"/>
      <c r="H7" s="137" t="inlineStr">
        <is>
          <t>先方協議では非生鮮と同じ（流用）だが、当社は未同席で実データは未確認</t>
        </is>
      </c>
      <c r="I7" s="100" t="inlineStr">
        <is>
          <t>詳細設計</t>
        </is>
      </c>
      <c r="J7" s="66" t="n"/>
      <c r="K7" s="66" t="n"/>
      <c r="L7" s="66" t="n"/>
      <c r="M7" s="100" t="inlineStr">
        <is>
          <t>未着手</t>
        </is>
      </c>
      <c r="N7" s="66" t="n"/>
      <c r="O7" s="66" t="n"/>
      <c r="P7" s="66" t="n"/>
      <c r="Q7" s="66" t="n"/>
    </row>
    <row r="8" ht="48" customHeight="1" s="98">
      <c r="B8" s="100" t="inlineStr">
        <is>
          <t>生鮮-002</t>
        </is>
      </c>
      <c r="C8" s="66" t="n"/>
      <c r="D8" s="100" t="inlineStr">
        <is>
          <t>その他</t>
        </is>
      </c>
      <c r="E8" s="137" t="inlineStr">
        <is>
          <t>生鮮入荷予定／生鮮発注スケジュール</t>
        </is>
      </c>
      <c r="F8" s="137" t="inlineStr">
        <is>
          <t>PC・CKの別SQL、作成時刻</t>
        </is>
      </c>
      <c r="G8" s="66" t="n"/>
      <c r="H8" s="137" t="inlineStr">
        <is>
          <t>PC/CKの生鮮データは別SQL。標準案はDBGETの2系統と作成時刻の待ち合わせを含む。大きくずれる場合は再見積</t>
        </is>
      </c>
      <c r="I8" s="100" t="inlineStr">
        <is>
          <t>詳細設計</t>
        </is>
      </c>
      <c r="J8" s="66" t="n"/>
      <c r="K8" s="66" t="n"/>
      <c r="L8" s="66" t="n"/>
      <c r="M8" s="100" t="inlineStr">
        <is>
          <t>未着手</t>
        </is>
      </c>
      <c r="N8" s="66" t="n"/>
      <c r="O8" s="66" t="n"/>
      <c r="P8" s="66" t="n"/>
      <c r="Q8" s="66" t="n"/>
    </row>
    <row r="9" ht="48" customHeight="1" s="98">
      <c r="B9" s="100" t="inlineStr">
        <is>
          <t>生鮮-003</t>
        </is>
      </c>
      <c r="C9" s="66" t="n"/>
      <c r="D9" s="100" t="inlineStr">
        <is>
          <t>その他</t>
        </is>
      </c>
      <c r="E9" s="137" t="inlineStr">
        <is>
          <t>生鮮入荷実績</t>
        </is>
      </c>
      <c r="F9" s="137" t="inlineStr">
        <is>
          <t>伝票区分</t>
        </is>
      </c>
      <c r="G9" s="66" t="n"/>
      <c r="H9" s="137" t="inlineStr">
        <is>
          <t>伝票区分の差分とPC/CKの振替は精査が残っている</t>
        </is>
      </c>
      <c r="I9" s="100" t="inlineStr">
        <is>
          <t>詳細設計</t>
        </is>
      </c>
      <c r="J9" s="66" t="n"/>
      <c r="K9" s="66" t="n"/>
      <c r="L9" s="66" t="n"/>
      <c r="M9" s="100" t="inlineStr">
        <is>
          <t>未着手</t>
        </is>
      </c>
      <c r="N9" s="66" t="n"/>
      <c r="O9" s="66" t="n"/>
      <c r="P9" s="66" t="n"/>
      <c r="Q9" s="66" t="n"/>
    </row>
    <row r="10" ht="48" customHeight="1" s="98">
      <c r="B10" s="100" t="inlineStr">
        <is>
          <t>生鮮-004</t>
        </is>
      </c>
      <c r="C10" s="66" t="n"/>
      <c r="D10" s="100" t="inlineStr">
        <is>
          <t>その他</t>
        </is>
      </c>
      <c r="E10" s="137" t="inlineStr">
        <is>
          <t>発注勧告を生鮮統合発注用に変換</t>
        </is>
      </c>
      <c r="F10" s="137" t="inlineStr">
        <is>
          <t>項目差分</t>
        </is>
      </c>
      <c r="G10" s="66" t="n"/>
      <c r="H10" s="137" t="inlineStr">
        <is>
          <t>項目数は未確定。現行の生鮮から発注統合へのIFは使わない。非生鮮発注勧告を参照して作る</t>
        </is>
      </c>
      <c r="I10" s="100" t="inlineStr">
        <is>
          <t>詳細設計</t>
        </is>
      </c>
      <c r="J10" s="66" t="n"/>
      <c r="K10" s="66" t="n"/>
      <c r="L10" s="66" t="n"/>
      <c r="M10" s="100" t="inlineStr">
        <is>
          <t>未着手</t>
        </is>
      </c>
      <c r="N10" s="66" t="n"/>
      <c r="O10" s="66" t="n"/>
      <c r="P10" s="66" t="n"/>
      <c r="Q10" s="66" t="n"/>
    </row>
    <row r="11" ht="48" customHeight="1" s="98">
      <c r="B11" s="100" t="inlineStr">
        <is>
          <t>生鮮-005</t>
        </is>
      </c>
      <c r="C11" s="66" t="n"/>
      <c r="D11" s="100" t="inlineStr">
        <is>
          <t>その他</t>
        </is>
      </c>
      <c r="E11" s="137" t="inlineStr">
        <is>
          <t>対象6本</t>
        </is>
      </c>
      <c r="F11" s="137" t="inlineStr">
        <is>
          <t>IF ID</t>
        </is>
      </c>
      <c r="G11" s="66" t="n"/>
      <c r="H11" s="137" t="inlineStr">
        <is>
          <t>正式なIF IDは台帳未採番。見積の仮採番は台帳の番号ではない</t>
        </is>
      </c>
      <c r="I11" s="100" t="inlineStr">
        <is>
          <t>開発</t>
        </is>
      </c>
      <c r="J11" s="66" t="n"/>
      <c r="K11" s="66" t="n"/>
      <c r="L11" s="66" t="n"/>
      <c r="M11" s="100" t="inlineStr">
        <is>
          <t>未着手</t>
        </is>
      </c>
      <c r="N11" s="66" t="n"/>
      <c r="O11" s="66" t="n"/>
      <c r="P11" s="66" t="n"/>
      <c r="Q11" s="66" t="n"/>
    </row>
    <row r="12" ht="48" customHeight="1" s="98">
      <c r="B12" s="100" t="inlineStr">
        <is>
          <t>生鮮-006</t>
        </is>
      </c>
      <c r="C12" s="66" t="n"/>
      <c r="D12" s="100" t="inlineStr">
        <is>
          <t>その他</t>
        </is>
      </c>
      <c r="E12" s="137" t="inlineStr">
        <is>
          <t>対象6本</t>
        </is>
      </c>
      <c r="F12" s="137" t="inlineStr">
        <is>
          <t>開発・単体の担当</t>
        </is>
      </c>
      <c r="G12" s="66" t="n"/>
      <c r="H12" s="137" t="inlineStr">
        <is>
          <t>開発・単体テストの担当は未定。人数はロックしない</t>
        </is>
      </c>
      <c r="I12" s="100" t="inlineStr">
        <is>
          <t>開発</t>
        </is>
      </c>
      <c r="J12" s="66" t="n"/>
      <c r="K12" s="66" t="n"/>
      <c r="L12" s="66" t="n"/>
      <c r="M12" s="100" t="inlineStr">
        <is>
          <t>未着手</t>
        </is>
      </c>
      <c r="N12" s="66" t="n"/>
      <c r="O12" s="66" t="n"/>
      <c r="P12" s="66" t="n"/>
      <c r="Q12" s="66" t="n"/>
    </row>
    <row r="13" ht="48" customHeight="1" s="98">
      <c r="B13" s="100" t="inlineStr">
        <is>
          <t>生鮮-007</t>
        </is>
      </c>
      <c r="C13" s="66" t="n"/>
      <c r="D13" s="100" t="inlineStr">
        <is>
          <t>その他</t>
        </is>
      </c>
      <c r="E13" s="137" t="inlineStr">
        <is>
          <t>GCS</t>
        </is>
      </c>
      <c r="F13" s="137" t="inlineStr">
        <is>
          <t>アップロード要否</t>
        </is>
      </c>
      <c r="G13" s="66" t="n"/>
      <c r="H13" s="137" t="inlineStr">
        <is>
          <t>GCSアップロードの要否は最終確認が残っている。会議の見込では既存GCSに無い</t>
        </is>
      </c>
      <c r="I13" s="100" t="inlineStr">
        <is>
          <t>開発</t>
        </is>
      </c>
      <c r="J13" s="66" t="n"/>
      <c r="K13" s="66" t="n"/>
      <c r="L13" s="66" t="n"/>
      <c r="M13" s="100" t="inlineStr">
        <is>
          <t>未着手</t>
        </is>
      </c>
      <c r="N13" s="66" t="n"/>
      <c r="O13" s="66" t="n"/>
      <c r="P13" s="66" t="n"/>
      <c r="Q13" s="66" t="n"/>
    </row>
    <row r="14" ht="24" customHeight="1" s="98"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</row>
    <row r="15" ht="24" customHeight="1" s="98"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</row>
    <row r="16" ht="24" customHeight="1" s="98"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</row>
    <row r="17" ht="24" customHeight="1" s="98"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</row>
    <row r="18" ht="24" customHeight="1" s="98"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</row>
    <row r="19" ht="24" customHeight="1" s="98"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</row>
    <row r="20" ht="24" customHeight="1" s="98"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</row>
    <row r="21" ht="24" customHeight="1" s="98"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</row>
    <row r="22" ht="24" customHeight="1" s="98"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</row>
    <row r="23" ht="24" customHeight="1" s="98"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</row>
    <row r="24" ht="24" customHeight="1" s="98"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</row>
    <row r="25" ht="24" customHeight="1" s="98"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</row>
    <row r="26" ht="24" customHeight="1" s="98"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</row>
    <row r="27" ht="24" customHeight="1" s="98"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</row>
    <row r="28" ht="24" customHeight="1" s="98"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</row>
    <row r="29" ht="24" customHeight="1" s="98"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</row>
    <row r="30" ht="24" customHeight="1" s="98"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</row>
    <row r="31" ht="24" customHeight="1" s="98"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</row>
    <row r="32" ht="24" customHeight="1" s="98"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</row>
    <row r="33" ht="24" customHeight="1" s="98"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</row>
    <row r="34" ht="24" customHeight="1" s="98"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</row>
    <row r="35" ht="24" customHeight="1" s="98"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</row>
    <row r="36" ht="24" customHeight="1" s="98"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</row>
    <row r="37" ht="24" customHeight="1" s="98"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</row>
    <row r="38" ht="24" customHeight="1" s="98"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</row>
    <row r="39" ht="24" customHeight="1" s="98"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</row>
    <row r="40" ht="24" customHeight="1" s="98"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</row>
    <row r="41" ht="24" customHeight="1" s="98"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</row>
    <row r="42" ht="24" customHeight="1" s="98"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</row>
    <row r="43" ht="24" customHeight="1" s="98"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</row>
    <row r="44" ht="24" customHeight="1" s="98"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</row>
    <row r="45" ht="24" customHeight="1" s="98"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</row>
    <row r="46" ht="24" customHeight="1" s="98"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</row>
    <row r="47" ht="24" customHeight="1" s="98"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</row>
    <row r="48" ht="24" customHeight="1" s="98"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</row>
    <row r="49" ht="24" customHeight="1" s="98"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</row>
    <row r="50" ht="24" customHeight="1" s="98"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</row>
    <row r="51" ht="24" customHeight="1" s="98"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</row>
    <row r="52" ht="24" customHeight="1" s="98"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</row>
    <row r="53" ht="24" customHeight="1" s="98"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</row>
    <row r="54" ht="24" customHeight="1" s="98"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</row>
    <row r="55" ht="24" customHeight="1" s="98"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</row>
    <row r="56" ht="24" customHeight="1" s="98"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</row>
    <row r="57" ht="15.75" customHeight="1" s="98">
      <c r="D57" s="32" t="n"/>
      <c r="I57" s="32" t="n"/>
      <c r="M57" s="32" t="n"/>
    </row>
    <row r="58" ht="21.75" customHeight="1" s="98">
      <c r="B58" s="28" t="inlineStr">
        <is>
          <t>■ 集計（自動計算）</t>
        </is>
      </c>
      <c r="C58" s="29" t="n"/>
      <c r="D58" s="29" t="n"/>
      <c r="E58" s="29" t="n"/>
      <c r="F58" s="29" t="n"/>
    </row>
    <row r="59" ht="30" customHeight="1" s="98">
      <c r="B59" s="4" t="inlineStr">
        <is>
          <t>起票件数</t>
        </is>
      </c>
      <c r="C59" s="4" t="inlineStr">
        <is>
          <t>完了</t>
        </is>
      </c>
      <c r="D59" s="4" t="inlineStr">
        <is>
          <t>未完了</t>
        </is>
      </c>
      <c r="E59" s="4" t="inlineStr">
        <is>
          <t>うち詳細設計に影響</t>
        </is>
      </c>
      <c r="F59" s="4" t="inlineStr">
        <is>
          <t>完了率</t>
        </is>
      </c>
    </row>
    <row r="60" ht="15.75" customHeight="1" s="98">
      <c r="B60" s="31">
        <f>COUNTA(B7:B57)</f>
        <v/>
      </c>
      <c r="C60" s="31">
        <f>COUNTIF(M7:M57,"完了")</f>
        <v/>
      </c>
      <c r="D60" s="31">
        <f>B60-C60</f>
        <v/>
      </c>
      <c r="E60" s="31">
        <f>COUNTIFS(I7:I57,"詳細設計",M7:M57,"&lt;&gt;完了")</f>
        <v/>
      </c>
      <c r="F60" s="34">
        <f>IF(B60=0,"",C60/B60)</f>
        <v/>
      </c>
    </row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dataValidations count="3">
    <dataValidation sqref="M7:M57" showDropDown="0" showInputMessage="0" showErrorMessage="0" allowBlank="1" type="list">
      <formula1>"未着手,確認中,完了,保留,取下げ"</formula1>
    </dataValidation>
    <dataValidation sqref="D7:D57" showDropDown="0" showInputMessage="0" showErrorMessage="0" allowBlank="1" type="list">
      <formula1>"マスタ,CoreSaver,Shinise,棚割,WMS,環境,その他"</formula1>
    </dataValidation>
    <dataValidation sqref="I7:I57" showDropDown="0" showInputMessage="0" showErrorMessage="0" allowBlank="1" type="list">
      <formula1>"詳細設計,開発,単体テスト,結合テスト"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21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2" customWidth="1" style="98" min="1" max="1"/>
    <col width="8" customWidth="1" style="98" min="2" max="2"/>
    <col width="30" customWidth="1" style="98" min="3" max="3"/>
    <col width="20" customWidth="1" style="98" min="4" max="4"/>
    <col width="13" customWidth="1" style="98" min="5" max="5"/>
    <col width="26" customWidth="1" style="98" min="6" max="6"/>
    <col width="12" customWidth="1" style="98" min="7" max="8"/>
    <col width="34" customWidth="1" style="98" min="9" max="9"/>
    <col width="13" customWidth="1" style="98" min="10" max="10"/>
    <col width="34" customWidth="1" style="98" min="11" max="11"/>
    <col width="14" customWidth="1" style="98" min="12" max="12"/>
  </cols>
  <sheetData>
    <row r="1">
      <c r="B1" s="1" t="inlineStr">
        <is>
          <t>D-4. 前提クリア（ゲート）管理表</t>
        </is>
      </c>
    </row>
    <row r="2">
      <c r="B2" s="3" t="inlineStr">
        <is>
          <t>標準案に残る前提。期限が出典に無いものは空欄。確度は未評価</t>
        </is>
      </c>
    </row>
    <row r="5" ht="39.75" customHeight="1" s="98">
      <c r="B5" s="4" t="inlineStr">
        <is>
          <t>ゲート</t>
        </is>
      </c>
      <c r="C5" s="4" t="inlineStr">
        <is>
          <t>前提内容</t>
        </is>
      </c>
      <c r="D5" s="4" t="inlineStr">
        <is>
          <t>依存先</t>
        </is>
      </c>
      <c r="E5" s="4" t="inlineStr">
        <is>
          <t>期限</t>
        </is>
      </c>
      <c r="F5" s="4" t="inlineStr">
        <is>
          <t>影響IF</t>
        </is>
      </c>
      <c r="G5" s="4" t="inlineStr">
        <is>
          <t>影響工数</t>
        </is>
      </c>
      <c r="H5" s="4" t="inlineStr">
        <is>
          <t>確度</t>
        </is>
      </c>
      <c r="I5" s="4" t="inlineStr">
        <is>
          <t>現在の状況</t>
        </is>
      </c>
      <c r="J5" s="4" t="inlineStr">
        <is>
          <t>最新確認日</t>
        </is>
      </c>
      <c r="K5" s="4" t="inlineStr">
        <is>
          <t>未達時の影響</t>
        </is>
      </c>
      <c r="L5" s="4" t="inlineStr">
        <is>
          <t>対応アクション</t>
        </is>
      </c>
    </row>
    <row r="6" ht="48" customHeight="1" s="98">
      <c r="B6" s="100" t="inlineStr">
        <is>
          <t>G①</t>
        </is>
      </c>
      <c r="C6" s="137" t="inlineStr">
        <is>
          <t>店舗系12本の流用確認（先方協議・当社は未確認）</t>
        </is>
      </c>
      <c r="D6" s="100" t="n"/>
      <c r="E6" s="100" t="n"/>
      <c r="F6" s="137" t="inlineStr">
        <is>
          <t>店舗系12本（個別のIF IDは未定）</t>
        </is>
      </c>
      <c r="G6" s="100" t="n"/>
      <c r="H6" s="100" t="inlineStr">
        <is>
          <t>未評価</t>
        </is>
      </c>
      <c r="I6" s="137" t="inlineStr">
        <is>
          <t>実データは未確認。B1で10/13–10/23に突合する</t>
        </is>
      </c>
      <c r="J6" s="100" t="n"/>
      <c r="K6" s="137" t="inlineStr">
        <is>
          <t>覆った場合は再見積（リスク込み案は251人日）</t>
        </is>
      </c>
      <c r="L6" s="137" t="inlineStr">
        <is>
          <t>B1を10/13–10/23に実施する</t>
        </is>
      </c>
    </row>
    <row r="7" ht="48" customHeight="1" s="98">
      <c r="B7" s="100" t="inlineStr">
        <is>
          <t>G②</t>
        </is>
      </c>
      <c r="C7" s="137" t="inlineStr">
        <is>
          <t>入荷予定・発注スケジュールのPC/CK別SQLと作成時刻</t>
        </is>
      </c>
      <c r="D7" s="100" t="n"/>
      <c r="E7" s="100" t="n"/>
      <c r="F7" s="137" t="inlineStr">
        <is>
          <t>生鮮入荷予定、生鮮発注スケジュール</t>
        </is>
      </c>
      <c r="G7" s="100" t="n"/>
      <c r="H7" s="100" t="inlineStr">
        <is>
          <t>未評価</t>
        </is>
      </c>
      <c r="I7" s="137" t="inlineStr">
        <is>
          <t>標準案はDBGETの2系統と待ち合わせを含む。標準案はこのゲートを待ちにしない</t>
        </is>
      </c>
      <c r="J7" s="100" t="n"/>
      <c r="K7" s="137" t="inlineStr">
        <is>
          <t>作成時刻が大きくずれる場合は再見積</t>
        </is>
      </c>
      <c r="L7" s="137" t="inlineStr">
        <is>
          <t>Layer①でDBGETする</t>
        </is>
      </c>
    </row>
    <row r="8" ht="48" customHeight="1" s="98">
      <c r="B8" s="100" t="inlineStr">
        <is>
          <t>G③</t>
        </is>
      </c>
      <c r="C8" s="137" t="inlineStr">
        <is>
          <t>正式IF IDの台帳採番</t>
        </is>
      </c>
      <c r="D8" s="100" t="n"/>
      <c r="E8" s="100" t="n"/>
      <c r="F8" s="137" t="inlineStr">
        <is>
          <t>新規／差分の6本</t>
        </is>
      </c>
      <c r="G8" s="100" t="n"/>
      <c r="H8" s="100" t="inlineStr">
        <is>
          <t>未評価</t>
        </is>
      </c>
      <c r="I8" s="137" t="inlineStr">
        <is>
          <t>正式なIF IDは未定</t>
        </is>
      </c>
      <c r="J8" s="100" t="n"/>
      <c r="K8" s="137" t="inlineStr">
        <is>
          <t>開発のプロジェクト名をIF IDにできない</t>
        </is>
      </c>
      <c r="L8" s="137" t="inlineStr">
        <is>
          <t>台帳で採番してから記載する</t>
        </is>
      </c>
    </row>
    <row r="9" ht="39.75" customHeight="1" s="98"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</row>
    <row r="10" ht="39.75" customHeight="1" s="98"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</row>
    <row r="11" ht="39.75" customHeight="1" s="98"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</row>
    <row r="12" ht="39.75" customHeight="1" s="98"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</row>
    <row r="13" ht="39.75" customHeight="1" s="98"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</row>
    <row r="14">
      <c r="H14" s="32" t="n"/>
    </row>
    <row r="15" ht="21.75" customHeight="1" s="98">
      <c r="B15" s="28" t="inlineStr">
        <is>
          <t>■ 集計</t>
        </is>
      </c>
      <c r="C15" s="29" t="n"/>
      <c r="D15" s="29" t="n"/>
      <c r="E15" s="29" t="n"/>
    </row>
    <row r="16" ht="30" customHeight="1" s="98">
      <c r="B16" s="4" t="inlineStr">
        <is>
          <t>ゲート数</t>
        </is>
      </c>
      <c r="C16" s="4" t="inlineStr">
        <is>
          <t>影響工数 合計</t>
        </is>
      </c>
      <c r="D16" s="4" t="inlineStr">
        <is>
          <t>総工数に対する比率</t>
        </is>
      </c>
      <c r="E16" s="4" t="inlineStr">
        <is>
          <t>備考</t>
        </is>
      </c>
    </row>
    <row r="17">
      <c r="B17" s="31">
        <f>COUNTA(B6:B14)</f>
        <v/>
      </c>
      <c r="C17" s="31">
        <f>SUM(G6:G14)</f>
        <v/>
      </c>
      <c r="D17" s="34" t="n"/>
      <c r="E17" s="35" t="inlineStr">
        <is>
          <t>影響工数は空欄。出典にゲート別の待機工数がない</t>
        </is>
      </c>
    </row>
    <row r="19">
      <c r="B19" s="3" t="inlineStr">
        <is>
          <t>※ 確度は未評価。期限は出典に無いため空欄です。</t>
        </is>
      </c>
    </row>
    <row r="20">
      <c r="B20" s="3" t="inlineStr">
        <is>
          <t>※ リスク込み案の251人日は、流用が覆った場合の再見積の参照値です。本表の影響工数には入れていません。</t>
        </is>
      </c>
    </row>
    <row r="21" ht="15.75" customHeight="1" s="98">
      <c r="B21" s="3" t="inlineStr">
        <is>
          <t>※ G②は標準案では着手の待ちにしません。作成時刻が待ち合わせで収まらない場合に再見積します。</t>
        </is>
      </c>
    </row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dataValidations count="1">
    <dataValidation sqref="H6:H14" showDropDown="0" showInputMessage="0" showErrorMessage="0" allowBlank="1" type="list">
      <formula1>"高,中,低,未評価"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43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2" customWidth="1" style="98" min="1" max="1"/>
    <col width="9" customWidth="1" style="98" min="2" max="2"/>
    <col width="12" customWidth="1" style="98" min="3" max="3"/>
    <col width="14" customWidth="1" style="98" min="4" max="4"/>
    <col width="36" customWidth="1" style="98" min="5" max="5"/>
    <col width="30" customWidth="1" style="98" min="6" max="6"/>
    <col width="16" customWidth="1" style="98" min="7" max="7"/>
    <col width="11" customWidth="1" style="98" min="8" max="11"/>
    <col width="13" customWidth="1" style="98" min="12" max="12"/>
    <col width="20" customWidth="1" style="98" min="13" max="13"/>
    <col width="12" customWidth="1" style="98" min="14" max="15"/>
    <col width="24" customWidth="1" style="98" min="16" max="16"/>
  </cols>
  <sheetData>
    <row r="1">
      <c r="B1" s="1" t="inlineStr">
        <is>
          <t>D-5. 変更管理表</t>
        </is>
      </c>
    </row>
    <row r="2">
      <c r="B2" s="3" t="inlineStr">
        <is>
          <t>仕様変更の影響を記録します。本表に記録のない変更は追加見積の対象とできません。現時点の起票はありません</t>
        </is>
      </c>
    </row>
    <row r="5" ht="39.75" customHeight="1" s="98">
      <c r="B5" s="4" t="inlineStr">
        <is>
          <t>変更No</t>
        </is>
      </c>
      <c r="C5" s="4" t="inlineStr">
        <is>
          <t>発生日</t>
        </is>
      </c>
      <c r="D5" s="4" t="inlineStr">
        <is>
          <t>対象IF</t>
        </is>
      </c>
      <c r="E5" s="4" t="inlineStr">
        <is>
          <t>変更内容</t>
        </is>
      </c>
      <c r="F5" s="4" t="inlineStr">
        <is>
          <t>変更理由</t>
        </is>
      </c>
      <c r="G5" s="4" t="inlineStr">
        <is>
          <t>発生源</t>
        </is>
      </c>
      <c r="H5" s="4" t="inlineStr">
        <is>
          <t>詳細設計</t>
        </is>
      </c>
      <c r="I5" s="4" t="inlineStr">
        <is>
          <t>開発</t>
        </is>
      </c>
      <c r="J5" s="4" t="inlineStr">
        <is>
          <t>単体</t>
        </is>
      </c>
      <c r="K5" s="4" t="inlineStr">
        <is>
          <t>工数計</t>
        </is>
      </c>
      <c r="L5" s="4" t="inlineStr">
        <is>
          <t>影響金額</t>
        </is>
      </c>
      <c r="M5" s="4" t="inlineStr">
        <is>
          <t>スケジュール影響</t>
        </is>
      </c>
      <c r="N5" s="4" t="inlineStr">
        <is>
          <t>承認状況</t>
        </is>
      </c>
      <c r="O5" s="4" t="inlineStr">
        <is>
          <t>承認日</t>
        </is>
      </c>
      <c r="P5" s="4" t="inlineStr">
        <is>
          <t>備考</t>
        </is>
      </c>
    </row>
    <row r="6" ht="31.5" customHeight="1" s="98">
      <c r="B6" s="138" t="n"/>
      <c r="C6" s="138" t="n"/>
      <c r="D6" s="138" t="n"/>
      <c r="E6" s="139" t="n"/>
      <c r="F6" s="139" t="n"/>
      <c r="G6" s="139" t="n"/>
      <c r="H6" s="138" t="n"/>
      <c r="I6" s="138" t="n"/>
      <c r="J6" s="138" t="n"/>
      <c r="K6" s="138">
        <f>IF(COUNT(H6:J6)=0,"",SUM(H6:J6))</f>
        <v/>
      </c>
      <c r="L6" s="138">
        <f>IF(K6="","",K6*27500)</f>
        <v/>
      </c>
      <c r="M6" s="139" t="n"/>
      <c r="N6" s="139" t="n"/>
      <c r="O6" s="138" t="n"/>
      <c r="P6" s="138" t="n"/>
    </row>
    <row r="7" ht="25.5" customHeight="1" s="98"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49">
        <f>IF(COUNT(H7:J7)=0,"",SUM(H7:J7))</f>
        <v/>
      </c>
      <c r="L7" s="50">
        <f>IF(K7="","",K7*27500)</f>
        <v/>
      </c>
      <c r="M7" s="66" t="n"/>
      <c r="N7" s="66" t="n"/>
      <c r="O7" s="66" t="n"/>
      <c r="P7" s="66" t="n"/>
    </row>
    <row r="8" ht="25.5" customHeight="1" s="98"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49">
        <f>IF(COUNT(H8:J8)=0,"",SUM(H8:J8))</f>
        <v/>
      </c>
      <c r="L8" s="50">
        <f>IF(K8="","",K8*27500)</f>
        <v/>
      </c>
      <c r="M8" s="66" t="n"/>
      <c r="N8" s="66" t="n"/>
      <c r="O8" s="66" t="n"/>
      <c r="P8" s="66" t="n"/>
    </row>
    <row r="9" ht="25.5" customHeight="1" s="98"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49">
        <f>IF(COUNT(H9:J9)=0,"",SUM(H9:J9))</f>
        <v/>
      </c>
      <c r="L9" s="50">
        <f>IF(K9="","",K9*27500)</f>
        <v/>
      </c>
      <c r="M9" s="66" t="n"/>
      <c r="N9" s="66" t="n"/>
      <c r="O9" s="66" t="n"/>
      <c r="P9" s="66" t="n"/>
    </row>
    <row r="10" ht="25.5" customHeight="1" s="98"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49">
        <f>IF(COUNT(H10:J10)=0,"",SUM(H10:J10))</f>
        <v/>
      </c>
      <c r="L10" s="50">
        <f>IF(K10="","",K10*27500)</f>
        <v/>
      </c>
      <c r="M10" s="66" t="n"/>
      <c r="N10" s="66" t="n"/>
      <c r="O10" s="66" t="n"/>
      <c r="P10" s="66" t="n"/>
    </row>
    <row r="11" ht="25.5" customHeight="1" s="98"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49">
        <f>IF(COUNT(H11:J11)=0,"",SUM(H11:J11))</f>
        <v/>
      </c>
      <c r="L11" s="50">
        <f>IF(K11="","",K11*27500)</f>
        <v/>
      </c>
      <c r="M11" s="66" t="n"/>
      <c r="N11" s="66" t="n"/>
      <c r="O11" s="66" t="n"/>
      <c r="P11" s="66" t="n"/>
    </row>
    <row r="12" ht="25.5" customHeight="1" s="98"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49">
        <f>IF(COUNT(H12:J12)=0,"",SUM(H12:J12))</f>
        <v/>
      </c>
      <c r="L12" s="50">
        <f>IF(K12="","",K12*27500)</f>
        <v/>
      </c>
      <c r="M12" s="66" t="n"/>
      <c r="N12" s="66" t="n"/>
      <c r="O12" s="66" t="n"/>
      <c r="P12" s="66" t="n"/>
    </row>
    <row r="13" ht="25.5" customHeight="1" s="98"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49">
        <f>IF(COUNT(H13:J13)=0,"",SUM(H13:J13))</f>
        <v/>
      </c>
      <c r="L13" s="50">
        <f>IF(K13="","",K13*27500)</f>
        <v/>
      </c>
      <c r="M13" s="66" t="n"/>
      <c r="N13" s="66" t="n"/>
      <c r="O13" s="66" t="n"/>
      <c r="P13" s="66" t="n"/>
    </row>
    <row r="14" ht="25.5" customHeight="1" s="98"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49">
        <f>IF(COUNT(H14:J14)=0,"",SUM(H14:J14))</f>
        <v/>
      </c>
      <c r="L14" s="50">
        <f>IF(K14="","",K14*27500)</f>
        <v/>
      </c>
      <c r="M14" s="66" t="n"/>
      <c r="N14" s="66" t="n"/>
      <c r="O14" s="66" t="n"/>
      <c r="P14" s="66" t="n"/>
    </row>
    <row r="15" ht="25.5" customHeight="1" s="98"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49">
        <f>IF(COUNT(H15:J15)=0,"",SUM(H15:J15))</f>
        <v/>
      </c>
      <c r="L15" s="50">
        <f>IF(K15="","",K15*27500)</f>
        <v/>
      </c>
      <c r="M15" s="66" t="n"/>
      <c r="N15" s="66" t="n"/>
      <c r="O15" s="66" t="n"/>
      <c r="P15" s="66" t="n"/>
    </row>
    <row r="16" ht="25.5" customHeight="1" s="98"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49">
        <f>IF(COUNT(H16:J16)=0,"",SUM(H16:J16))</f>
        <v/>
      </c>
      <c r="L16" s="50">
        <f>IF(K16="","",K16*27500)</f>
        <v/>
      </c>
      <c r="M16" s="66" t="n"/>
      <c r="N16" s="66" t="n"/>
      <c r="O16" s="66" t="n"/>
      <c r="P16" s="66" t="n"/>
    </row>
    <row r="17" ht="25.5" customHeight="1" s="98"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49">
        <f>IF(COUNT(H17:J17)=0,"",SUM(H17:J17))</f>
        <v/>
      </c>
      <c r="L17" s="50">
        <f>IF(K17="","",K17*27500)</f>
        <v/>
      </c>
      <c r="M17" s="66" t="n"/>
      <c r="N17" s="66" t="n"/>
      <c r="O17" s="66" t="n"/>
      <c r="P17" s="66" t="n"/>
    </row>
    <row r="18" ht="25.5" customHeight="1" s="98"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49">
        <f>IF(COUNT(H18:J18)=0,"",SUM(H18:J18))</f>
        <v/>
      </c>
      <c r="L18" s="50">
        <f>IF(K18="","",K18*27500)</f>
        <v/>
      </c>
      <c r="M18" s="66" t="n"/>
      <c r="N18" s="66" t="n"/>
      <c r="O18" s="66" t="n"/>
      <c r="P18" s="66" t="n"/>
    </row>
    <row r="19" ht="25.5" customHeight="1" s="98"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49">
        <f>IF(COUNT(H19:J19)=0,"",SUM(H19:J19))</f>
        <v/>
      </c>
      <c r="L19" s="50">
        <f>IF(K19="","",K19*27500)</f>
        <v/>
      </c>
      <c r="M19" s="66" t="n"/>
      <c r="N19" s="66" t="n"/>
      <c r="O19" s="66" t="n"/>
      <c r="P19" s="66" t="n"/>
    </row>
    <row r="20" ht="25.5" customHeight="1" s="98"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49">
        <f>IF(COUNT(H20:J20)=0,"",SUM(H20:J20))</f>
        <v/>
      </c>
      <c r="L20" s="50">
        <f>IF(K20="","",K20*27500)</f>
        <v/>
      </c>
      <c r="M20" s="66" t="n"/>
      <c r="N20" s="66" t="n"/>
      <c r="O20" s="66" t="n"/>
      <c r="P20" s="66" t="n"/>
    </row>
    <row r="21" ht="25.5" customHeight="1" s="98"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49">
        <f>IF(COUNT(H21:J21)=0,"",SUM(H21:J21))</f>
        <v/>
      </c>
      <c r="L21" s="50">
        <f>IF(K21="","",K21*27500)</f>
        <v/>
      </c>
      <c r="M21" s="66" t="n"/>
      <c r="N21" s="66" t="n"/>
      <c r="O21" s="66" t="n"/>
      <c r="P21" s="66" t="n"/>
    </row>
    <row r="22" ht="25.5" customHeight="1" s="98"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49">
        <f>IF(COUNT(H22:J22)=0,"",SUM(H22:J22))</f>
        <v/>
      </c>
      <c r="L22" s="50">
        <f>IF(K22="","",K22*27500)</f>
        <v/>
      </c>
      <c r="M22" s="66" t="n"/>
      <c r="N22" s="66" t="n"/>
      <c r="O22" s="66" t="n"/>
      <c r="P22" s="66" t="n"/>
    </row>
    <row r="23" ht="25.5" customHeight="1" s="98"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49">
        <f>IF(COUNT(H23:J23)=0,"",SUM(H23:J23))</f>
        <v/>
      </c>
      <c r="L23" s="50">
        <f>IF(K23="","",K23*27500)</f>
        <v/>
      </c>
      <c r="M23" s="66" t="n"/>
      <c r="N23" s="66" t="n"/>
      <c r="O23" s="66" t="n"/>
      <c r="P23" s="66" t="n"/>
    </row>
    <row r="24" ht="25.5" customHeight="1" s="98"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49">
        <f>IF(COUNT(H24:J24)=0,"",SUM(H24:J24))</f>
        <v/>
      </c>
      <c r="L24" s="50">
        <f>IF(K24="","",K24*27500)</f>
        <v/>
      </c>
      <c r="M24" s="66" t="n"/>
      <c r="N24" s="66" t="n"/>
      <c r="O24" s="66" t="n"/>
      <c r="P24" s="66" t="n"/>
    </row>
    <row r="25" ht="25.5" customHeight="1" s="98"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49">
        <f>IF(COUNT(H25:J25)=0,"",SUM(H25:J25))</f>
        <v/>
      </c>
      <c r="L25" s="50">
        <f>IF(K25="","",K25*27500)</f>
        <v/>
      </c>
      <c r="M25" s="66" t="n"/>
      <c r="N25" s="66" t="n"/>
      <c r="O25" s="66" t="n"/>
      <c r="P25" s="66" t="n"/>
    </row>
    <row r="26" ht="25.5" customHeight="1" s="98"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49">
        <f>IF(COUNT(H26:J26)=0,"",SUM(H26:J26))</f>
        <v/>
      </c>
      <c r="L26" s="50">
        <f>IF(K26="","",K26*27500)</f>
        <v/>
      </c>
      <c r="M26" s="66" t="n"/>
      <c r="N26" s="66" t="n"/>
      <c r="O26" s="66" t="n"/>
      <c r="P26" s="66" t="n"/>
    </row>
    <row r="27" ht="25.5" customHeight="1" s="98"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49">
        <f>IF(COUNT(H27:J27)=0,"",SUM(H27:J27))</f>
        <v/>
      </c>
      <c r="L27" s="50">
        <f>IF(K27="","",K27*27500)</f>
        <v/>
      </c>
      <c r="M27" s="66" t="n"/>
      <c r="N27" s="66" t="n"/>
      <c r="O27" s="66" t="n"/>
      <c r="P27" s="66" t="n"/>
    </row>
    <row r="28" ht="25.5" customHeight="1" s="98"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49">
        <f>IF(COUNT(H28:J28)=0,"",SUM(H28:J28))</f>
        <v/>
      </c>
      <c r="L28" s="50">
        <f>IF(K28="","",K28*27500)</f>
        <v/>
      </c>
      <c r="M28" s="66" t="n"/>
      <c r="N28" s="66" t="n"/>
      <c r="O28" s="66" t="n"/>
      <c r="P28" s="66" t="n"/>
    </row>
    <row r="29" ht="25.5" customHeight="1" s="98"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49">
        <f>IF(COUNT(H29:J29)=0,"",SUM(H29:J29))</f>
        <v/>
      </c>
      <c r="L29" s="50">
        <f>IF(K29="","",K29*27500)</f>
        <v/>
      </c>
      <c r="M29" s="66" t="n"/>
      <c r="N29" s="66" t="n"/>
      <c r="O29" s="66" t="n"/>
      <c r="P29" s="66" t="n"/>
    </row>
    <row r="30" ht="25.5" customHeight="1" s="98"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49">
        <f>IF(COUNT(H30:J30)=0,"",SUM(H30:J30))</f>
        <v/>
      </c>
      <c r="L30" s="50">
        <f>IF(K30="","",K30*27500)</f>
        <v/>
      </c>
      <c r="M30" s="66" t="n"/>
      <c r="N30" s="66" t="n"/>
      <c r="O30" s="66" t="n"/>
      <c r="P30" s="66" t="n"/>
    </row>
    <row r="31" ht="25.5" customHeight="1" s="98"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49">
        <f>IF(COUNT(H31:J31)=0,"",SUM(H31:J31))</f>
        <v/>
      </c>
      <c r="L31" s="50">
        <f>IF(K31="","",K31*27500)</f>
        <v/>
      </c>
      <c r="M31" s="66" t="n"/>
      <c r="N31" s="66" t="n"/>
      <c r="O31" s="66" t="n"/>
      <c r="P31" s="66" t="n"/>
    </row>
    <row r="32" ht="25.5" customHeight="1" s="98"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49">
        <f>IF(COUNT(H32:J32)=0,"",SUM(H32:J32))</f>
        <v/>
      </c>
      <c r="L32" s="50">
        <f>IF(K32="","",K32*27500)</f>
        <v/>
      </c>
      <c r="M32" s="66" t="n"/>
      <c r="N32" s="66" t="n"/>
      <c r="O32" s="66" t="n"/>
      <c r="P32" s="66" t="n"/>
    </row>
    <row r="33" ht="25.5" customHeight="1" s="98"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49">
        <f>IF(COUNT(H33:J33)=0,"",SUM(H33:J33))</f>
        <v/>
      </c>
      <c r="L33" s="50">
        <f>IF(K33="","",K33*27500)</f>
        <v/>
      </c>
      <c r="M33" s="66" t="n"/>
      <c r="N33" s="66" t="n"/>
      <c r="O33" s="66" t="n"/>
      <c r="P33" s="66" t="n"/>
    </row>
    <row r="34" ht="25.5" customHeight="1" s="98"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49">
        <f>IF(COUNT(H34:J34)=0,"",SUM(H34:J34))</f>
        <v/>
      </c>
      <c r="L34" s="50">
        <f>IF(K34="","",K34*27500)</f>
        <v/>
      </c>
      <c r="M34" s="66" t="n"/>
      <c r="N34" s="66" t="n"/>
      <c r="O34" s="66" t="n"/>
      <c r="P34" s="66" t="n"/>
    </row>
    <row r="35" ht="25.5" customHeight="1" s="98"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49">
        <f>IF(COUNT(H35:J35)=0,"",SUM(H35:J35))</f>
        <v/>
      </c>
      <c r="L35" s="50">
        <f>IF(K35="","",K35*27500)</f>
        <v/>
      </c>
      <c r="M35" s="66" t="n"/>
      <c r="N35" s="66" t="n"/>
      <c r="O35" s="66" t="n"/>
      <c r="P35" s="66" t="n"/>
    </row>
    <row r="36" ht="25.5" customHeight="1" s="98"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49">
        <f>IF(COUNT(H36:J36)=0,"",SUM(H36:J36))</f>
        <v/>
      </c>
      <c r="L36" s="50">
        <f>IF(K36="","",K36*27500)</f>
        <v/>
      </c>
      <c r="M36" s="66" t="n"/>
      <c r="N36" s="66" t="n"/>
      <c r="O36" s="66" t="n"/>
      <c r="P36" s="66" t="n"/>
    </row>
    <row r="37" ht="15.75" customHeight="1" s="98">
      <c r="G37" s="32" t="n"/>
      <c r="N37" s="32" t="n"/>
    </row>
    <row r="38" ht="21.75" customHeight="1" s="98">
      <c r="B38" s="28" t="inlineStr">
        <is>
          <t>■ 集計（自動計算）</t>
        </is>
      </c>
      <c r="C38" s="29" t="n"/>
      <c r="D38" s="29" t="n"/>
      <c r="E38" s="29" t="n"/>
    </row>
    <row r="39" ht="30" customHeight="1" s="98">
      <c r="B39" s="4" t="inlineStr">
        <is>
          <t>変更件数</t>
        </is>
      </c>
      <c r="C39" s="4" t="inlineStr">
        <is>
          <t>承認済 工数計</t>
        </is>
      </c>
      <c r="D39" s="4" t="inlineStr">
        <is>
          <t>承認済 金額計</t>
        </is>
      </c>
      <c r="E39" s="4" t="inlineStr">
        <is>
          <t>備考</t>
        </is>
      </c>
    </row>
    <row r="40" ht="15.75" customHeight="1" s="98">
      <c r="B40" s="31">
        <f>COUNTA(B6:B36)</f>
        <v/>
      </c>
      <c r="C40" s="31">
        <f>SUMIF(N6:N36,"承認",K6:K36)</f>
        <v/>
      </c>
      <c r="D40" s="58">
        <f>SUMIF(N6:N36,"承認",L6:L36)</f>
        <v/>
      </c>
      <c r="E40" s="35" t="n"/>
    </row>
    <row r="41" ht="15.75" customHeight="1" s="98"/>
    <row r="42" ht="15.75" customHeight="1" s="98">
      <c r="B42" s="3" t="inlineStr">
        <is>
          <t>※ 影響金額は 工数計 × 27,500円（詳細設計・開発・単体テストの単価。標準案のPhase2直接単価）で自動計算しています。</t>
        </is>
      </c>
    </row>
    <row r="43" ht="15.75" customHeight="1" s="98">
      <c r="B43" s="3" t="inlineStr">
        <is>
          <t>※ スコープ外の作業を当社で実施する場合も、本表に起票してください。現時点で起票された変更はありません。</t>
        </is>
      </c>
    </row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dataValidations count="2">
    <dataValidation sqref="G6:G36" showDropDown="0" showInputMessage="0" showErrorMessage="0" allowBlank="1" type="list">
      <formula1>"お客様,他PJ,当社,外部要因"</formula1>
    </dataValidation>
    <dataValidation sqref="N6:N36" showDropDown="0" showInputMessage="0" showErrorMessage="0" allowBlank="1" type="list">
      <formula1>"起票,申請中,承認,却下,保留"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29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2" customWidth="1" style="98" min="1" max="1"/>
    <col width="9" customWidth="1" style="98" min="2" max="2"/>
    <col width="12" customWidth="1" style="98" min="3" max="4"/>
    <col width="36" customWidth="1" style="98" min="5" max="5"/>
    <col width="10" customWidth="1" style="98" min="6" max="8"/>
    <col width="11" customWidth="1" style="98" min="9" max="9"/>
    <col width="14" customWidth="1" style="98" min="10" max="10"/>
    <col width="40" customWidth="1" style="98" min="11" max="11"/>
    <col width="14" customWidth="1" style="98" min="12" max="12"/>
    <col width="13" customWidth="1" style="98" min="13" max="13"/>
    <col width="12" customWidth="1" style="98" min="14" max="14"/>
  </cols>
  <sheetData>
    <row r="1">
      <c r="B1" s="1" t="inlineStr">
        <is>
          <t>D-6. リスク管理表</t>
        </is>
      </c>
    </row>
    <row r="2">
      <c r="B2" s="3" t="inlineStr">
        <is>
          <t>発生確率と影響度は出典に無いため空欄。リスク値は両方が入ったときだけ計算します</t>
        </is>
      </c>
    </row>
    <row r="5" ht="39.75" customHeight="1" s="98">
      <c r="B5" s="4" t="inlineStr">
        <is>
          <t>リスクNo</t>
        </is>
      </c>
      <c r="C5" s="4" t="inlineStr">
        <is>
          <t>起票日</t>
        </is>
      </c>
      <c r="D5" s="4" t="inlineStr">
        <is>
          <t>分類</t>
        </is>
      </c>
      <c r="E5" s="4" t="inlineStr">
        <is>
          <t>リスク内容</t>
        </is>
      </c>
      <c r="F5" s="4" t="inlineStr">
        <is>
          <t>発生確率</t>
        </is>
      </c>
      <c r="G5" s="4" t="inlineStr">
        <is>
          <t>影響度</t>
        </is>
      </c>
      <c r="H5" s="4" t="inlineStr">
        <is>
          <t>リスク値</t>
        </is>
      </c>
      <c r="I5" s="4" t="inlineStr">
        <is>
          <t>影響工数</t>
        </is>
      </c>
      <c r="J5" s="4" t="inlineStr">
        <is>
          <t>対応方針</t>
        </is>
      </c>
      <c r="K5" s="4" t="inlineStr">
        <is>
          <t>対応策</t>
        </is>
      </c>
      <c r="L5" s="4" t="inlineStr">
        <is>
          <t>責任者</t>
        </is>
      </c>
      <c r="M5" s="4" t="inlineStr">
        <is>
          <t>期限</t>
        </is>
      </c>
      <c r="N5" s="4" t="inlineStr">
        <is>
          <t>状態</t>
        </is>
      </c>
    </row>
    <row r="6" ht="48" customHeight="1" s="98">
      <c r="B6" s="100" t="inlineStr">
        <is>
          <t>R-001</t>
        </is>
      </c>
      <c r="C6" s="100" t="n"/>
      <c r="D6" s="100" t="inlineStr">
        <is>
          <t>マスタ</t>
        </is>
      </c>
      <c r="E6" s="137" t="inlineStr">
        <is>
          <t>店舗系12本の流用が覆る。先方協議の結果を仮置きしており、当社は実データを未確認</t>
        </is>
      </c>
      <c r="F6" s="100" t="n"/>
      <c r="G6" s="100" t="n"/>
      <c r="H6" s="140">
        <f>IF(COUNT(F6:G6)&lt;2,"",F6*G6)</f>
        <v/>
      </c>
      <c r="I6" s="100" t="n"/>
      <c r="J6" s="100" t="n"/>
      <c r="K6" s="137" t="inlineStr">
        <is>
          <t>覆った場合は再見積する。リスク込み案は251人日（標準案157.5人日）。B1で10/13–10/23に突合する</t>
        </is>
      </c>
      <c r="L6" s="100" t="n"/>
      <c r="M6" s="100" t="n"/>
      <c r="N6" s="100" t="inlineStr">
        <is>
          <t>未着手</t>
        </is>
      </c>
    </row>
    <row r="7" ht="48" customHeight="1" s="98">
      <c r="B7" s="100" t="inlineStr">
        <is>
          <t>R-002</t>
        </is>
      </c>
      <c r="C7" s="100" t="n"/>
      <c r="D7" s="100" t="inlineStr">
        <is>
          <t>その他</t>
        </is>
      </c>
      <c r="E7" s="137" t="inlineStr">
        <is>
          <t>入荷予定・発注スケジュールの作成時刻が、待ち合わせでは収まらない</t>
        </is>
      </c>
      <c r="F7" s="100" t="n"/>
      <c r="G7" s="100" t="n"/>
      <c r="H7" s="140">
        <f>IF(COUNT(F7:G7)&lt;2,"",F7*G7)</f>
        <v/>
      </c>
      <c r="I7" s="100" t="n"/>
      <c r="J7" s="100" t="n"/>
      <c r="K7" s="137" t="inlineStr">
        <is>
          <t>その場合は再見積してから日程を組み直す。標準案はDBGETの2系統と待ち合わせを含む</t>
        </is>
      </c>
      <c r="L7" s="100" t="n"/>
      <c r="M7" s="100" t="n"/>
      <c r="N7" s="100" t="inlineStr">
        <is>
          <t>未着手</t>
        </is>
      </c>
    </row>
    <row r="8" ht="48" customHeight="1" s="98">
      <c r="B8" s="100" t="inlineStr">
        <is>
          <t>R-003</t>
        </is>
      </c>
      <c r="C8" s="100" t="n"/>
      <c r="D8" s="100" t="inlineStr">
        <is>
          <t>体制</t>
        </is>
      </c>
      <c r="E8" s="137" t="inlineStr">
        <is>
          <t>10/13に詳細設計までの4人が揃わない</t>
        </is>
      </c>
      <c r="F8" s="100" t="n"/>
      <c r="G8" s="100" t="n"/>
      <c r="H8" s="140">
        <f>IF(COUNT(F8:G8)&lt;2,"",F8*G8)</f>
        <v/>
      </c>
      <c r="I8" s="100" t="n"/>
      <c r="J8" s="100" t="n"/>
      <c r="K8" s="137" t="inlineStr">
        <is>
          <t>本日程は12/25より後ろへ自動では延ばさない。再見積して組み直す</t>
        </is>
      </c>
      <c r="L8" s="100" t="n"/>
      <c r="M8" s="100" t="n"/>
      <c r="N8" s="100" t="inlineStr">
        <is>
          <t>未着手</t>
        </is>
      </c>
    </row>
    <row r="9" ht="48" customHeight="1" s="98">
      <c r="B9" s="100" t="inlineStr">
        <is>
          <t>R-004</t>
        </is>
      </c>
      <c r="C9" s="100" t="n"/>
      <c r="D9" s="100" t="inlineStr">
        <is>
          <t>体制</t>
        </is>
      </c>
      <c r="E9" s="137" t="inlineStr">
        <is>
          <t>開発・単体の人員が未定</t>
        </is>
      </c>
      <c r="F9" s="100" t="n"/>
      <c r="G9" s="100" t="n"/>
      <c r="H9" s="140">
        <f>IF(COUNT(F9:G9)&lt;2,"",F9*G9)</f>
        <v/>
      </c>
      <c r="I9" s="100" t="n"/>
      <c r="J9" s="100" t="n"/>
      <c r="K9" s="137" t="inlineStr">
        <is>
          <t>人数はロックしない。開発38.5＋単体28.0＋B3の5＝71.5人日を、11/2から12/25の38営業日に置くと約1.9人相当（概算日程の仮定）</t>
        </is>
      </c>
      <c r="L9" s="100" t="n"/>
      <c r="M9" s="100" t="n"/>
      <c r="N9" s="100" t="inlineStr">
        <is>
          <t>未着手</t>
        </is>
      </c>
    </row>
    <row r="10" ht="54" customHeight="1" s="98">
      <c r="B10" s="53" t="n"/>
      <c r="C10" s="66" t="n"/>
      <c r="D10" s="8" t="n"/>
      <c r="E10" s="8" t="n"/>
      <c r="F10" s="53" t="n"/>
      <c r="G10" s="53" t="n"/>
      <c r="H10" s="24" t="n"/>
      <c r="I10" s="57" t="n"/>
      <c r="J10" s="57" t="n"/>
      <c r="K10" s="8" t="n"/>
      <c r="L10" s="8" t="n"/>
      <c r="M10" s="8" t="n"/>
      <c r="N10" s="57" t="n"/>
    </row>
    <row r="11" ht="39.75" customHeight="1" s="98">
      <c r="B11" s="66" t="n"/>
      <c r="C11" s="66" t="n"/>
      <c r="D11" s="66" t="n"/>
      <c r="E11" s="66" t="n"/>
      <c r="F11" s="66" t="n"/>
      <c r="G11" s="66" t="n"/>
      <c r="H11" s="31">
        <f>IF(COUNT(F11:G11)&lt;2,"",F11*G11)</f>
        <v/>
      </c>
      <c r="I11" s="66" t="n"/>
      <c r="J11" s="66" t="n"/>
      <c r="K11" s="66" t="n"/>
      <c r="L11" s="66" t="n"/>
      <c r="M11" s="66" t="n"/>
      <c r="N11" s="66" t="n"/>
    </row>
    <row r="12" ht="39.75" customHeight="1" s="98">
      <c r="B12" s="66" t="n"/>
      <c r="C12" s="66" t="n"/>
      <c r="D12" s="66" t="n"/>
      <c r="E12" s="66" t="n"/>
      <c r="F12" s="66" t="n"/>
      <c r="G12" s="66" t="n"/>
      <c r="H12" s="31">
        <f>IF(COUNT(F12:G12)&lt;2,"",F12*G12)</f>
        <v/>
      </c>
      <c r="I12" s="66" t="n"/>
      <c r="J12" s="66" t="n"/>
      <c r="K12" s="66" t="n"/>
      <c r="L12" s="66" t="n"/>
      <c r="M12" s="66" t="n"/>
      <c r="N12" s="66" t="n"/>
    </row>
    <row r="13" ht="39.75" customHeight="1" s="98">
      <c r="B13" s="66" t="n"/>
      <c r="C13" s="66" t="n"/>
      <c r="D13" s="66" t="n"/>
      <c r="E13" s="66" t="n"/>
      <c r="F13" s="66" t="n"/>
      <c r="G13" s="66" t="n"/>
      <c r="H13" s="31">
        <f>IF(COUNT(F13:G13)&lt;2,"",F13*G13)</f>
        <v/>
      </c>
      <c r="I13" s="66" t="n"/>
      <c r="J13" s="66" t="n"/>
      <c r="K13" s="66" t="n"/>
      <c r="L13" s="66" t="n"/>
      <c r="M13" s="66" t="n"/>
      <c r="N13" s="66" t="n"/>
    </row>
    <row r="14" ht="39.75" customHeight="1" s="98">
      <c r="B14" s="66" t="n"/>
      <c r="C14" s="66" t="n"/>
      <c r="D14" s="66" t="n"/>
      <c r="E14" s="66" t="n"/>
      <c r="F14" s="66" t="n"/>
      <c r="G14" s="66" t="n"/>
      <c r="H14" s="31">
        <f>IF(COUNT(F14:G14)&lt;2,"",F14*G14)</f>
        <v/>
      </c>
      <c r="I14" s="66" t="n"/>
      <c r="J14" s="66" t="n"/>
      <c r="K14" s="66" t="n"/>
      <c r="L14" s="66" t="n"/>
      <c r="M14" s="66" t="n"/>
      <c r="N14" s="66" t="n"/>
    </row>
    <row r="15" ht="39.75" customHeight="1" s="98">
      <c r="B15" s="66" t="n"/>
      <c r="C15" s="66" t="n"/>
      <c r="D15" s="66" t="n"/>
      <c r="E15" s="66" t="n"/>
      <c r="F15" s="66" t="n"/>
      <c r="G15" s="66" t="n"/>
      <c r="H15" s="31">
        <f>IF(COUNT(F15:G15)&lt;2,"",F15*G15)</f>
        <v/>
      </c>
      <c r="I15" s="66" t="n"/>
      <c r="J15" s="66" t="n"/>
      <c r="K15" s="66" t="n"/>
      <c r="L15" s="66" t="n"/>
      <c r="M15" s="66" t="n"/>
      <c r="N15" s="66" t="n"/>
    </row>
    <row r="16" ht="39.75" customHeight="1" s="98">
      <c r="B16" s="66" t="n"/>
      <c r="C16" s="66" t="n"/>
      <c r="D16" s="66" t="n"/>
      <c r="E16" s="66" t="n"/>
      <c r="F16" s="66" t="n"/>
      <c r="G16" s="66" t="n"/>
      <c r="H16" s="31">
        <f>IF(COUNT(F16:G16)&lt;2,"",F16*G16)</f>
        <v/>
      </c>
      <c r="I16" s="66" t="n"/>
      <c r="J16" s="66" t="n"/>
      <c r="K16" s="66" t="n"/>
      <c r="L16" s="66" t="n"/>
      <c r="M16" s="66" t="n"/>
      <c r="N16" s="66" t="n"/>
    </row>
    <row r="17" ht="39.75" customHeight="1" s="98">
      <c r="B17" s="66" t="n"/>
      <c r="C17" s="66" t="n"/>
      <c r="D17" s="66" t="n"/>
      <c r="E17" s="66" t="n"/>
      <c r="F17" s="66" t="n"/>
      <c r="G17" s="66" t="n"/>
      <c r="H17" s="31">
        <f>IF(COUNT(F17:G17)&lt;2,"",F17*G17)</f>
        <v/>
      </c>
      <c r="I17" s="66" t="n"/>
      <c r="J17" s="66" t="n"/>
      <c r="K17" s="66" t="n"/>
      <c r="L17" s="66" t="n"/>
      <c r="M17" s="66" t="n"/>
      <c r="N17" s="66" t="n"/>
    </row>
    <row r="18" ht="39.75" customHeight="1" s="98">
      <c r="B18" s="66" t="n"/>
      <c r="C18" s="66" t="n"/>
      <c r="D18" s="66" t="n"/>
      <c r="E18" s="66" t="n"/>
      <c r="F18" s="66" t="n"/>
      <c r="G18" s="66" t="n"/>
      <c r="H18" s="31">
        <f>IF(COUNT(F18:G18)&lt;2,"",F18*G18)</f>
        <v/>
      </c>
      <c r="I18" s="66" t="n"/>
      <c r="J18" s="66" t="n"/>
      <c r="K18" s="66" t="n"/>
      <c r="L18" s="66" t="n"/>
      <c r="M18" s="66" t="n"/>
      <c r="N18" s="66" t="n"/>
    </row>
    <row r="19" ht="39.75" customHeight="1" s="98">
      <c r="B19" s="66" t="n"/>
      <c r="C19" s="66" t="n"/>
      <c r="D19" s="66" t="n"/>
      <c r="E19" s="66" t="n"/>
      <c r="F19" s="66" t="n"/>
      <c r="G19" s="66" t="n"/>
      <c r="H19" s="31">
        <f>IF(COUNT(F19:G19)&lt;2,"",F19*G19)</f>
        <v/>
      </c>
      <c r="I19" s="66" t="n"/>
      <c r="J19" s="66" t="n"/>
      <c r="K19" s="66" t="n"/>
      <c r="L19" s="66" t="n"/>
      <c r="M19" s="66" t="n"/>
      <c r="N19" s="66" t="n"/>
    </row>
    <row r="20" ht="39.75" customHeight="1" s="98">
      <c r="B20" s="66" t="n"/>
      <c r="C20" s="66" t="n"/>
      <c r="D20" s="66" t="n"/>
      <c r="E20" s="66" t="n"/>
      <c r="F20" s="66" t="n"/>
      <c r="G20" s="66" t="n"/>
      <c r="H20" s="31">
        <f>IF(COUNT(F20:G20)&lt;2,"",F20*G20)</f>
        <v/>
      </c>
      <c r="I20" s="66" t="n"/>
      <c r="J20" s="66" t="n"/>
      <c r="K20" s="66" t="n"/>
      <c r="L20" s="66" t="n"/>
      <c r="M20" s="66" t="n"/>
      <c r="N20" s="66" t="n"/>
    </row>
    <row r="21" ht="39.75" customHeight="1" s="98">
      <c r="B21" s="66" t="n"/>
      <c r="C21" s="66" t="n"/>
      <c r="D21" s="66" t="n"/>
      <c r="E21" s="66" t="n"/>
      <c r="F21" s="66" t="n"/>
      <c r="G21" s="66" t="n"/>
      <c r="H21" s="31">
        <f>IF(COUNT(F21:G21)&lt;2,"",F21*G21)</f>
        <v/>
      </c>
      <c r="I21" s="66" t="n"/>
      <c r="J21" s="66" t="n"/>
      <c r="K21" s="66" t="n"/>
      <c r="L21" s="66" t="n"/>
      <c r="M21" s="66" t="n"/>
      <c r="N21" s="66" t="n"/>
    </row>
    <row r="22" ht="39.75" customHeight="1" s="98">
      <c r="B22" s="66" t="n"/>
      <c r="C22" s="66" t="n"/>
      <c r="D22" s="66" t="n"/>
      <c r="E22" s="66" t="n"/>
      <c r="F22" s="66" t="n"/>
      <c r="G22" s="66" t="n"/>
      <c r="H22" s="31">
        <f>IF(COUNT(F22:G22)&lt;2,"",F22*G22)</f>
        <v/>
      </c>
      <c r="I22" s="66" t="n"/>
      <c r="J22" s="66" t="n"/>
      <c r="K22" s="66" t="n"/>
      <c r="L22" s="66" t="n"/>
      <c r="M22" s="66" t="n"/>
      <c r="N22" s="66" t="n"/>
    </row>
    <row r="23" ht="39.75" customHeight="1" s="98">
      <c r="B23" s="66" t="n"/>
      <c r="C23" s="66" t="n"/>
      <c r="D23" s="66" t="n"/>
      <c r="E23" s="66" t="n"/>
      <c r="F23" s="66" t="n"/>
      <c r="G23" s="66" t="n"/>
      <c r="H23" s="31">
        <f>IF(COUNT(F23:G23)&lt;2,"",F23*G23)</f>
        <v/>
      </c>
      <c r="I23" s="66" t="n"/>
      <c r="J23" s="66" t="n"/>
      <c r="K23" s="66" t="n"/>
      <c r="L23" s="66" t="n"/>
      <c r="M23" s="66" t="n"/>
      <c r="N23" s="66" t="n"/>
    </row>
    <row r="24" ht="39.75" customHeight="1" s="98">
      <c r="B24" s="66" t="n"/>
      <c r="C24" s="66" t="n"/>
      <c r="D24" s="66" t="n"/>
      <c r="E24" s="66" t="n"/>
      <c r="F24" s="66" t="n"/>
      <c r="G24" s="66" t="n"/>
      <c r="H24" s="31">
        <f>IF(COUNT(F24:G24)&lt;2,"",F24*G24)</f>
        <v/>
      </c>
      <c r="I24" s="66" t="n"/>
      <c r="J24" s="66" t="n"/>
      <c r="K24" s="66" t="n"/>
      <c r="L24" s="66" t="n"/>
      <c r="M24" s="66" t="n"/>
      <c r="N24" s="66" t="n"/>
    </row>
    <row r="25" ht="39.75" customHeight="1" s="98">
      <c r="B25" s="66" t="n"/>
      <c r="C25" s="66" t="n"/>
      <c r="D25" s="66" t="n"/>
      <c r="E25" s="66" t="n"/>
      <c r="F25" s="66" t="n"/>
      <c r="G25" s="66" t="n"/>
      <c r="H25" s="31">
        <f>IF(COUNT(F25:G25)&lt;2,"",F25*G25)</f>
        <v/>
      </c>
      <c r="I25" s="66" t="n"/>
      <c r="J25" s="66" t="n"/>
      <c r="K25" s="66" t="n"/>
      <c r="L25" s="66" t="n"/>
      <c r="M25" s="66" t="n"/>
      <c r="N25" s="66" t="n"/>
    </row>
    <row r="26" ht="15.75" customHeight="1" s="98">
      <c r="D26" s="32" t="n"/>
      <c r="F26" s="32" t="n"/>
      <c r="G26" s="32" t="n"/>
      <c r="J26" s="32" t="n"/>
      <c r="N26" s="32" t="n"/>
    </row>
    <row r="27" ht="15.75" customHeight="1" s="98">
      <c r="B27" s="3" t="inlineStr">
        <is>
          <t>※ 発生確率　1：低（30%未満）／2：中（30〜70%）／3：高（70%超）。本表では未評価のため空欄</t>
        </is>
      </c>
    </row>
    <row r="28" ht="15.75" customHeight="1" s="98">
      <c r="B28" s="3" t="inlineStr">
        <is>
          <t>※ 影響度　　1：小（工数10人日未満）／2：中（10〜50人日）／3：大（50人日超またはスケジュールに直接影響）。本表では未評価のため空欄</t>
        </is>
      </c>
    </row>
    <row r="29" ht="15.75" customHeight="1" s="98">
      <c r="B29" s="3" t="inlineStr">
        <is>
          <t>※ リスク値6以上は週次報告の対象です。確率と影響度が空欄の間はリスク値も空欄です。</t>
        </is>
      </c>
    </row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dataValidations count="4">
    <dataValidation sqref="J6:J26" showDropDown="0" showInputMessage="0" showErrorMessage="0" allowBlank="1" type="list">
      <formula1>"回避,軽減,転嫁,受容"</formula1>
    </dataValidation>
    <dataValidation sqref="N6:N26" showDropDown="0" showInputMessage="0" showErrorMessage="0" allowBlank="1" type="list">
      <formula1>"未着手,対応中,解消,顕在化"</formula1>
    </dataValidation>
    <dataValidation sqref="D6:D26" showDropDown="0" showInputMessage="0" showErrorMessage="0" allowBlank="1" type="list">
      <formula1>"マスタ,他システム,棚割,Shinise,WMS,体制,環境,その他"</formula1>
    </dataValidation>
    <dataValidation sqref="F6:G26" showDropDown="0" showInputMessage="0" showErrorMessage="0" allowBlank="1" type="list">
      <formula1>"1,2,3"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44"/>
  <sheetViews>
    <sheetView workbookViewId="0">
      <selection activeCell="A1" sqref="A1"/>
    </sheetView>
  </sheetViews>
  <sheetFormatPr baseColWidth="8" defaultColWidth="14.43" defaultRowHeight="15" customHeight="1" outlineLevelRow="1"/>
  <cols>
    <col width="2" customWidth="1" style="98" min="1" max="1"/>
    <col width="14" customWidth="1" style="98" min="2" max="2"/>
    <col width="20" customWidth="1" style="98" min="3" max="3"/>
    <col width="8.710000000000001" customWidth="1" style="98" min="4" max="26"/>
  </cols>
  <sheetData>
    <row r="1">
      <c r="B1" s="51" t="inlineStr">
        <is>
          <t>タイムライン設定（このシートは編集後に非表示にしてください）</t>
        </is>
      </c>
    </row>
    <row r="3">
      <c r="B3" s="52" t="inlineStr">
        <is>
          <t>非稼働日（祝日）</t>
        </is>
      </c>
    </row>
    <row r="4">
      <c r="B4" s="3" t="inlineStr">
        <is>
          <t>※ ここに日付を追加すると、WBSのタイムラインが自動的に非稼働日として扱います。土日は関数が除外します</t>
        </is>
      </c>
    </row>
    <row r="5">
      <c r="B5" s="54" t="n">
        <v>46307</v>
      </c>
      <c r="C5" s="141" t="inlineStr">
        <is>
          <t>スポーツの日</t>
        </is>
      </c>
    </row>
    <row r="6">
      <c r="B6" s="54" t="n">
        <v>46329</v>
      </c>
      <c r="C6" s="141" t="inlineStr">
        <is>
          <t>文化の日</t>
        </is>
      </c>
    </row>
    <row r="7">
      <c r="B7" s="54" t="n">
        <v>46349</v>
      </c>
      <c r="C7" s="141" t="inlineStr">
        <is>
          <t>勤労感謝の日</t>
        </is>
      </c>
    </row>
    <row r="8">
      <c r="B8" s="54" t="n"/>
      <c r="C8" s="55" t="n"/>
    </row>
    <row r="9">
      <c r="B9" s="54" t="n"/>
      <c r="C9" s="55" t="n"/>
    </row>
    <row r="10">
      <c r="B10" s="54" t="n"/>
      <c r="C10" s="55" t="n"/>
    </row>
    <row r="11">
      <c r="B11" s="54" t="n"/>
      <c r="C11" s="55" t="n"/>
    </row>
    <row r="12">
      <c r="B12" s="35" t="n"/>
      <c r="C12" s="35" t="n"/>
    </row>
    <row r="13">
      <c r="B13" s="35" t="n"/>
      <c r="C13" s="35" t="n"/>
    </row>
    <row r="14">
      <c r="B14" s="35" t="n"/>
      <c r="C14" s="35" t="n"/>
    </row>
    <row r="15">
      <c r="B15" s="35" t="n"/>
      <c r="C15" s="35" t="n"/>
    </row>
    <row r="16">
      <c r="B16" s="35" t="n"/>
      <c r="C16" s="35" t="n"/>
    </row>
    <row r="17">
      <c r="B17" s="35" t="n"/>
      <c r="C17" s="35" t="n"/>
    </row>
    <row r="18">
      <c r="B18" s="35" t="n"/>
      <c r="C18" s="35" t="n"/>
    </row>
    <row r="19">
      <c r="B19" s="35" t="n"/>
      <c r="C19" s="35" t="n"/>
    </row>
    <row r="20">
      <c r="B20" s="35" t="n"/>
      <c r="C20" s="35" t="n"/>
    </row>
    <row r="21" ht="15.75" customHeight="1" s="98">
      <c r="B21" s="35" t="n"/>
      <c r="C21" s="35" t="n"/>
    </row>
    <row r="22" ht="15.75" customHeight="1" s="98">
      <c r="B22" s="35" t="n"/>
      <c r="C22" s="35" t="n"/>
    </row>
    <row r="23" ht="15.75" customHeight="1" s="98">
      <c r="B23" s="35" t="n"/>
      <c r="C23" s="35" t="n"/>
    </row>
    <row r="24" ht="15.75" customHeight="1" s="98">
      <c r="B24" s="35" t="n"/>
      <c r="C24" s="35" t="n"/>
    </row>
    <row r="25" ht="15.75" customHeight="1" s="98">
      <c r="B25" s="35" t="n"/>
      <c r="C25" s="35" t="n"/>
    </row>
    <row r="26" ht="15.75" customHeight="1" s="98">
      <c r="B26" s="35" t="n"/>
      <c r="C26" s="35" t="n"/>
    </row>
    <row r="27" ht="15.75" customHeight="1" s="98">
      <c r="B27" s="35" t="n"/>
      <c r="C27" s="35" t="n"/>
    </row>
    <row r="28" ht="15.75" customHeight="1" s="98">
      <c r="B28" s="35" t="n"/>
      <c r="C28" s="35" t="n"/>
    </row>
    <row r="29" ht="15.75" customHeight="1" s="98">
      <c r="B29" s="35" t="n"/>
      <c r="C29" s="35" t="n"/>
    </row>
    <row r="30" ht="15.75" customHeight="1" s="98">
      <c r="B30" s="35" t="n"/>
      <c r="C30" s="35" t="n"/>
    </row>
    <row r="31" ht="15.75" customHeight="1" s="98">
      <c r="B31" s="35" t="n"/>
      <c r="C31" s="35" t="n"/>
    </row>
    <row r="32" ht="15.75" customHeight="1" s="98">
      <c r="B32" s="35" t="n"/>
      <c r="C32" s="35" t="n"/>
    </row>
    <row r="33" ht="15.75" customHeight="1" s="98">
      <c r="B33" s="35" t="n"/>
      <c r="C33" s="35" t="n"/>
    </row>
    <row r="34" ht="15.75" customHeight="1" s="98">
      <c r="B34" s="35" t="n"/>
      <c r="C34" s="35" t="n"/>
    </row>
    <row r="35" ht="15.75" customHeight="1" s="98">
      <c r="B35" s="35" t="n"/>
      <c r="C35" s="35" t="n"/>
    </row>
    <row r="36" ht="15.75" customHeight="1" s="98">
      <c r="B36" s="35" t="n"/>
      <c r="C36" s="35" t="n"/>
    </row>
    <row r="37" ht="15.75" customHeight="1" s="98">
      <c r="B37" s="35" t="n"/>
      <c r="C37" s="35" t="n"/>
    </row>
    <row r="38" ht="15.75" customHeight="1" s="98">
      <c r="B38" s="35" t="n"/>
      <c r="C38" s="35" t="n"/>
    </row>
    <row r="39" ht="15.75" customHeight="1" s="98">
      <c r="B39" s="35" t="n"/>
      <c r="C39" s="35" t="n"/>
    </row>
    <row r="40" ht="15.75" customHeight="1" s="98">
      <c r="B40" s="35" t="n"/>
      <c r="C40" s="35" t="n"/>
    </row>
    <row r="41" ht="15.75" customHeight="1" s="98">
      <c r="B41" s="35" t="n"/>
      <c r="C41" s="35" t="n"/>
    </row>
    <row r="42" ht="15.75" customHeight="1" s="98">
      <c r="B42" s="35" t="n"/>
      <c r="C42" s="35" t="n"/>
    </row>
    <row r="43" ht="15.75" customHeight="1" s="98">
      <c r="B43" s="35" t="n"/>
      <c r="C43" s="35" t="n"/>
    </row>
    <row r="44" ht="15.75" customHeight="1" s="98">
      <c r="B44" s="35" t="n"/>
      <c r="C44" s="35" t="n"/>
    </row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2026-09-15T06:59:45Z</dcterms:created>
  <dcterms:modified xsi:type="dcterms:W3CDTF">2026-10-12T06:46:04Z</dcterms:modified>
</cp:coreProperties>
</file>