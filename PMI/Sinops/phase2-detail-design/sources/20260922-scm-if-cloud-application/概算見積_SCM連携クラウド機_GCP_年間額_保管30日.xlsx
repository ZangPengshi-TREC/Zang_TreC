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/>
  </bookViews>
  <sheets>
    <sheet name="まとめ" sheetId="1" r:id="rId1"/>
    <sheet name="GKEと比較" sheetId="2" r:id="rId2"/>
    <sheet name="GCP_各サービス影響要素_Ver3" sheetId="3" r:id="rId3"/>
    <sheet name="データ保留期間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<sst xmlns="http://schemas.openxmlformats.org/spreadsheetml/2006/main" count="191" uniqueCount="116">
  <si>
    <r>
      <rPr>
        <b/>
        <sz val="16"/>
        <color rgb="FF1F4E79"/>
        <rFont val="Linux Libertine G"/>
        <charset val="134"/>
      </rPr>
      <t>採用案：</t>
    </r>
    <r>
      <rPr>
        <b/>
        <sz val="16"/>
        <color rgb="FF1F4E79"/>
        <rFont val="Meiryo"/>
        <charset val="1"/>
      </rPr>
      <t>Cloud Run Jobs</t>
    </r>
    <r>
      <rPr>
        <b/>
        <sz val="16"/>
        <color rgb="FF1F4E79"/>
        <rFont val="Linux Libertine G"/>
        <charset val="134"/>
      </rPr>
      <t>（全環境稼働時）</t>
    </r>
  </si>
  <si>
    <r>
      <rPr>
        <sz val="10"/>
        <color rgb="FF595959"/>
        <rFont val="Meiryo"/>
        <charset val="1"/>
      </rPr>
      <t>GKE</t>
    </r>
    <r>
      <rPr>
        <sz val="10"/>
        <color rgb="FF595959"/>
        <rFont val="Linux Libertine G"/>
        <charset val="134"/>
      </rPr>
      <t>・常駐サービス・</t>
    </r>
    <r>
      <rPr>
        <sz val="10"/>
        <color rgb="FF595959"/>
        <rFont val="Meiryo"/>
        <charset val="1"/>
      </rPr>
      <t>Cloud SQL</t>
    </r>
    <r>
      <rPr>
        <sz val="10"/>
        <color rgb="FF595959"/>
        <rFont val="Linux Libertine G"/>
        <charset val="134"/>
      </rPr>
      <t>・</t>
    </r>
    <r>
      <rPr>
        <sz val="10"/>
        <color rgb="FF595959"/>
        <rFont val="Meiryo"/>
        <charset val="1"/>
      </rPr>
      <t xml:space="preserve">LB </t>
    </r>
    <r>
      <rPr>
        <sz val="10"/>
        <color rgb="FF595959"/>
        <rFont val="Linux Libertine G"/>
        <charset val="134"/>
      </rPr>
      <t>は申請しない。</t>
    </r>
    <r>
      <rPr>
        <sz val="10"/>
        <color rgb="FF595959"/>
        <rFont val="Meiryo"/>
        <charset val="1"/>
      </rPr>
      <t xml:space="preserve">Cloud Run </t>
    </r>
    <r>
      <rPr>
        <sz val="10"/>
        <color rgb="FF595959"/>
        <rFont val="Linux Libertine G"/>
        <charset val="134"/>
      </rPr>
      <t xml:space="preserve">稼働は </t>
    </r>
    <r>
      <rPr>
        <sz val="10"/>
        <color rgb="FF595959"/>
        <rFont val="Meiryo"/>
        <charset val="1"/>
      </rPr>
      <t>dev 2.5h/</t>
    </r>
    <r>
      <rPr>
        <sz val="10"/>
        <color rgb="FF595959"/>
        <rFont val="Linux Libertine G"/>
        <charset val="134"/>
      </rPr>
      <t>月、</t>
    </r>
    <r>
      <rPr>
        <sz val="10"/>
        <color rgb="FF595959"/>
        <rFont val="Meiryo"/>
        <charset val="1"/>
      </rPr>
      <t>stg 20h/</t>
    </r>
    <r>
      <rPr>
        <sz val="10"/>
        <color rgb="FF595959"/>
        <rFont val="Linux Libertine G"/>
        <charset val="134"/>
      </rPr>
      <t>月、</t>
    </r>
    <r>
      <rPr>
        <sz val="10"/>
        <color rgb="FF595959"/>
        <rFont val="Meiryo"/>
        <charset val="1"/>
      </rPr>
      <t>prod 3h/</t>
    </r>
    <r>
      <rPr>
        <sz val="10"/>
        <color rgb="FF595959"/>
        <rFont val="Linux Libertine G"/>
        <charset val="134"/>
      </rPr>
      <t>日（</t>
    </r>
    <r>
      <rPr>
        <sz val="10"/>
        <color rgb="FF595959"/>
        <rFont val="Meiryo"/>
        <charset val="1"/>
      </rPr>
      <t>90h/</t>
    </r>
    <r>
      <rPr>
        <sz val="10"/>
        <color rgb="FF595959"/>
        <rFont val="Linux Libertine G"/>
        <charset val="134"/>
      </rPr>
      <t xml:space="preserve">月）。元データ保管は </t>
    </r>
    <r>
      <rPr>
        <sz val="10"/>
        <color rgb="FF595959"/>
        <rFont val="Meiryo"/>
        <charset val="1"/>
      </rPr>
      <t>prod 30</t>
    </r>
    <r>
      <rPr>
        <sz val="10"/>
        <color rgb="FF595959"/>
        <rFont val="Linux Libertine G"/>
        <charset val="134"/>
      </rPr>
      <t>日、</t>
    </r>
    <r>
      <rPr>
        <sz val="10"/>
        <color rgb="FF595959"/>
        <rFont val="Meiryo"/>
        <charset val="1"/>
      </rPr>
      <t>stg</t>
    </r>
    <r>
      <rPr>
        <sz val="10"/>
        <color rgb="FF595959"/>
        <rFont val="Linux Libertine G"/>
        <charset val="134"/>
      </rPr>
      <t>／</t>
    </r>
    <r>
      <rPr>
        <sz val="10"/>
        <color rgb="FF595959"/>
        <rFont val="Meiryo"/>
        <charset val="1"/>
      </rPr>
      <t>dev 7</t>
    </r>
    <r>
      <rPr>
        <sz val="10"/>
        <color rgb="FF595959"/>
        <rFont val="Linux Libertine G"/>
        <charset val="134"/>
      </rPr>
      <t>日。年額＝影響要素の月額</t>
    </r>
    <r>
      <rPr>
        <sz val="10"/>
        <color rgb="FF595959"/>
        <rFont val="Meiryo"/>
        <charset val="1"/>
      </rPr>
      <t>×12</t>
    </r>
    <r>
      <rPr>
        <sz val="10"/>
        <color rgb="FF595959"/>
        <rFont val="Linux Libertine G"/>
        <charset val="134"/>
      </rPr>
      <t>。</t>
    </r>
  </si>
  <si>
    <t>NO.</t>
  </si>
  <si>
    <t>サービス</t>
  </si>
  <si>
    <t>用途</t>
  </si>
  <si>
    <r>
      <rPr>
        <b/>
        <sz val="10"/>
        <color rgb="FFFFFFFF"/>
        <rFont val="Meiryo"/>
        <charset val="1"/>
      </rPr>
      <t>dev</t>
    </r>
    <r>
      <rPr>
        <b/>
        <sz val="10"/>
        <color rgb="FFFFFFFF"/>
        <rFont val="Linux Libertine G"/>
        <charset val="134"/>
      </rPr>
      <t>（円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Linux Libertine G"/>
        <charset val="134"/>
      </rPr>
      <t>年）</t>
    </r>
  </si>
  <si>
    <r>
      <rPr>
        <b/>
        <sz val="10"/>
        <color rgb="FFFFFFFF"/>
        <rFont val="Meiryo"/>
        <charset val="1"/>
      </rPr>
      <t>stg</t>
    </r>
    <r>
      <rPr>
        <b/>
        <sz val="10"/>
        <color rgb="FFFFFFFF"/>
        <rFont val="Linux Libertine G"/>
        <charset val="134"/>
      </rPr>
      <t>（円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Linux Libertine G"/>
        <charset val="134"/>
      </rPr>
      <t>年）</t>
    </r>
  </si>
  <si>
    <r>
      <rPr>
        <b/>
        <sz val="10"/>
        <color rgb="FFFFFFFF"/>
        <rFont val="Meiryo"/>
        <charset val="1"/>
      </rPr>
      <t>prod</t>
    </r>
    <r>
      <rPr>
        <b/>
        <sz val="10"/>
        <color rgb="FFFFFFFF"/>
        <rFont val="Linux Libertine G"/>
        <charset val="134"/>
      </rPr>
      <t>（円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Linux Libertine G"/>
        <charset val="134"/>
      </rPr>
      <t>年）</t>
    </r>
  </si>
  <si>
    <r>
      <rPr>
        <b/>
        <sz val="10"/>
        <color rgb="FFFFFFFF"/>
        <rFont val="Meiryo"/>
        <charset val="1"/>
      </rPr>
      <t>3</t>
    </r>
    <r>
      <rPr>
        <b/>
        <sz val="10"/>
        <color rgb="FFFFFFFF"/>
        <rFont val="Linux Libertine G"/>
        <charset val="134"/>
      </rPr>
      <t>環境合計</t>
    </r>
  </si>
  <si>
    <t>備考</t>
  </si>
  <si>
    <t>Cloud Run-Service</t>
  </si>
  <si>
    <t>常駐処理。本件は対象外</t>
  </si>
  <si>
    <t>申請しない</t>
  </si>
  <si>
    <t>Cloud Run-Job</t>
  </si>
  <si>
    <r>
      <rPr>
        <sz val="10"/>
        <color rgb="FF1A1A1A"/>
        <rFont val="Linux Libertine G"/>
        <charset val="134"/>
      </rPr>
      <t>日次バッチ（取得・変換・最終</t>
    </r>
    <r>
      <rPr>
        <sz val="10"/>
        <color rgb="FF1A1A1A"/>
        <rFont val="Meiryo"/>
        <charset val="1"/>
      </rPr>
      <t>TXT</t>
    </r>
    <r>
      <rPr>
        <sz val="10"/>
        <color rgb="FF1A1A1A"/>
        <rFont val="Linux Libertine G"/>
        <charset val="134"/>
      </rPr>
      <t>配置）</t>
    </r>
  </si>
  <si>
    <t>4 vCPU / 16 GiB</t>
  </si>
  <si>
    <t>Cloud SQL</t>
  </si>
  <si>
    <t>データベース。本件は対象外</t>
  </si>
  <si>
    <r>
      <rPr>
        <sz val="10"/>
        <color rgb="FF1A1A1A"/>
        <rFont val="Linux Libertine G"/>
        <charset val="134"/>
      </rPr>
      <t xml:space="preserve">永続は </t>
    </r>
    <r>
      <rPr>
        <sz val="10"/>
        <color rgb="FF1A1A1A"/>
        <rFont val="Meiryo"/>
        <charset val="1"/>
      </rPr>
      <t xml:space="preserve">GCS </t>
    </r>
    <r>
      <rPr>
        <sz val="10"/>
        <color rgb="FF1A1A1A"/>
        <rFont val="Linux Libertine G"/>
        <charset val="134"/>
      </rPr>
      <t>のみ</t>
    </r>
  </si>
  <si>
    <t>GCS</t>
  </si>
  <si>
    <r>
      <rPr>
        <sz val="10"/>
        <color rgb="FF1A1A1A"/>
        <rFont val="Linux Libertine G"/>
        <charset val="134"/>
      </rPr>
      <t>本</t>
    </r>
    <r>
      <rPr>
        <sz val="10"/>
        <color rgb="FF1A1A1A"/>
        <rFont val="Meiryo"/>
        <charset val="1"/>
      </rPr>
      <t xml:space="preserve">PJ landing </t>
    </r>
    <r>
      <rPr>
        <sz val="10"/>
        <color rgb="FF1A1A1A"/>
        <rFont val="Linux Libertine G"/>
        <charset val="134"/>
      </rPr>
      <t>の元データ保管</t>
    </r>
  </si>
  <si>
    <r>
      <rPr>
        <sz val="10"/>
        <color rgb="FF1A1A1A"/>
        <rFont val="Meiryo"/>
        <charset val="1"/>
      </rPr>
      <t>prod 30</t>
    </r>
    <r>
      <rPr>
        <sz val="10"/>
        <color rgb="FF1A1A1A"/>
        <rFont val="Linux Libertine G"/>
        <charset val="134"/>
      </rPr>
      <t>日／</t>
    </r>
    <r>
      <rPr>
        <sz val="10"/>
        <color rgb="FF1A1A1A"/>
        <rFont val="Meiryo"/>
        <charset val="1"/>
      </rPr>
      <t>stg</t>
    </r>
    <r>
      <rPr>
        <sz val="10"/>
        <color rgb="FF1A1A1A"/>
        <rFont val="Linux Libertine G"/>
        <charset val="134"/>
      </rPr>
      <t>・</t>
    </r>
    <r>
      <rPr>
        <sz val="10"/>
        <color rgb="FF1A1A1A"/>
        <rFont val="Meiryo"/>
        <charset val="1"/>
      </rPr>
      <t>dev 7</t>
    </r>
    <r>
      <rPr>
        <sz val="10"/>
        <color rgb="FF1A1A1A"/>
        <rFont val="Linux Libertine G"/>
        <charset val="134"/>
      </rPr>
      <t>日</t>
    </r>
  </si>
  <si>
    <t>リージョン間転送</t>
  </si>
  <si>
    <t>大阪 → 東京</t>
  </si>
  <si>
    <t>費用の大半</t>
  </si>
  <si>
    <t>集計</t>
  </si>
  <si>
    <t>合計</t>
  </si>
  <si>
    <r>
      <rPr>
        <b/>
        <sz val="10"/>
        <color rgb="FFFFFFFF"/>
        <rFont val="Linux Libertine G"/>
        <charset val="134"/>
      </rPr>
      <t>円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Linux Libertine G"/>
        <charset val="134"/>
      </rPr>
      <t>年</t>
    </r>
  </si>
  <si>
    <r>
      <rPr>
        <b/>
        <sz val="16"/>
        <color rgb="FF1F4E79"/>
        <rFont val="Meiryo"/>
        <charset val="1"/>
      </rPr>
      <t>3</t>
    </r>
    <r>
      <rPr>
        <b/>
        <sz val="16"/>
        <color rgb="FF1F4E79"/>
        <rFont val="Linux Libertine G"/>
        <charset val="134"/>
      </rPr>
      <t>案比較（年間）　</t>
    </r>
    <r>
      <rPr>
        <b/>
        <sz val="16"/>
        <color rgb="FF1F4E79"/>
        <rFont val="Meiryo"/>
        <charset val="1"/>
      </rPr>
      <t>SCM</t>
    </r>
    <r>
      <rPr>
        <b/>
        <sz val="16"/>
        <color rgb="FF1F4E79"/>
        <rFont val="Linux Libertine G"/>
        <charset val="134"/>
      </rPr>
      <t>連携クラウド機　</t>
    </r>
    <r>
      <rPr>
        <b/>
        <sz val="16"/>
        <color rgb="FF1F4E79"/>
        <rFont val="Meiryo"/>
        <charset val="1"/>
      </rPr>
      <t xml:space="preserve">prod </t>
    </r>
    <r>
      <rPr>
        <b/>
        <sz val="16"/>
        <color rgb="FF1F4E79"/>
        <rFont val="Linux Libertine G"/>
        <charset val="134"/>
      </rPr>
      <t>保管</t>
    </r>
    <r>
      <rPr>
        <b/>
        <sz val="16"/>
        <color rgb="FF1F4E79"/>
        <rFont val="Meiryo"/>
        <charset val="1"/>
      </rPr>
      <t>30</t>
    </r>
    <r>
      <rPr>
        <b/>
        <sz val="16"/>
        <color rgb="FF1F4E79"/>
        <rFont val="Linux Libertine G"/>
        <charset val="134"/>
      </rPr>
      <t>日</t>
    </r>
  </si>
  <si>
    <r>
      <rPr>
        <sz val="10"/>
        <color rgb="FF595959"/>
        <rFont val="Linux Libertine G"/>
        <charset val="134"/>
      </rPr>
      <t xml:space="preserve">左が採用案。稼働は </t>
    </r>
    <r>
      <rPr>
        <sz val="10"/>
        <color rgb="FF595959"/>
        <rFont val="Meiryo"/>
        <charset val="1"/>
      </rPr>
      <t>prod 90h</t>
    </r>
    <r>
      <rPr>
        <sz val="10"/>
        <color rgb="FF595959"/>
        <rFont val="Linux Libertine G"/>
        <charset val="134"/>
      </rPr>
      <t>・</t>
    </r>
    <r>
      <rPr>
        <sz val="10"/>
        <color rgb="FF595959"/>
        <rFont val="Meiryo"/>
        <charset val="1"/>
      </rPr>
      <t>stg 20h</t>
    </r>
    <r>
      <rPr>
        <sz val="10"/>
        <color rgb="FF595959"/>
        <rFont val="Linux Libertine G"/>
        <charset val="134"/>
      </rPr>
      <t>・</t>
    </r>
    <r>
      <rPr>
        <sz val="10"/>
        <color rgb="FF595959"/>
        <rFont val="Meiryo"/>
        <charset val="1"/>
      </rPr>
      <t>dev 2.5h</t>
    </r>
    <r>
      <rPr>
        <sz val="10"/>
        <color rgb="FF595959"/>
        <rFont val="Linux Libertine G"/>
        <charset val="134"/>
      </rPr>
      <t>／月。</t>
    </r>
    <r>
      <rPr>
        <sz val="10"/>
        <color rgb="FF595959"/>
        <rFont val="Meiryo"/>
        <charset val="1"/>
      </rPr>
      <t xml:space="preserve">GCS </t>
    </r>
    <r>
      <rPr>
        <sz val="10"/>
        <color rgb="FF595959"/>
        <rFont val="Linux Libertine G"/>
        <charset val="134"/>
      </rPr>
      <t>と大阪→東京転送は</t>
    </r>
    <r>
      <rPr>
        <sz val="10"/>
        <color rgb="FF595959"/>
        <rFont val="Meiryo"/>
        <charset val="1"/>
      </rPr>
      <t>3</t>
    </r>
    <r>
      <rPr>
        <sz val="10"/>
        <color rgb="FF595959"/>
        <rFont val="Linux Libertine G"/>
        <charset val="134"/>
      </rPr>
      <t xml:space="preserve">案同じ。クラスタ管理費は </t>
    </r>
    <r>
      <rPr>
        <sz val="10"/>
        <color rgb="FF595959"/>
        <rFont val="Meiryo"/>
        <charset val="1"/>
      </rPr>
      <t xml:space="preserve">Autopilot </t>
    </r>
    <r>
      <rPr>
        <sz val="10"/>
        <color rgb="FF595959"/>
        <rFont val="Linux Libertine G"/>
        <charset val="134"/>
      </rPr>
      <t xml:space="preserve">も </t>
    </r>
    <r>
      <rPr>
        <sz val="10"/>
        <color rgb="FF595959"/>
        <rFont val="Meiryo"/>
        <charset val="1"/>
      </rPr>
      <t xml:space="preserve">Standard </t>
    </r>
    <r>
      <rPr>
        <sz val="10"/>
        <color rgb="FF595959"/>
        <rFont val="Linux Libertine G"/>
        <charset val="134"/>
      </rPr>
      <t>も同じ（</t>
    </r>
    <r>
      <rPr>
        <sz val="10"/>
        <color rgb="FF595959"/>
        <rFont val="Meiryo"/>
        <charset val="1"/>
      </rPr>
      <t>3</t>
    </r>
    <r>
      <rPr>
        <sz val="10"/>
        <color rgb="FF595959"/>
        <rFont val="Linux Libertine G"/>
        <charset val="134"/>
      </rPr>
      <t>クラスタ、</t>
    </r>
    <r>
      <rPr>
        <sz val="10"/>
        <color rgb="FF595959"/>
        <rFont val="Meiryo"/>
        <charset val="1"/>
      </rPr>
      <t xml:space="preserve">Free tier </t>
    </r>
    <r>
      <rPr>
        <sz val="10"/>
        <color rgb="FF595959"/>
        <rFont val="Linux Libertine G"/>
        <charset val="134"/>
      </rPr>
      <t xml:space="preserve">は </t>
    </r>
    <r>
      <rPr>
        <sz val="10"/>
        <color rgb="FF595959"/>
        <rFont val="Meiryo"/>
        <charset val="1"/>
      </rPr>
      <t>prod</t>
    </r>
    <r>
      <rPr>
        <sz val="10"/>
        <color rgb="FF595959"/>
        <rFont val="Linux Libertine G"/>
        <charset val="134"/>
      </rPr>
      <t>）。</t>
    </r>
  </si>
  <si>
    <t>案</t>
  </si>
  <si>
    <t>位置づけ</t>
  </si>
  <si>
    <t>月額</t>
  </si>
  <si>
    <t>年額</t>
  </si>
  <si>
    <t>Cloud Run Jobs</t>
  </si>
  <si>
    <t>採用</t>
  </si>
  <si>
    <r>
      <rPr>
        <b/>
        <sz val="10"/>
        <color rgb="FF0F6E56"/>
        <rFont val="Meiryo"/>
        <charset val="1"/>
      </rPr>
      <t>GKE Autopilot</t>
    </r>
    <r>
      <rPr>
        <b/>
        <sz val="10"/>
        <color rgb="FF0F6E56"/>
        <rFont val="Linux Libertine G"/>
        <charset val="134"/>
      </rPr>
      <t>（</t>
    </r>
    <r>
      <rPr>
        <b/>
        <sz val="10"/>
        <color rgb="FF0F6E56"/>
        <rFont val="Meiryo"/>
        <charset val="1"/>
      </rPr>
      <t>3</t>
    </r>
    <r>
      <rPr>
        <b/>
        <sz val="10"/>
        <color rgb="FF0F6E56"/>
        <rFont val="Linux Libertine G"/>
        <charset val="134"/>
      </rPr>
      <t>クラスタ）</t>
    </r>
  </si>
  <si>
    <t>参考・申請しない</t>
  </si>
  <si>
    <r>
      <rPr>
        <b/>
        <sz val="10"/>
        <color rgb="FF8A4B08"/>
        <rFont val="Meiryo"/>
        <charset val="1"/>
      </rPr>
      <t xml:space="preserve">GKE Standard </t>
    </r>
    <r>
      <rPr>
        <b/>
        <sz val="10"/>
        <color rgb="FF8A4B08"/>
        <rFont val="Linux Libertine G"/>
        <charset val="134"/>
      </rPr>
      <t xml:space="preserve">常駐 </t>
    </r>
    <r>
      <rPr>
        <b/>
        <sz val="10"/>
        <color rgb="FF8A4B08"/>
        <rFont val="Meiryo"/>
        <charset val="1"/>
      </rPr>
      <t>×3</t>
    </r>
  </si>
  <si>
    <t>月額の内訳</t>
  </si>
  <si>
    <t>構成</t>
  </si>
  <si>
    <t>計算費</t>
  </si>
  <si>
    <t>クラスタ管理</t>
  </si>
  <si>
    <t>転送</t>
  </si>
  <si>
    <t>月合計</t>
  </si>
  <si>
    <t>年合計</t>
  </si>
  <si>
    <r>
      <rPr>
        <b/>
        <sz val="10"/>
        <color rgb="FF1A1A1A"/>
        <rFont val="Meiryo"/>
        <charset val="1"/>
      </rPr>
      <t>Cloud Run Jobs</t>
    </r>
    <r>
      <rPr>
        <b/>
        <sz val="10"/>
        <color rgb="FF1A1A1A"/>
        <rFont val="Linux Libertine G"/>
        <charset val="134"/>
      </rPr>
      <t>（採用）</t>
    </r>
  </si>
  <si>
    <t>—</t>
  </si>
  <si>
    <r>
      <rPr>
        <b/>
        <sz val="10"/>
        <color rgb="FF1A1A1A"/>
        <rFont val="Meiryo"/>
        <charset val="1"/>
      </rPr>
      <t>GKE Autopilot</t>
    </r>
    <r>
      <rPr>
        <b/>
        <sz val="10"/>
        <color rgb="FF1A1A1A"/>
        <rFont val="Linux Libertine G"/>
        <charset val="134"/>
      </rPr>
      <t>（</t>
    </r>
    <r>
      <rPr>
        <b/>
        <sz val="10"/>
        <color rgb="FF1A1A1A"/>
        <rFont val="Meiryo"/>
        <charset val="1"/>
      </rPr>
      <t>3</t>
    </r>
    <r>
      <rPr>
        <b/>
        <sz val="10"/>
        <color rgb="FF1A1A1A"/>
        <rFont val="Linux Libertine G"/>
        <charset val="134"/>
      </rPr>
      <t>クラスタ）</t>
    </r>
  </si>
  <si>
    <r>
      <rPr>
        <b/>
        <sz val="10"/>
        <color rgb="FF1A1A1A"/>
        <rFont val="Meiryo"/>
        <charset val="1"/>
      </rPr>
      <t xml:space="preserve">GKE Standard </t>
    </r>
    <r>
      <rPr>
        <b/>
        <sz val="10"/>
        <color rgb="FF1A1A1A"/>
        <rFont val="Linux Libertine G"/>
        <charset val="134"/>
      </rPr>
      <t xml:space="preserve">常駐 </t>
    </r>
    <r>
      <rPr>
        <b/>
        <sz val="10"/>
        <color rgb="FF1A1A1A"/>
        <rFont val="Meiryo"/>
        <charset val="1"/>
      </rPr>
      <t>×3</t>
    </r>
  </si>
  <si>
    <t>採用案の環境別（年額）</t>
  </si>
  <si>
    <t>常駐なし</t>
  </si>
  <si>
    <t>日次バッチ</t>
  </si>
  <si>
    <t>なし</t>
  </si>
  <si>
    <r>
      <rPr>
        <sz val="10"/>
        <color rgb="FF1A1A1A"/>
        <rFont val="Meiryo"/>
        <charset val="1"/>
      </rPr>
      <t xml:space="preserve">landing </t>
    </r>
    <r>
      <rPr>
        <sz val="10"/>
        <color rgb="FF1A1A1A"/>
        <rFont val="Linux Libertine G"/>
        <charset val="134"/>
      </rPr>
      <t>保管</t>
    </r>
  </si>
  <si>
    <t>大阪→東京</t>
  </si>
  <si>
    <r>
      <rPr>
        <b/>
        <sz val="16"/>
        <color rgb="FF1F4E79"/>
        <rFont val="Meiryo"/>
        <charset val="1"/>
      </rPr>
      <t>SCM</t>
    </r>
    <r>
      <rPr>
        <b/>
        <sz val="16"/>
        <color rgb="FF1F4E79"/>
        <rFont val="Linux Libertine G"/>
        <charset val="134"/>
      </rPr>
      <t>連携クラウド機　</t>
    </r>
    <r>
      <rPr>
        <b/>
        <sz val="16"/>
        <color rgb="FF1F4E79"/>
        <rFont val="Meiryo"/>
        <charset val="1"/>
      </rPr>
      <t>GCP</t>
    </r>
    <r>
      <rPr>
        <b/>
        <sz val="16"/>
        <color rgb="FF1F4E79"/>
        <rFont val="Linux Libertine G"/>
        <charset val="134"/>
      </rPr>
      <t>概算（月額）</t>
    </r>
  </si>
  <si>
    <r>
      <rPr>
        <sz val="9"/>
        <color rgb="FF595959"/>
        <rFont val="Linux Libertine G"/>
        <charset val="134"/>
      </rPr>
      <t>出典：</t>
    </r>
    <r>
      <rPr>
        <sz val="9"/>
        <color rgb="FF595959"/>
        <rFont val="Meiryo"/>
        <charset val="1"/>
      </rPr>
      <t xml:space="preserve">Pricing Calculator </t>
    </r>
    <r>
      <rPr>
        <sz val="9"/>
        <color rgb="FF595959"/>
        <rFont val="Linux Libertine G"/>
        <charset val="134"/>
      </rPr>
      <t>公式試算（</t>
    </r>
    <r>
      <rPr>
        <sz val="9"/>
        <color rgb="FF595959"/>
        <rFont val="Meiryo"/>
        <charset val="1"/>
      </rPr>
      <t>2026-09-24</t>
    </r>
    <r>
      <rPr>
        <sz val="9"/>
        <color rgb="FF595959"/>
        <rFont val="Linux Libertine G"/>
        <charset val="134"/>
      </rPr>
      <t xml:space="preserve">）＋顧客指定の </t>
    </r>
    <r>
      <rPr>
        <sz val="9"/>
        <color rgb="FF595959"/>
        <rFont val="Meiryo"/>
        <charset val="1"/>
      </rPr>
      <t xml:space="preserve">prod </t>
    </r>
    <r>
      <rPr>
        <sz val="9"/>
        <color rgb="FF595959"/>
        <rFont val="Linux Libertine G"/>
        <charset val="134"/>
      </rPr>
      <t>保管</t>
    </r>
    <r>
      <rPr>
        <sz val="9"/>
        <color rgb="FF595959"/>
        <rFont val="Meiryo"/>
        <charset val="1"/>
      </rPr>
      <t>30</t>
    </r>
    <r>
      <rPr>
        <sz val="9"/>
        <color rgb="FF595959"/>
        <rFont val="Linux Libertine G"/>
        <charset val="134"/>
      </rPr>
      <t>日（</t>
    </r>
    <r>
      <rPr>
        <sz val="9"/>
        <color rgb="FF595959"/>
        <rFont val="Meiryo"/>
        <charset val="1"/>
      </rPr>
      <t>1,200 GiB</t>
    </r>
    <r>
      <rPr>
        <sz val="9"/>
        <color rgb="FF595959"/>
        <rFont val="Linux Libertine G"/>
        <charset val="134"/>
      </rPr>
      <t>）。</t>
    </r>
    <r>
      <rPr>
        <sz val="9"/>
        <color rgb="FF595959"/>
        <rFont val="Meiryo"/>
        <charset val="1"/>
      </rPr>
      <t xml:space="preserve">Cloud Run </t>
    </r>
    <r>
      <rPr>
        <sz val="9"/>
        <color rgb="FF595959"/>
        <rFont val="Linux Libertine G"/>
        <charset val="134"/>
      </rPr>
      <t xml:space="preserve">稼働は </t>
    </r>
    <r>
      <rPr>
        <sz val="9"/>
        <color rgb="FF595959"/>
        <rFont val="Meiryo"/>
        <charset val="1"/>
      </rPr>
      <t>dev 2.5h/</t>
    </r>
    <r>
      <rPr>
        <sz val="9"/>
        <color rgb="FF595959"/>
        <rFont val="Linux Libertine G"/>
        <charset val="134"/>
      </rPr>
      <t>月、</t>
    </r>
    <r>
      <rPr>
        <sz val="9"/>
        <color rgb="FF595959"/>
        <rFont val="Meiryo"/>
        <charset val="1"/>
      </rPr>
      <t>stg 20h/</t>
    </r>
    <r>
      <rPr>
        <sz val="9"/>
        <color rgb="FF595959"/>
        <rFont val="Linux Libertine G"/>
        <charset val="134"/>
      </rPr>
      <t>月、</t>
    </r>
    <r>
      <rPr>
        <sz val="9"/>
        <color rgb="FF595959"/>
        <rFont val="Meiryo"/>
        <charset val="1"/>
      </rPr>
      <t>prod 3h/</t>
    </r>
    <r>
      <rPr>
        <sz val="9"/>
        <color rgb="FF595959"/>
        <rFont val="Linux Libertine G"/>
        <charset val="134"/>
      </rPr>
      <t>日（</t>
    </r>
    <r>
      <rPr>
        <sz val="9"/>
        <color rgb="FF595959"/>
        <rFont val="Meiryo"/>
        <charset val="1"/>
      </rPr>
      <t>30</t>
    </r>
    <r>
      <rPr>
        <sz val="9"/>
        <color rgb="FF595959"/>
        <rFont val="Linux Libertine G"/>
        <charset val="134"/>
      </rPr>
      <t>日＝</t>
    </r>
    <r>
      <rPr>
        <sz val="9"/>
        <color rgb="FF595959"/>
        <rFont val="Meiryo"/>
        <charset val="1"/>
      </rPr>
      <t>90h/</t>
    </r>
    <r>
      <rPr>
        <sz val="9"/>
        <color rgb="FF595959"/>
        <rFont val="Linux Libertine G"/>
        <charset val="134"/>
      </rPr>
      <t>月）。</t>
    </r>
    <r>
      <rPr>
        <sz val="9"/>
        <color rgb="FF595959"/>
        <rFont val="Meiryo"/>
        <charset val="1"/>
      </rPr>
      <t>stg</t>
    </r>
    <r>
      <rPr>
        <sz val="9"/>
        <color rgb="FF595959"/>
        <rFont val="Linux Libertine G"/>
        <charset val="134"/>
      </rPr>
      <t>／</t>
    </r>
    <r>
      <rPr>
        <sz val="9"/>
        <color rgb="FF595959"/>
        <rFont val="Meiryo"/>
        <charset val="1"/>
      </rPr>
      <t xml:space="preserve">dev </t>
    </r>
    <r>
      <rPr>
        <sz val="9"/>
        <color rgb="FF595959"/>
        <rFont val="Linux Libertine G"/>
        <charset val="134"/>
      </rPr>
      <t>は保管</t>
    </r>
    <r>
      <rPr>
        <sz val="9"/>
        <color rgb="FF595959"/>
        <rFont val="Meiryo"/>
        <charset val="1"/>
      </rPr>
      <t>7</t>
    </r>
    <r>
      <rPr>
        <sz val="9"/>
        <color rgb="FF595959"/>
        <rFont val="Linux Libertine G"/>
        <charset val="134"/>
      </rPr>
      <t>日。</t>
    </r>
    <r>
      <rPr>
        <sz val="9"/>
        <color rgb="FF595959"/>
        <rFont val="Meiryo"/>
        <charset val="1"/>
      </rPr>
      <t xml:space="preserve">GKE </t>
    </r>
    <r>
      <rPr>
        <sz val="9"/>
        <color rgb="FF595959"/>
        <rFont val="Linux Libertine G"/>
        <charset val="134"/>
      </rPr>
      <t>は東京公開単価。</t>
    </r>
    <r>
      <rPr>
        <sz val="9"/>
        <color rgb="FF595959"/>
        <rFont val="Meiryo"/>
        <charset val="1"/>
      </rPr>
      <t>STS</t>
    </r>
    <r>
      <rPr>
        <sz val="9"/>
        <color rgb="FF595959"/>
        <rFont val="Linux Libertine G"/>
        <charset val="134"/>
      </rPr>
      <t>／</t>
    </r>
    <r>
      <rPr>
        <sz val="9"/>
        <color rgb="FF595959"/>
        <rFont val="Meiryo"/>
        <charset val="1"/>
      </rPr>
      <t>Workflows</t>
    </r>
    <r>
      <rPr>
        <sz val="9"/>
        <color rgb="FF595959"/>
        <rFont val="Linux Libertine G"/>
        <charset val="134"/>
      </rPr>
      <t>／</t>
    </r>
    <r>
      <rPr>
        <sz val="9"/>
        <color rgb="FF595959"/>
        <rFont val="Meiryo"/>
        <charset val="1"/>
      </rPr>
      <t>Scheduler</t>
    </r>
    <r>
      <rPr>
        <sz val="9"/>
        <color rgb="FF595959"/>
        <rFont val="Linux Libertine G"/>
        <charset val="134"/>
      </rPr>
      <t>／</t>
    </r>
    <r>
      <rPr>
        <sz val="9"/>
        <color rgb="FF595959"/>
        <rFont val="Meiryo"/>
        <charset val="1"/>
      </rPr>
      <t>Logging</t>
    </r>
    <r>
      <rPr>
        <sz val="9"/>
        <color rgb="FF595959"/>
        <rFont val="Linux Libertine G"/>
        <charset val="134"/>
      </rPr>
      <t>／</t>
    </r>
    <r>
      <rPr>
        <sz val="9"/>
        <color rgb="FF595959"/>
        <rFont val="Meiryo"/>
        <charset val="1"/>
      </rPr>
      <t>Monitoring</t>
    </r>
    <r>
      <rPr>
        <sz val="9"/>
        <color rgb="FF595959"/>
        <rFont val="Linux Libertine G"/>
        <charset val="134"/>
      </rPr>
      <t>、</t>
    </r>
    <r>
      <rPr>
        <sz val="9"/>
        <color rgb="FF595959"/>
        <rFont val="Meiryo"/>
        <charset val="1"/>
      </rPr>
      <t xml:space="preserve">seiyu-trial-data-exchange </t>
    </r>
    <r>
      <rPr>
        <sz val="9"/>
        <color rgb="FF595959"/>
        <rFont val="Linux Libertine G"/>
        <charset val="134"/>
      </rPr>
      <t>の保管・</t>
    </r>
    <r>
      <rPr>
        <sz val="9"/>
        <color rgb="FF595959"/>
        <rFont val="Meiryo"/>
        <charset val="1"/>
      </rPr>
      <t xml:space="preserve">egress </t>
    </r>
    <r>
      <rPr>
        <sz val="9"/>
        <color rgb="FF595959"/>
        <rFont val="Linux Libertine G"/>
        <charset val="134"/>
      </rPr>
      <t>は未計上。</t>
    </r>
  </si>
  <si>
    <t>環境</t>
  </si>
  <si>
    <t>保管</t>
  </si>
  <si>
    <r>
      <rPr>
        <b/>
        <sz val="10"/>
        <color rgb="FFFFFFFF"/>
        <rFont val="Linux Libertine G"/>
        <charset val="134"/>
      </rPr>
      <t xml:space="preserve">保管 </t>
    </r>
    <r>
      <rPr>
        <b/>
        <sz val="10"/>
        <color rgb="FFFFFFFF"/>
        <rFont val="Meiryo"/>
        <charset val="1"/>
      </rPr>
      <t>GiB</t>
    </r>
  </si>
  <si>
    <t>dev</t>
  </si>
  <si>
    <r>
      <rPr>
        <sz val="10"/>
        <color rgb="FF1A1A1A"/>
        <rFont val="Meiryo"/>
        <charset val="1"/>
      </rPr>
      <t>7</t>
    </r>
    <r>
      <rPr>
        <sz val="10"/>
        <color rgb="FF1A1A1A"/>
        <rFont val="Linux Libertine G"/>
        <charset val="134"/>
      </rPr>
      <t>日</t>
    </r>
  </si>
  <si>
    <t>stg</t>
  </si>
  <si>
    <t>prod</t>
  </si>
  <si>
    <r>
      <rPr>
        <sz val="10"/>
        <color rgb="FF1A1A1A"/>
        <rFont val="Meiryo"/>
        <charset val="1"/>
      </rPr>
      <t>30</t>
    </r>
    <r>
      <rPr>
        <sz val="10"/>
        <color rgb="FF1A1A1A"/>
        <rFont val="Linux Libertine G"/>
        <charset val="134"/>
      </rPr>
      <t>日</t>
    </r>
  </si>
  <si>
    <t>26</t>
  </si>
  <si>
    <t>1</t>
  </si>
  <si>
    <r>
      <rPr>
        <b/>
        <sz val="10"/>
        <color rgb="FFFFFFFF"/>
        <rFont val="Meiryo"/>
        <charset val="1"/>
      </rPr>
      <t>Cloud Run-Job</t>
    </r>
    <r>
      <rPr>
        <b/>
        <sz val="10"/>
        <color rgb="FFFFFFFF"/>
        <rFont val="Linux Libertine G"/>
        <charset val="134"/>
      </rPr>
      <t>（採用）</t>
    </r>
  </si>
  <si>
    <r>
      <rPr>
        <b/>
        <sz val="10"/>
        <color rgb="FFFFFFFF"/>
        <rFont val="Linux Libertine G"/>
        <charset val="134"/>
      </rPr>
      <t>見積</t>
    </r>
    <r>
      <rPr>
        <b/>
        <sz val="10"/>
        <color rgb="FFFFFFFF"/>
        <rFont val="Meiryo"/>
        <charset val="1"/>
      </rPr>
      <t>(</t>
    </r>
    <r>
      <rPr>
        <b/>
        <sz val="10"/>
        <color rgb="FFFFFFFF"/>
        <rFont val="Linux Libertine G"/>
        <charset val="134"/>
      </rPr>
      <t>月</t>
    </r>
    <r>
      <rPr>
        <b/>
        <sz val="10"/>
        <color rgb="FFFFFFFF"/>
        <rFont val="Meiryo"/>
        <charset val="1"/>
      </rPr>
      <t>)</t>
    </r>
  </si>
  <si>
    <t>前提</t>
  </si>
  <si>
    <t>vCPU</t>
  </si>
  <si>
    <t>Memory GiB</t>
  </si>
  <si>
    <r>
      <rPr>
        <b/>
        <sz val="10"/>
        <color rgb="FFFFFFFF"/>
        <rFont val="Linux Libertine G"/>
        <charset val="134"/>
      </rPr>
      <t>時間</t>
    </r>
    <r>
      <rPr>
        <b/>
        <sz val="10"/>
        <color rgb="FFFFFFFF"/>
        <rFont val="Meiryo"/>
        <charset val="1"/>
      </rPr>
      <t>/</t>
    </r>
    <r>
      <rPr>
        <b/>
        <sz val="10"/>
        <color rgb="FFFFFFFF"/>
        <rFont val="Linux Libertine G"/>
        <charset val="134"/>
      </rPr>
      <t>月</t>
    </r>
  </si>
  <si>
    <r>
      <rPr>
        <sz val="10"/>
        <color rgb="FF1A1A1A"/>
        <rFont val="Meiryo"/>
        <charset val="1"/>
      </rPr>
      <t>CPU</t>
    </r>
    <r>
      <rPr>
        <sz val="10"/>
        <color rgb="FF1A1A1A"/>
        <rFont val="Linux Libertine G"/>
        <charset val="134"/>
      </rPr>
      <t>＋</t>
    </r>
    <r>
      <rPr>
        <sz val="10"/>
        <color rgb="FF1A1A1A"/>
        <rFont val="Meiryo"/>
        <charset val="1"/>
      </rPr>
      <t>Memory</t>
    </r>
    <r>
      <rPr>
        <sz val="10"/>
        <color rgb="FF1A1A1A"/>
        <rFont val="Linux Libertine G"/>
        <charset val="134"/>
      </rPr>
      <t>。</t>
    </r>
  </si>
  <si>
    <t>2</t>
  </si>
  <si>
    <r>
      <rPr>
        <b/>
        <sz val="10"/>
        <color rgb="FFFFFFFF"/>
        <rFont val="Meiryo"/>
        <charset val="1"/>
      </rPr>
      <t>GCS Standard</t>
    </r>
    <r>
      <rPr>
        <b/>
        <sz val="10"/>
        <color rgb="FFFFFFFF"/>
        <rFont val="Linux Libertine G"/>
        <charset val="134"/>
      </rPr>
      <t>（本</t>
    </r>
    <r>
      <rPr>
        <b/>
        <sz val="10"/>
        <color rgb="FFFFFFFF"/>
        <rFont val="Meiryo"/>
        <charset val="1"/>
      </rPr>
      <t>PJ landing</t>
    </r>
    <r>
      <rPr>
        <b/>
        <sz val="10"/>
        <color rgb="FFFFFFFF"/>
        <rFont val="Linux Libertine G"/>
        <charset val="134"/>
      </rPr>
      <t>）</t>
    </r>
  </si>
  <si>
    <t>GiB</t>
  </si>
  <si>
    <r>
      <rPr>
        <sz val="10"/>
        <color rgb="FF1A1A1A"/>
        <rFont val="Meiryo"/>
        <charset val="1"/>
      </rPr>
      <t>asia-northeast1 Standard</t>
    </r>
    <r>
      <rPr>
        <sz val="10"/>
        <color rgb="FF1A1A1A"/>
        <rFont val="Linux Libertine G"/>
        <charset val="134"/>
      </rPr>
      <t>。</t>
    </r>
  </si>
  <si>
    <r>
      <rPr>
        <sz val="10"/>
        <color rgb="FF1A1A1A"/>
        <rFont val="Meiryo"/>
        <charset val="1"/>
      </rPr>
      <t>asia-northeast1 Standard</t>
    </r>
    <r>
      <rPr>
        <sz val="10"/>
        <color rgb="FF1A1A1A"/>
        <rFont val="Linux Libertine G"/>
        <charset val="134"/>
      </rPr>
      <t>。顧客指定。</t>
    </r>
  </si>
  <si>
    <t>3</t>
  </si>
  <si>
    <r>
      <rPr>
        <b/>
        <sz val="10"/>
        <color rgb="FFFFFFFF"/>
        <rFont val="Meiryo"/>
        <charset val="1"/>
      </rPr>
      <t xml:space="preserve">GCS </t>
    </r>
    <r>
      <rPr>
        <b/>
        <sz val="10"/>
        <color rgb="FFFFFFFF"/>
        <rFont val="Linux Libertine G"/>
        <charset val="134"/>
      </rPr>
      <t>リージョン間転送（大阪→東京）</t>
    </r>
  </si>
  <si>
    <r>
      <rPr>
        <b/>
        <sz val="10"/>
        <color rgb="FFFFFFFF"/>
        <rFont val="Meiryo"/>
        <charset val="1"/>
      </rPr>
      <t>GiB/</t>
    </r>
    <r>
      <rPr>
        <b/>
        <sz val="10"/>
        <color rgb="FFFFFFFF"/>
        <rFont val="Linux Libertine G"/>
        <charset val="134"/>
      </rPr>
      <t>月</t>
    </r>
  </si>
  <si>
    <r>
      <rPr>
        <sz val="10"/>
        <color rgb="FF1A1A1A"/>
        <rFont val="Meiryo"/>
        <charset val="1"/>
      </rPr>
      <t>Inter Region within Asia</t>
    </r>
    <r>
      <rPr>
        <sz val="10"/>
        <color rgb="FF1A1A1A"/>
        <rFont val="Linux Libertine G"/>
        <charset val="134"/>
      </rPr>
      <t>。</t>
    </r>
  </si>
  <si>
    <r>
      <rPr>
        <b/>
        <sz val="11"/>
        <color rgb="FFFFFFFF"/>
        <rFont val="Linux Libertine G"/>
        <charset val="134"/>
      </rPr>
      <t>参考：</t>
    </r>
    <r>
      <rPr>
        <b/>
        <sz val="11"/>
        <color rgb="FFFFFFFF"/>
        <rFont val="Meiryo"/>
        <charset val="1"/>
      </rPr>
      <t>GKE</t>
    </r>
    <r>
      <rPr>
        <b/>
        <sz val="11"/>
        <color rgb="FFFFFFFF"/>
        <rFont val="Linux Libertine G"/>
        <charset val="134"/>
      </rPr>
      <t xml:space="preserve">（比較用・採用しない）。クラスタ管理費は </t>
    </r>
    <r>
      <rPr>
        <b/>
        <sz val="11"/>
        <color rgb="FFFFFFFF"/>
        <rFont val="Meiryo"/>
        <charset val="1"/>
      </rPr>
      <t xml:space="preserve">Autopilot </t>
    </r>
    <r>
      <rPr>
        <b/>
        <sz val="11"/>
        <color rgb="FFFFFFFF"/>
        <rFont val="Linux Libertine G"/>
        <charset val="134"/>
      </rPr>
      <t xml:space="preserve">も </t>
    </r>
    <r>
      <rPr>
        <b/>
        <sz val="11"/>
        <color rgb="FFFFFFFF"/>
        <rFont val="Meiryo"/>
        <charset val="1"/>
      </rPr>
      <t xml:space="preserve">Standard </t>
    </r>
    <r>
      <rPr>
        <b/>
        <sz val="11"/>
        <color rgb="FFFFFFFF"/>
        <rFont val="Linux Libertine G"/>
        <charset val="134"/>
      </rPr>
      <t>も同じ前提（</t>
    </r>
    <r>
      <rPr>
        <b/>
        <sz val="11"/>
        <color rgb="FFFFFFFF"/>
        <rFont val="Meiryo"/>
        <charset val="1"/>
      </rPr>
      <t>3</t>
    </r>
    <r>
      <rPr>
        <b/>
        <sz val="11"/>
        <color rgb="FFFFFFFF"/>
        <rFont val="Linux Libertine G"/>
        <charset val="134"/>
      </rPr>
      <t>クラスタ、</t>
    </r>
    <r>
      <rPr>
        <b/>
        <sz val="11"/>
        <color rgb="FFFFFFFF"/>
        <rFont val="Meiryo"/>
        <charset val="1"/>
      </rPr>
      <t xml:space="preserve">Free tier </t>
    </r>
    <r>
      <rPr>
        <b/>
        <sz val="11"/>
        <color rgb="FFFFFFFF"/>
        <rFont val="Linux Libertine G"/>
        <charset val="134"/>
      </rPr>
      <t xml:space="preserve">は </t>
    </r>
    <r>
      <rPr>
        <b/>
        <sz val="11"/>
        <color rgb="FFFFFFFF"/>
        <rFont val="Meiryo"/>
        <charset val="1"/>
      </rPr>
      <t>prod</t>
    </r>
    <r>
      <rPr>
        <b/>
        <sz val="11"/>
        <color rgb="FFFFFFFF"/>
        <rFont val="Linux Libertine G"/>
        <charset val="134"/>
      </rPr>
      <t>）。</t>
    </r>
  </si>
  <si>
    <t>4</t>
  </si>
  <si>
    <r>
      <rPr>
        <b/>
        <sz val="10"/>
        <color rgb="FFFFFFFF"/>
        <rFont val="Meiryo"/>
        <charset val="1"/>
      </rPr>
      <t>Autopilot Pod</t>
    </r>
    <r>
      <rPr>
        <b/>
        <sz val="10"/>
        <color rgb="FFFFFFFF"/>
        <rFont val="Linux Libertine G"/>
        <charset val="134"/>
      </rPr>
      <t>（</t>
    </r>
    <r>
      <rPr>
        <b/>
        <sz val="10"/>
        <color rgb="FFFFFFFF"/>
        <rFont val="Meiryo"/>
        <charset val="1"/>
      </rPr>
      <t xml:space="preserve">Job </t>
    </r>
    <r>
      <rPr>
        <b/>
        <sz val="10"/>
        <color rgb="FFFFFFFF"/>
        <rFont val="Linux Libertine G"/>
        <charset val="134"/>
      </rPr>
      <t>時のみ）</t>
    </r>
  </si>
  <si>
    <r>
      <rPr>
        <sz val="10"/>
        <color rgb="FF1A1A1A"/>
        <rFont val="Meiryo"/>
        <charset val="1"/>
      </rPr>
      <t>4 vCPU / 16 GiB × 2.5h</t>
    </r>
    <r>
      <rPr>
        <sz val="10"/>
        <color rgb="FF1A1A1A"/>
        <rFont val="Linux Libertine G"/>
        <charset val="134"/>
      </rPr>
      <t>。</t>
    </r>
    <r>
      <rPr>
        <sz val="10"/>
        <color rgb="FF1A1A1A"/>
        <rFont val="Meiryo"/>
        <charset val="1"/>
      </rPr>
      <t>$0.0445/vCPU</t>
    </r>
    <r>
      <rPr>
        <sz val="10"/>
        <color rgb="FF1A1A1A"/>
        <rFont val="Linux Libertine G"/>
        <charset val="134"/>
      </rPr>
      <t>時、</t>
    </r>
    <r>
      <rPr>
        <sz val="10"/>
        <color rgb="FF1A1A1A"/>
        <rFont val="Meiryo"/>
        <charset val="1"/>
      </rPr>
      <t>$0.0049225/GiB</t>
    </r>
    <r>
      <rPr>
        <sz val="10"/>
        <color rgb="FF1A1A1A"/>
        <rFont val="Linux Libertine G"/>
        <charset val="134"/>
      </rPr>
      <t>時。</t>
    </r>
  </si>
  <si>
    <r>
      <rPr>
        <sz val="10"/>
        <color rgb="FF1A1A1A"/>
        <rFont val="Meiryo"/>
        <charset val="1"/>
      </rPr>
      <t>4 vCPU / 16 GiB × 20h</t>
    </r>
    <r>
      <rPr>
        <sz val="10"/>
        <color rgb="FF1A1A1A"/>
        <rFont val="Linux Libertine G"/>
        <charset val="134"/>
      </rPr>
      <t>。</t>
    </r>
  </si>
  <si>
    <r>
      <rPr>
        <sz val="10"/>
        <color rgb="FF1A1A1A"/>
        <rFont val="Meiryo"/>
        <charset val="1"/>
      </rPr>
      <t>4 vCPU / 16 GiB × 90h</t>
    </r>
    <r>
      <rPr>
        <sz val="10"/>
        <color rgb="FF1A1A1A"/>
        <rFont val="Linux Libertine G"/>
        <charset val="134"/>
      </rPr>
      <t>（</t>
    </r>
    <r>
      <rPr>
        <sz val="10"/>
        <color rgb="FF1A1A1A"/>
        <rFont val="Meiryo"/>
        <charset val="1"/>
      </rPr>
      <t>3h/</t>
    </r>
    <r>
      <rPr>
        <sz val="10"/>
        <color rgb="FF1A1A1A"/>
        <rFont val="Linux Libertine G"/>
        <charset val="134"/>
      </rPr>
      <t xml:space="preserve">日 </t>
    </r>
    <r>
      <rPr>
        <sz val="10"/>
        <color rgb="FF1A1A1A"/>
        <rFont val="Meiryo"/>
        <charset val="1"/>
      </rPr>
      <t>× 30</t>
    </r>
    <r>
      <rPr>
        <sz val="10"/>
        <color rgb="FF1A1A1A"/>
        <rFont val="Linux Libertine G"/>
        <charset val="134"/>
      </rPr>
      <t>日）。</t>
    </r>
  </si>
  <si>
    <t>5</t>
  </si>
  <si>
    <r>
      <rPr>
        <b/>
        <sz val="10"/>
        <color rgb="FFFFFFFF"/>
        <rFont val="Meiryo"/>
        <charset val="1"/>
      </rPr>
      <t xml:space="preserve">GKE </t>
    </r>
    <r>
      <rPr>
        <b/>
        <sz val="10"/>
        <color rgb="FFFFFFFF"/>
        <rFont val="Linux Libertine G"/>
        <charset val="134"/>
      </rPr>
      <t>クラスタ管理費</t>
    </r>
  </si>
  <si>
    <r>
      <rPr>
        <sz val="10"/>
        <color rgb="FF1A1A1A"/>
        <rFont val="Meiryo"/>
        <charset val="1"/>
      </rPr>
      <t>$0.10/</t>
    </r>
    <r>
      <rPr>
        <sz val="10"/>
        <color rgb="FF1A1A1A"/>
        <rFont val="Linux Libertine G"/>
        <charset val="134"/>
      </rPr>
      <t xml:space="preserve">時 </t>
    </r>
    <r>
      <rPr>
        <sz val="10"/>
        <color rgb="FF1A1A1A"/>
        <rFont val="Meiryo"/>
        <charset val="1"/>
      </rPr>
      <t>× 744h × ¥159.375</t>
    </r>
  </si>
  <si>
    <r>
      <rPr>
        <sz val="10"/>
        <color rgb="FF1A1A1A"/>
        <rFont val="Meiryo"/>
        <charset val="1"/>
      </rPr>
      <t>Free tier</t>
    </r>
    <r>
      <rPr>
        <sz val="10"/>
        <color rgb="FF1A1A1A"/>
        <rFont val="Linux Libertine G"/>
        <charset val="134"/>
      </rPr>
      <t>（</t>
    </r>
    <r>
      <rPr>
        <sz val="10"/>
        <color rgb="FF1A1A1A"/>
        <rFont val="Meiryo"/>
        <charset val="1"/>
      </rPr>
      <t>$74.40</t>
    </r>
    <r>
      <rPr>
        <sz val="10"/>
        <color rgb="FF1A1A1A"/>
        <rFont val="Linux Libertine G"/>
        <charset val="134"/>
      </rPr>
      <t xml:space="preserve">）を </t>
    </r>
    <r>
      <rPr>
        <sz val="10"/>
        <color rgb="FF1A1A1A"/>
        <rFont val="Meiryo"/>
        <charset val="1"/>
      </rPr>
      <t xml:space="preserve">prod </t>
    </r>
    <r>
      <rPr>
        <sz val="10"/>
        <color rgb="FF1A1A1A"/>
        <rFont val="Linux Libertine G"/>
        <charset val="134"/>
      </rPr>
      <t>に充当</t>
    </r>
  </si>
  <si>
    <t>6</t>
  </si>
  <si>
    <r>
      <rPr>
        <b/>
        <sz val="10"/>
        <color rgb="FFFFFFFF"/>
        <rFont val="Meiryo"/>
        <charset val="1"/>
      </rPr>
      <t xml:space="preserve">GKE Standard </t>
    </r>
    <r>
      <rPr>
        <b/>
        <sz val="10"/>
        <color rgb="FFFFFFFF"/>
        <rFont val="Linux Libertine G"/>
        <charset val="134"/>
      </rPr>
      <t>ノード（</t>
    </r>
    <r>
      <rPr>
        <b/>
        <sz val="10"/>
        <color rgb="FFFFFFFF"/>
        <rFont val="Meiryo"/>
        <charset val="1"/>
      </rPr>
      <t xml:space="preserve">e2-standard-4 </t>
    </r>
    <r>
      <rPr>
        <b/>
        <sz val="10"/>
        <color rgb="FFFFFFFF"/>
        <rFont val="Linux Libertine G"/>
        <charset val="134"/>
      </rPr>
      <t>常駐）</t>
    </r>
  </si>
  <si>
    <t>台数</t>
  </si>
  <si>
    <r>
      <rPr>
        <sz val="10"/>
        <color rgb="FF1A1A1A"/>
        <rFont val="Linux Libertine G"/>
        <charset val="134"/>
      </rPr>
      <t xml:space="preserve">東京 </t>
    </r>
    <r>
      <rPr>
        <sz val="10"/>
        <color rgb="FF1A1A1A"/>
        <rFont val="Meiryo"/>
        <charset val="1"/>
      </rPr>
      <t>$0.1719/</t>
    </r>
    <r>
      <rPr>
        <sz val="10"/>
        <color rgb="FF1A1A1A"/>
        <rFont val="Linux Libertine G"/>
        <charset val="134"/>
      </rPr>
      <t xml:space="preserve">時 </t>
    </r>
    <r>
      <rPr>
        <sz val="10"/>
        <color rgb="FF1A1A1A"/>
        <rFont val="Meiryo"/>
        <charset val="1"/>
      </rPr>
      <t>× 730h × ¥159.375</t>
    </r>
    <r>
      <rPr>
        <sz val="10"/>
        <color rgb="FF1A1A1A"/>
        <rFont val="Linux Libertine G"/>
        <charset val="134"/>
      </rPr>
      <t>。常時起動。ブートディスク／</t>
    </r>
    <r>
      <rPr>
        <sz val="10"/>
        <color rgb="FF1A1A1A"/>
        <rFont val="Meiryo"/>
        <charset val="1"/>
      </rPr>
      <t>LB</t>
    </r>
    <r>
      <rPr>
        <sz val="10"/>
        <color rgb="FF1A1A1A"/>
        <rFont val="Linux Libertine G"/>
        <charset val="134"/>
      </rPr>
      <t>／</t>
    </r>
    <r>
      <rPr>
        <sz val="10"/>
        <color rgb="FF1A1A1A"/>
        <rFont val="Meiryo"/>
        <charset val="1"/>
      </rPr>
      <t xml:space="preserve">Logging </t>
    </r>
    <r>
      <rPr>
        <sz val="10"/>
        <color rgb="FF1A1A1A"/>
        <rFont val="Linux Libertine G"/>
        <charset val="134"/>
      </rPr>
      <t>未計上。</t>
    </r>
  </si>
  <si>
    <r>
      <rPr>
        <sz val="10"/>
        <color rgb="FF1A1A1A"/>
        <rFont val="Meiryo"/>
        <charset val="1"/>
      </rPr>
      <t xml:space="preserve">dev </t>
    </r>
    <r>
      <rPr>
        <sz val="10"/>
        <color rgb="FF1A1A1A"/>
        <rFont val="Linux Libertine G"/>
        <charset val="134"/>
      </rPr>
      <t xml:space="preserve">と同じ単価。各環境 </t>
    </r>
    <r>
      <rPr>
        <sz val="10"/>
        <color rgb="FF1A1A1A"/>
        <rFont val="Meiryo"/>
        <charset val="1"/>
      </rPr>
      <t xml:space="preserve">1 </t>
    </r>
    <r>
      <rPr>
        <sz val="10"/>
        <color rgb="FF1A1A1A"/>
        <rFont val="Linux Libertine G"/>
        <charset val="134"/>
      </rPr>
      <t>台。</t>
    </r>
  </si>
  <si>
    <r>
      <rPr>
        <b/>
        <sz val="10"/>
        <color rgb="FF1A1A1A"/>
        <rFont val="Meiryo"/>
        <charset val="1"/>
      </rPr>
      <t>Standard 3</t>
    </r>
    <r>
      <rPr>
        <b/>
        <sz val="10"/>
        <color rgb="FF1A1A1A"/>
        <rFont val="Linux Libertine G"/>
        <charset val="134"/>
      </rPr>
      <t>台 月額合計（ノードのみ）</t>
    </r>
  </si>
  <si>
    <t>データ保留期間</t>
  </si>
  <si>
    <r>
      <rPr>
        <sz val="10"/>
        <color rgb="FF595959"/>
        <rFont val="Linux Libertine G"/>
        <charset val="134"/>
      </rPr>
      <t>本</t>
    </r>
    <r>
      <rPr>
        <sz val="10"/>
        <color rgb="FF595959"/>
        <rFont val="Meiryo"/>
        <charset val="1"/>
      </rPr>
      <t xml:space="preserve">PJ </t>
    </r>
    <r>
      <rPr>
        <sz val="10"/>
        <color rgb="FF595959"/>
        <rFont val="Linux Libertine G"/>
        <charset val="134"/>
      </rPr>
      <t xml:space="preserve">に置く元データだけが保管対象。最終 </t>
    </r>
    <r>
      <rPr>
        <sz val="10"/>
        <color rgb="FF595959"/>
        <rFont val="Meiryo"/>
        <charset val="1"/>
      </rPr>
      <t xml:space="preserve">TXT </t>
    </r>
    <r>
      <rPr>
        <sz val="10"/>
        <color rgb="FF595959"/>
        <rFont val="Linux Libertine G"/>
        <charset val="134"/>
      </rPr>
      <t xml:space="preserve">は </t>
    </r>
    <r>
      <rPr>
        <sz val="10"/>
        <color rgb="FF595959"/>
        <rFont val="Meiryo"/>
        <charset val="1"/>
      </rPr>
      <t xml:space="preserve">seiyu-trial-data-exchange </t>
    </r>
    <r>
      <rPr>
        <sz val="10"/>
        <color rgb="FF595959"/>
        <rFont val="Linux Libertine G"/>
        <charset val="134"/>
      </rPr>
      <t>へ渡し、本</t>
    </r>
    <r>
      <rPr>
        <sz val="10"/>
        <color rgb="FF595959"/>
        <rFont val="Meiryo"/>
        <charset val="1"/>
      </rPr>
      <t xml:space="preserve">PJ </t>
    </r>
    <r>
      <rPr>
        <sz val="10"/>
        <color rgb="FF595959"/>
        <rFont val="Linux Libertine G"/>
        <charset val="134"/>
      </rPr>
      <t>には残さない。</t>
    </r>
  </si>
  <si>
    <t>分類</t>
  </si>
  <si>
    <t>保留期間（日）</t>
  </si>
  <si>
    <r>
      <rPr>
        <sz val="10"/>
        <color rgb="FF1A1A1A"/>
        <rFont val="Linux Libertine G"/>
        <charset val="134"/>
      </rPr>
      <t>本</t>
    </r>
    <r>
      <rPr>
        <sz val="10"/>
        <color rgb="FF1A1A1A"/>
        <rFont val="Meiryo"/>
        <charset val="1"/>
      </rPr>
      <t xml:space="preserve">PJ GCS </t>
    </r>
    <r>
      <rPr>
        <sz val="10"/>
        <color rgb="FF1A1A1A"/>
        <rFont val="Linux Libertine G"/>
        <charset val="134"/>
      </rPr>
      <t>元データ</t>
    </r>
  </si>
  <si>
    <r>
      <rPr>
        <sz val="10"/>
        <color rgb="FF1A1A1A"/>
        <rFont val="Meiryo"/>
        <charset val="1"/>
      </rPr>
      <t>source-landing/MD_DATA/</t>
    </r>
    <r>
      <rPr>
        <sz val="10"/>
        <color rgb="FF1A1A1A"/>
        <rFont val="Linux Libertine G"/>
        <charset val="134"/>
      </rPr>
      <t xml:space="preserve">。試算入力 </t>
    </r>
    <r>
      <rPr>
        <sz val="10"/>
        <color rgb="FF1A1A1A"/>
        <rFont val="Meiryo"/>
        <charset val="1"/>
      </rPr>
      <t>1,200 GiB</t>
    </r>
    <r>
      <rPr>
        <sz val="10"/>
        <color rgb="FF1A1A1A"/>
        <rFont val="Linux Libertine G"/>
        <charset val="134"/>
      </rPr>
      <t>。</t>
    </r>
  </si>
  <si>
    <r>
      <rPr>
        <sz val="10"/>
        <color rgb="FF1A1A1A"/>
        <rFont val="Meiryo"/>
        <charset val="1"/>
      </rPr>
      <t xml:space="preserve">7 </t>
    </r>
    <r>
      <rPr>
        <sz val="10"/>
        <color rgb="FF1A1A1A"/>
        <rFont val="Linux Libertine G"/>
        <charset val="134"/>
      </rPr>
      <t xml:space="preserve">日案と同じ容量 </t>
    </r>
    <r>
      <rPr>
        <sz val="10"/>
        <color rgb="FF1A1A1A"/>
        <rFont val="Meiryo"/>
        <charset val="1"/>
      </rPr>
      <t>150 GiB</t>
    </r>
    <r>
      <rPr>
        <sz val="10"/>
        <color rgb="FF1A1A1A"/>
        <rFont val="Linux Libertine G"/>
        <charset val="134"/>
      </rPr>
      <t>。</t>
    </r>
  </si>
  <si>
    <r>
      <rPr>
        <sz val="10"/>
        <color rgb="FF1A1A1A"/>
        <rFont val="Meiryo"/>
        <charset val="1"/>
      </rPr>
      <t xml:space="preserve">7 </t>
    </r>
    <r>
      <rPr>
        <sz val="10"/>
        <color rgb="FF1A1A1A"/>
        <rFont val="Linux Libertine G"/>
        <charset val="134"/>
      </rPr>
      <t xml:space="preserve">日案と同じ容量 </t>
    </r>
    <r>
      <rPr>
        <sz val="10"/>
        <color rgb="FF1A1A1A"/>
        <rFont val="Meiryo"/>
        <charset val="1"/>
      </rPr>
      <t>50 GiB</t>
    </r>
    <r>
      <rPr>
        <sz val="10"/>
        <color rgb="FF1A1A1A"/>
        <rFont val="Linux Libertine G"/>
        <charset val="134"/>
      </rPr>
      <t>。</t>
    </r>
  </si>
  <si>
    <t>処理中の一時領域</t>
  </si>
  <si>
    <t>全環境</t>
  </si>
  <si>
    <r>
      <rPr>
        <sz val="10"/>
        <color rgb="FF1A1A1A"/>
        <rFont val="Meiryo"/>
        <charset val="1"/>
      </rPr>
      <t xml:space="preserve">Cloud Run </t>
    </r>
    <r>
      <rPr>
        <sz val="10"/>
        <color rgb="FF1A1A1A"/>
        <rFont val="Linux Libertine G"/>
        <charset val="134"/>
      </rPr>
      <t>のエフェメラル。ジョブ終了で消える。</t>
    </r>
  </si>
  <si>
    <r>
      <rPr>
        <sz val="10"/>
        <color rgb="FF1A1A1A"/>
        <rFont val="Linux Libertine G"/>
        <charset val="134"/>
      </rPr>
      <t xml:space="preserve">最終 </t>
    </r>
    <r>
      <rPr>
        <sz val="10"/>
        <color rgb="FF1A1A1A"/>
        <rFont val="Meiryo"/>
        <charset val="1"/>
      </rPr>
      <t xml:space="preserve">TXT </t>
    </r>
    <r>
      <rPr>
        <sz val="10"/>
        <color rgb="FF1A1A1A"/>
        <rFont val="Linux Libertine G"/>
        <charset val="134"/>
      </rPr>
      <t>の本</t>
    </r>
    <r>
      <rPr>
        <sz val="10"/>
        <color rgb="FF1A1A1A"/>
        <rFont val="Meiryo"/>
        <charset val="1"/>
      </rPr>
      <t xml:space="preserve">PJ </t>
    </r>
    <r>
      <rPr>
        <sz val="10"/>
        <color rgb="FF1A1A1A"/>
        <rFont val="Linux Libertine G"/>
        <charset val="134"/>
      </rPr>
      <t>側コピー</t>
    </r>
  </si>
  <si>
    <r>
      <rPr>
        <sz val="10"/>
        <color rgb="FF1A1A1A"/>
        <rFont val="Linux Libertine G"/>
        <charset val="134"/>
      </rPr>
      <t>結果は本</t>
    </r>
    <r>
      <rPr>
        <sz val="10"/>
        <color rgb="FF1A1A1A"/>
        <rFont val="Meiryo"/>
        <charset val="1"/>
      </rPr>
      <t xml:space="preserve">PJ GCS </t>
    </r>
    <r>
      <rPr>
        <sz val="10"/>
        <color rgb="FF1A1A1A"/>
        <rFont val="Linux Libertine G"/>
        <charset val="134"/>
      </rPr>
      <t>に重複保存しない。</t>
    </r>
  </si>
  <si>
    <r>
      <rPr>
        <sz val="10"/>
        <color rgb="FF1A1A1A"/>
        <rFont val="Meiryo"/>
        <charset val="1"/>
      </rPr>
      <t xml:space="preserve">seiyu-trial-data-exchange </t>
    </r>
    <r>
      <rPr>
        <sz val="10"/>
        <color rgb="FF1A1A1A"/>
        <rFont val="Linux Libertine G"/>
        <charset val="134"/>
      </rPr>
      <t>上の結果</t>
    </r>
  </si>
  <si>
    <t>相手先</t>
  </si>
  <si>
    <t>本概算の保管対象外。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</si>
</sst>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\-??_ ;_ @_ "/>
    <numFmt numFmtId="177" formatCode="_ &quot;￥&quot;* #,##0.00_ ;_ &quot;￥&quot;* \-#,##0.00_ ;_ &quot;￥&quot;* \-??_ ;_ @_ "/>
    <numFmt numFmtId="178" formatCode="_ * #,##0_ ;_ * \-#,##0_ ;_ * \-_ ;_ @_ "/>
    <numFmt numFmtId="179" formatCode="_ &quot;￥&quot;* #,##0_ ;_ &quot;￥&quot;* \-#,##0_ ;_ &quot;￥&quot;* \-_ ;_ @_ "/>
  </numFmts>
  <fonts count="48">
    <font>
      <sz val="10"/>
      <name val="Linux Libertine G"/>
      <charset val="134"/>
    </font>
    <font>
      <b/>
      <sz val="16"/>
      <color rgb="FF1F4E79"/>
      <name val="Linux Libertine G"/>
      <charset val="134"/>
    </font>
    <font>
      <sz val="10"/>
      <color rgb="FF595959"/>
      <name val="Linux Libertine G"/>
      <charset val="134"/>
    </font>
    <font>
      <b/>
      <sz val="10"/>
      <color rgb="FFFFFFFF"/>
      <name val="Linux Libertine G"/>
      <charset val="134"/>
    </font>
    <font>
      <sz val="10"/>
      <color rgb="FF1A1A1A"/>
      <name val="Linux Libertine G"/>
      <charset val="134"/>
    </font>
    <font>
      <sz val="10"/>
      <color rgb="FF1A1A1A"/>
      <name val="Meiryo"/>
      <charset val="1"/>
    </font>
    <font>
      <b/>
      <sz val="16"/>
      <color rgb="FF1F4E79"/>
      <name val="Meiryo"/>
      <charset val="1"/>
    </font>
    <font>
      <sz val="9"/>
      <color rgb="FF595959"/>
      <name val="Linux Libertine G"/>
      <charset val="134"/>
    </font>
    <font>
      <b/>
      <sz val="10"/>
      <color rgb="FF1A1A1A"/>
      <name val="Linux Libertine G"/>
      <charset val="134"/>
    </font>
    <font>
      <b/>
      <sz val="10"/>
      <color rgb="FF1A1A1A"/>
      <name val="Meiryo"/>
      <charset val="1"/>
    </font>
    <font>
      <b/>
      <sz val="10"/>
      <color rgb="FFFFFFFF"/>
      <name val="Meiryo"/>
      <charset val="1"/>
    </font>
    <font>
      <b/>
      <sz val="11"/>
      <color rgb="FFFFFFFF"/>
      <name val="Linux Libertine G"/>
      <charset val="134"/>
    </font>
    <font>
      <b/>
      <sz val="10"/>
      <color rgb="FF1F4E79"/>
      <name val="Meiryo"/>
      <charset val="1"/>
    </font>
    <font>
      <sz val="10"/>
      <color rgb="FF1F4E79"/>
      <name val="Linux Libertine G"/>
      <charset val="134"/>
    </font>
    <font>
      <b/>
      <sz val="12"/>
      <color rgb="FF1F4E79"/>
      <name val="Meiryo"/>
      <charset val="1"/>
    </font>
    <font>
      <b/>
      <sz val="10"/>
      <color rgb="FF0F6E56"/>
      <name val="Meiryo"/>
      <charset val="1"/>
    </font>
    <font>
      <sz val="10"/>
      <color rgb="FF0F6E56"/>
      <name val="Linux Libertine G"/>
      <charset val="134"/>
    </font>
    <font>
      <b/>
      <sz val="12"/>
      <color rgb="FF0F6E56"/>
      <name val="Meiryo"/>
      <charset val="1"/>
    </font>
    <font>
      <b/>
      <sz val="10"/>
      <color rgb="FF8A4B08"/>
      <name val="Meiryo"/>
      <charset val="1"/>
    </font>
    <font>
      <sz val="10"/>
      <color rgb="FF8A4B08"/>
      <name val="Linux Libertine G"/>
      <charset val="134"/>
    </font>
    <font>
      <b/>
      <sz val="12"/>
      <color rgb="FF8A4B08"/>
      <name val="Meiryo"/>
      <charset val="1"/>
    </font>
    <font>
      <b/>
      <sz val="12"/>
      <color rgb="FF1F4E79"/>
      <name val="Linux Libertine G"/>
      <charset val="134"/>
    </font>
    <font>
      <sz val="10"/>
      <color rgb="FF595959"/>
      <name val="Meiryo"/>
      <charset val="1"/>
    </font>
    <font>
      <b/>
      <sz val="12"/>
      <color rgb="FFFFFFFF"/>
      <name val="Linux Libertine G"/>
      <charset val="134"/>
    </font>
    <font>
      <b/>
      <sz val="14"/>
      <color rgb="FFFFFFFF"/>
      <name val="Meiryo"/>
      <charset val="1"/>
    </font>
    <font>
      <sz val="11"/>
      <color theme="1"/>
      <name val="宋体"/>
      <charset val="1"/>
    </font>
    <font>
      <sz val="11"/>
      <color rgb="FF0000FF"/>
      <name val="宋体"/>
      <charset val="1"/>
    </font>
    <font>
      <sz val="11"/>
      <color rgb="FF800080"/>
      <name val="宋体"/>
      <charset val="1"/>
    </font>
    <font>
      <sz val="11"/>
      <color rgb="FFFF0000"/>
      <name val="宋体"/>
      <charset val="1"/>
    </font>
    <font>
      <b/>
      <sz val="18"/>
      <color theme="3"/>
      <name val="宋体"/>
      <charset val="1"/>
    </font>
    <font>
      <i/>
      <sz val="11"/>
      <color rgb="FF7F7F7F"/>
      <name val="宋体"/>
      <charset val="1"/>
    </font>
    <font>
      <b/>
      <sz val="15"/>
      <color theme="3"/>
      <name val="宋体"/>
      <charset val="1"/>
    </font>
    <font>
      <b/>
      <sz val="13"/>
      <color theme="3"/>
      <name val="宋体"/>
      <charset val="1"/>
    </font>
    <font>
      <b/>
      <sz val="11"/>
      <color theme="3"/>
      <name val="宋体"/>
      <charset val="1"/>
    </font>
    <font>
      <sz val="11"/>
      <color rgb="FF3F3F76"/>
      <name val="宋体"/>
      <charset val="1"/>
    </font>
    <font>
      <b/>
      <sz val="11"/>
      <color rgb="FF3F3F3F"/>
      <name val="宋体"/>
      <charset val="1"/>
    </font>
    <font>
      <b/>
      <sz val="11"/>
      <color rgb="FFFA7D00"/>
      <name val="宋体"/>
      <charset val="1"/>
    </font>
    <font>
      <b/>
      <sz val="11"/>
      <color rgb="FFFFFFFF"/>
      <name val="宋体"/>
      <charset val="1"/>
    </font>
    <font>
      <sz val="11"/>
      <color rgb="FFFA7D00"/>
      <name val="宋体"/>
      <charset val="1"/>
    </font>
    <font>
      <b/>
      <sz val="11"/>
      <color theme="1"/>
      <name val="宋体"/>
      <charset val="1"/>
    </font>
    <font>
      <sz val="11"/>
      <color rgb="FF006100"/>
      <name val="宋体"/>
      <charset val="1"/>
    </font>
    <font>
      <sz val="11"/>
      <color rgb="FF9C0006"/>
      <name val="宋体"/>
      <charset val="1"/>
    </font>
    <font>
      <sz val="11"/>
      <color rgb="FF9C6500"/>
      <name val="宋体"/>
      <charset val="1"/>
    </font>
    <font>
      <sz val="11"/>
      <color theme="0"/>
      <name val="宋体"/>
      <charset val="1"/>
    </font>
    <font>
      <b/>
      <sz val="11"/>
      <color rgb="FFFFFFFF"/>
      <name val="Meiryo"/>
      <charset val="1"/>
    </font>
    <font>
      <b/>
      <sz val="10"/>
      <color rgb="FF8A4B08"/>
      <name val="Linux Libertine G"/>
      <charset val="134"/>
    </font>
    <font>
      <sz val="9"/>
      <color rgb="FF595959"/>
      <name val="Meiryo"/>
      <charset val="1"/>
    </font>
    <font>
      <b/>
      <sz val="10"/>
      <color rgb="FF0F6E56"/>
      <name val="Linux Libertine G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E8F0FE"/>
        <bgColor rgb="FFE7F2EC"/>
      </patternFill>
    </fill>
    <fill>
      <patternFill patternType="solid">
        <fgColor rgb="FFFFFFFF"/>
        <bgColor rgb="FFF7F9FC"/>
      </patternFill>
    </fill>
    <fill>
      <patternFill patternType="solid">
        <fgColor rgb="FFFFF2CC"/>
        <bgColor rgb="FFFDEADA"/>
      </patternFill>
    </fill>
    <fill>
      <patternFill patternType="solid">
        <fgColor rgb="FFF7F9FC"/>
        <bgColor rgb="FFFFFFFF"/>
      </patternFill>
    </fill>
    <fill>
      <patternFill patternType="solid">
        <fgColor rgb="FF0F6E56"/>
        <bgColor rgb="FF1F4E79"/>
      </patternFill>
    </fill>
    <fill>
      <patternFill patternType="solid">
        <fgColor rgb="FFE7F2EC"/>
        <bgColor rgb="FFEBF1DE"/>
      </patternFill>
    </fill>
    <fill>
      <patternFill patternType="solid">
        <fgColor rgb="FFFFF4E5"/>
        <bgColor rgb="FFFFF2CC"/>
      </patternFill>
    </fill>
    <fill>
      <patternFill patternType="solid">
        <fgColor rgb="FFFFFFCC"/>
        <bgColor rgb="FFFFF2CC"/>
      </patternFill>
    </fill>
    <fill>
      <patternFill patternType="solid">
        <fgColor rgb="FFFFCC99"/>
        <bgColor rgb="FFFAC090"/>
      </patternFill>
    </fill>
    <fill>
      <patternFill patternType="solid">
        <fgColor rgb="FFF2F2F2"/>
        <bgColor rgb="FFE7F2EC"/>
      </patternFill>
    </fill>
    <fill>
      <patternFill patternType="solid">
        <fgColor rgb="FFA9A9A9"/>
        <bgColor rgb="FFB3A2C7"/>
      </patternFill>
    </fill>
    <fill>
      <patternFill patternType="solid">
        <fgColor rgb="FFC6EFCE"/>
        <bgColor rgb="FFD7E4BD"/>
      </patternFill>
    </fill>
    <fill>
      <patternFill patternType="solid">
        <fgColor rgb="FFFFC7CE"/>
        <bgColor rgb="FFFCD5B5"/>
      </patternFill>
    </fill>
    <fill>
      <patternFill patternType="solid">
        <fgColor rgb="FFFFEB9C"/>
        <bgColor rgb="FFFFF2CC"/>
      </patternFill>
    </fill>
    <fill>
      <patternFill patternType="solid">
        <fgColor theme="4"/>
        <bgColor rgb="FF5B7C99"/>
      </patternFill>
    </fill>
    <fill>
      <patternFill patternType="solid">
        <fgColor theme="4" tint="0.7999"/>
        <bgColor rgb="FFDBEEF4"/>
      </patternFill>
    </fill>
    <fill>
      <patternFill patternType="solid">
        <fgColor theme="4" tint="0.5999"/>
        <bgColor rgb="FFB7DEE8"/>
      </patternFill>
    </fill>
    <fill>
      <patternFill patternType="solid">
        <fgColor theme="4" tint="0.3999"/>
        <bgColor rgb="FF93CDDD"/>
      </patternFill>
    </fill>
    <fill>
      <patternFill patternType="solid">
        <fgColor theme="5"/>
        <bgColor rgb="FF9C6500"/>
      </patternFill>
    </fill>
    <fill>
      <patternFill patternType="solid">
        <fgColor theme="5" tint="0.7999"/>
        <bgColor rgb="FFE6E0EC"/>
      </patternFill>
    </fill>
    <fill>
      <patternFill patternType="solid">
        <fgColor theme="5" tint="0.5999"/>
        <bgColor rgb="FFFAC090"/>
      </patternFill>
    </fill>
    <fill>
      <patternFill patternType="solid">
        <fgColor theme="5" tint="0.3999"/>
        <bgColor rgb="FFB3A2C7"/>
      </patternFill>
    </fill>
    <fill>
      <patternFill patternType="solid">
        <fgColor theme="6"/>
        <bgColor rgb="FFA9A9A9"/>
      </patternFill>
    </fill>
    <fill>
      <patternFill patternType="solid">
        <fgColor theme="6" tint="0.7999"/>
        <bgColor rgb="FFE7F2EC"/>
      </patternFill>
    </fill>
    <fill>
      <patternFill patternType="solid">
        <fgColor theme="6" tint="0.5999"/>
        <bgColor rgb="FFC6EFCE"/>
      </patternFill>
    </fill>
    <fill>
      <patternFill patternType="solid">
        <fgColor theme="6" tint="0.3999"/>
        <bgColor rgb="FFD7E4BD"/>
      </patternFill>
    </fill>
    <fill>
      <patternFill patternType="solid">
        <fgColor theme="7"/>
        <bgColor rgb="FF7F7F7F"/>
      </patternFill>
    </fill>
    <fill>
      <patternFill patternType="solid">
        <fgColor theme="7" tint="0.7999"/>
        <bgColor rgb="FFDCE6F2"/>
      </patternFill>
    </fill>
    <fill>
      <patternFill patternType="solid">
        <fgColor theme="7" tint="0.5999"/>
        <bgColor rgb="FFB9CDE5"/>
      </patternFill>
    </fill>
    <fill>
      <patternFill patternType="solid">
        <fgColor theme="7" tint="0.3999"/>
        <bgColor rgb="FFA9A9A9"/>
      </patternFill>
    </fill>
    <fill>
      <patternFill patternType="solid">
        <fgColor theme="8"/>
        <bgColor rgb="FF4F81BD"/>
      </patternFill>
    </fill>
    <fill>
      <patternFill patternType="solid">
        <fgColor theme="8" tint="0.7999"/>
        <bgColor rgb="FFDCE6F2"/>
      </patternFill>
    </fill>
    <fill>
      <patternFill patternType="solid">
        <fgColor theme="8" tint="0.5999"/>
        <bgColor rgb="FFB9CDE5"/>
      </patternFill>
    </fill>
    <fill>
      <patternFill patternType="solid">
        <fgColor theme="8" tint="0.3999"/>
        <bgColor rgb="FF97B5D9"/>
      </patternFill>
    </fill>
    <fill>
      <patternFill patternType="solid">
        <fgColor theme="9"/>
        <bgColor rgb="FFFB7D00"/>
      </patternFill>
    </fill>
    <fill>
      <patternFill patternType="solid">
        <fgColor theme="9" tint="0.7999"/>
        <bgColor rgb="FFFFF2CC"/>
      </patternFill>
    </fill>
    <fill>
      <patternFill patternType="solid">
        <fgColor theme="9" tint="0.5999"/>
        <bgColor rgb="FFFFCC99"/>
      </patternFill>
    </fill>
    <fill>
      <patternFill patternType="solid">
        <fgColor theme="9" tint="0.3999"/>
        <bgColor rgb="FFFFCC99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B7D00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>
      <alignment vertical="center"/>
    </xf>
    <xf numFmtId="177" fontId="25" fillId="0" borderId="0">
      <alignment vertical="center"/>
    </xf>
    <xf numFmtId="9" fontId="25" fillId="0" borderId="0">
      <alignment vertical="center"/>
    </xf>
    <xf numFmtId="178" fontId="25" fillId="0" borderId="0">
      <alignment vertical="center"/>
    </xf>
    <xf numFmtId="179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5" fillId="10" borderId="2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3">
      <alignment vertical="center"/>
    </xf>
    <xf numFmtId="0" fontId="32" fillId="0" borderId="3">
      <alignment vertical="center"/>
    </xf>
    <xf numFmtId="0" fontId="33" fillId="0" borderId="4">
      <alignment vertical="center"/>
    </xf>
    <xf numFmtId="0" fontId="33" fillId="0" borderId="0">
      <alignment vertical="center"/>
    </xf>
    <xf numFmtId="0" fontId="34" fillId="11" borderId="5">
      <alignment vertical="center"/>
    </xf>
    <xf numFmtId="0" fontId="35" fillId="12" borderId="6">
      <alignment vertical="center"/>
    </xf>
    <xf numFmtId="0" fontId="36" fillId="12" borderId="5">
      <alignment vertical="center"/>
    </xf>
    <xf numFmtId="0" fontId="37" fillId="13" borderId="7">
      <alignment vertical="center"/>
    </xf>
    <xf numFmtId="0" fontId="38" fillId="0" borderId="8">
      <alignment vertical="center"/>
    </xf>
    <xf numFmtId="0" fontId="39" fillId="0" borderId="9">
      <alignment vertical="center"/>
    </xf>
    <xf numFmtId="0" fontId="40" fillId="14" borderId="0">
      <alignment vertical="center"/>
    </xf>
    <xf numFmtId="0" fontId="41" fillId="15" borderId="0">
      <alignment vertical="center"/>
    </xf>
    <xf numFmtId="0" fontId="42" fillId="16" borderId="0">
      <alignment vertical="center"/>
    </xf>
    <xf numFmtId="0" fontId="43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43" fillId="20" borderId="0">
      <alignment vertical="center"/>
    </xf>
    <xf numFmtId="0" fontId="43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43" fillId="24" borderId="0">
      <alignment vertical="center"/>
    </xf>
    <xf numFmtId="0" fontId="43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43" fillId="28" borderId="0">
      <alignment vertical="center"/>
    </xf>
    <xf numFmtId="0" fontId="43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43" fillId="32" borderId="0">
      <alignment vertical="center"/>
    </xf>
    <xf numFmtId="0" fontId="43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43" fillId="36" borderId="0">
      <alignment vertical="center"/>
    </xf>
    <xf numFmtId="0" fontId="43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43" fillId="40" borderId="0">
      <alignment vertical="center"/>
    </xf>
  </cellStyleXfs>
  <cellXfs count="61">
    <xf numFmtId="0" fontId="0" fillId="0" borderId="0" xfId="0" applyFont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" fontId="5" fillId="3" borderId="1" xfId="0" applyNumberFormat="1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4" fontId="9" fillId="5" borderId="1" xfId="0" applyNumberFormat="1" applyFont="1" applyFill="1" applyBorder="1" applyAlignment="1">
      <alignment horizontal="right" vertical="center" wrapText="1"/>
    </xf>
    <xf numFmtId="3" fontId="9" fillId="5" borderId="1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3" fontId="17" fillId="8" borderId="1" xfId="0" applyNumberFormat="1" applyFont="1" applyFill="1" applyBorder="1" applyAlignment="1">
      <alignment horizontal="righ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3" fontId="20" fillId="9" borderId="1" xfId="0" applyNumberFormat="1" applyFont="1" applyFill="1" applyBorder="1" applyAlignment="1">
      <alignment horizontal="right" vertical="center" wrapText="1"/>
    </xf>
    <xf numFmtId="0" fontId="21" fillId="0" borderId="0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3" fontId="9" fillId="3" borderId="1" xfId="0" applyNumberFormat="1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right" vertical="center" wrapText="1"/>
    </xf>
    <xf numFmtId="3" fontId="9" fillId="8" borderId="1" xfId="0" applyNumberFormat="1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left" vertical="center" wrapText="1"/>
    </xf>
    <xf numFmtId="3" fontId="5" fillId="9" borderId="1" xfId="0" applyNumberFormat="1" applyFont="1" applyFill="1" applyBorder="1" applyAlignment="1">
      <alignment horizontal="right" vertical="center" wrapText="1"/>
    </xf>
    <xf numFmtId="3" fontId="9" fillId="9" borderId="1" xfId="0" applyNumberFormat="1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10" fillId="2" borderId="1" xfId="0" applyNumberFormat="1" applyFont="1" applyFill="1" applyBorder="1" applyAlignment="1">
      <alignment horizontal="right" vertical="center" wrapText="1"/>
    </xf>
    <xf numFmtId="0" fontId="22" fillId="0" borderId="0" xfId="0" applyFont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3" fontId="24" fillId="2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FFF4E5"/>
      <rgbColor rgb="009C6500"/>
      <rgbColor rgb="00800080"/>
      <rgbColor rgb="000F6E56"/>
      <rgbColor rgb="00CCC1DA"/>
      <rgbColor rgb="007F7F7F"/>
      <rgbColor rgb="0097B5D9"/>
      <rgbColor rgb="00C0504D"/>
      <rgbColor rgb="00FFFFCC"/>
      <rgbColor rgb="00DBEEF4"/>
      <rgbColor rgb="00FDEADA"/>
      <rgbColor rgb="00D99694"/>
      <rgbColor rgb="001F4E79"/>
      <rgbColor rgb="00D0D5DD"/>
      <rgbColor rgb="00F7F9FC"/>
      <rgbColor rgb="00F2DCDB"/>
      <rgbColor rgb="00FFF2CC"/>
      <rgbColor rgb="00C3D69B"/>
      <rgbColor rgb="00E6E0EC"/>
      <rgbColor rgb="00EBF1DE"/>
      <rgbColor rgb="00DCE6F2"/>
      <rgbColor rgb="00F2F2F2"/>
      <rgbColor rgb="00B7DEE8"/>
      <rgbColor rgb="00E7F2EC"/>
      <rgbColor rgb="00C6EFCE"/>
      <rgbColor rgb="00FFEB9C"/>
      <rgbColor rgb="0093CDDD"/>
      <rgbColor rgb="00E6B9B8"/>
      <rgbColor rgb="00B3A2C7"/>
      <rgbColor rgb="00FFCC99"/>
      <rgbColor rgb="004F81BD"/>
      <rgbColor rgb="004BACC6"/>
      <rgbColor rgb="009BBB59"/>
      <rgbColor rgb="00FAC090"/>
      <rgbColor rgb="00F79646"/>
      <rgbColor rgb="00FB7D00"/>
      <rgbColor rgb="008064A2"/>
      <rgbColor rgb="00A9A9A9"/>
      <rgbColor rgb="001F497D"/>
      <rgbColor rgb="005B7C99"/>
      <rgbColor rgb="00E8F0FE"/>
      <rgbColor rgb="001A1A1A"/>
      <rgbColor rgb="008A4B08"/>
      <rgbColor rgb="00595959"/>
      <rgbColor rgb="003F3F76"/>
      <rgbColor rgb="00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6E56"/>
  </sheetPr>
  <dimension ref="A1:H11"/>
  <sheetViews>
    <sheetView showGridLines="0" tabSelected="1" workbookViewId="0">
      <selection activeCell="G12" sqref="G12"/>
    </sheetView>
  </sheetViews>
  <sheetFormatPr defaultColWidth="9.875" defaultRowHeight="15.2" outlineLevelCol="7"/>
  <cols>
    <col min="1" max="1" width="8.76666666666667" customWidth="1"/>
    <col min="2" max="2" width="24.1333333333333" customWidth="1"/>
    <col min="3" max="3" width="46.0666666666667" customWidth="1"/>
    <col min="4" max="7" width="17.55" customWidth="1"/>
    <col min="8" max="8" width="30.7083333333333" customWidth="1"/>
  </cols>
  <sheetData>
    <row r="1" ht="26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>
      <c r="A2" s="58" t="s">
        <v>1</v>
      </c>
      <c r="B2" s="58"/>
      <c r="C2" s="58"/>
      <c r="D2" s="58"/>
      <c r="E2" s="58"/>
      <c r="F2" s="58"/>
      <c r="G2" s="58"/>
      <c r="H2" s="58"/>
    </row>
    <row r="3" ht="8" customHeight="1"/>
    <row r="4" ht="22" customHeight="1" spans="1:8">
      <c r="A4" s="20" t="s">
        <v>2</v>
      </c>
      <c r="B4" s="3" t="s">
        <v>3</v>
      </c>
      <c r="C4" s="3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3" t="s">
        <v>9</v>
      </c>
    </row>
    <row r="5" ht="24" customHeight="1" spans="1:8">
      <c r="A5" s="23">
        <v>1</v>
      </c>
      <c r="B5" s="51" t="s">
        <v>10</v>
      </c>
      <c r="C5" s="31" t="s">
        <v>11</v>
      </c>
      <c r="D5" s="52">
        <v>0</v>
      </c>
      <c r="E5" s="52">
        <v>0</v>
      </c>
      <c r="F5" s="52">
        <v>0</v>
      </c>
      <c r="G5" s="52">
        <f>SUM(D5:F5)</f>
        <v>0</v>
      </c>
      <c r="H5" s="31" t="s">
        <v>12</v>
      </c>
    </row>
    <row r="6" ht="24" customHeight="1" spans="1:8">
      <c r="A6" s="8">
        <v>2</v>
      </c>
      <c r="B6" s="53" t="s">
        <v>13</v>
      </c>
      <c r="C6" s="7" t="s">
        <v>14</v>
      </c>
      <c r="D6" s="54">
        <f>GCP_各サービス影響要素_Ver3!D11*12</f>
        <v>1790.1</v>
      </c>
      <c r="E6" s="54">
        <f>GCP_各サービス影響要素_Ver3!D12*12</f>
        <v>14320.8</v>
      </c>
      <c r="F6" s="54">
        <f>GCP_各サービス影響要素_Ver3!D13*12</f>
        <v>64443.6</v>
      </c>
      <c r="G6" s="54">
        <f>SUM(D6:F6)</f>
        <v>80554.5</v>
      </c>
      <c r="H6" s="9" t="s">
        <v>15</v>
      </c>
    </row>
    <row r="7" ht="24" customHeight="1" spans="1:8">
      <c r="A7" s="23">
        <v>3</v>
      </c>
      <c r="B7" s="51" t="s">
        <v>16</v>
      </c>
      <c r="C7" s="31" t="s">
        <v>17</v>
      </c>
      <c r="D7" s="52">
        <v>0</v>
      </c>
      <c r="E7" s="52">
        <v>0</v>
      </c>
      <c r="F7" s="52">
        <v>0</v>
      </c>
      <c r="G7" s="52">
        <f>SUM(D7:F7)</f>
        <v>0</v>
      </c>
      <c r="H7" s="31" t="s">
        <v>18</v>
      </c>
    </row>
    <row r="8" ht="24" customHeight="1" spans="1:8">
      <c r="A8" s="8">
        <v>4</v>
      </c>
      <c r="B8" s="53" t="s">
        <v>19</v>
      </c>
      <c r="C8" s="7" t="s">
        <v>20</v>
      </c>
      <c r="D8" s="54">
        <f>GCP_各サービス影響要素_Ver3!D16*12</f>
        <v>2199.375</v>
      </c>
      <c r="E8" s="54">
        <f>GCP_各サービス影響要素_Ver3!D17*12</f>
        <v>6598.125</v>
      </c>
      <c r="F8" s="54">
        <f>GCP_各サービス影響要素_Ver3!D18*12</f>
        <v>52785</v>
      </c>
      <c r="G8" s="54">
        <f>SUM(D8:F8)</f>
        <v>61582.5</v>
      </c>
      <c r="H8" s="9" t="s">
        <v>21</v>
      </c>
    </row>
    <row r="9" ht="24" customHeight="1" spans="1:8">
      <c r="A9" s="23">
        <v>5</v>
      </c>
      <c r="B9" s="55" t="s">
        <v>22</v>
      </c>
      <c r="C9" s="31" t="s">
        <v>23</v>
      </c>
      <c r="D9" s="52">
        <f>GCP_各サービス影響要素_Ver3!D21*12</f>
        <v>7650</v>
      </c>
      <c r="E9" s="52">
        <f>GCP_各サービス影響要素_Ver3!D22*12</f>
        <v>45900</v>
      </c>
      <c r="F9" s="52">
        <f>GCP_各サービス影響要素_Ver3!D23*12</f>
        <v>183600</v>
      </c>
      <c r="G9" s="52">
        <f>SUM(D9:F9)</f>
        <v>237150</v>
      </c>
      <c r="H9" s="31" t="s">
        <v>24</v>
      </c>
    </row>
    <row r="10" ht="22" customHeight="1" spans="1:8">
      <c r="A10" s="16" t="s">
        <v>25</v>
      </c>
      <c r="B10" s="17"/>
      <c r="C10" s="17"/>
      <c r="D10" s="19">
        <f>SUM(D5:D9)</f>
        <v>11639.475</v>
      </c>
      <c r="E10" s="19">
        <f>SUM(E5:E9)</f>
        <v>66818.925</v>
      </c>
      <c r="F10" s="19">
        <f>SUM(F5:F9)</f>
        <v>300828.6</v>
      </c>
      <c r="G10" s="19">
        <f>SUM(G5:G9)</f>
        <v>379287</v>
      </c>
      <c r="H10" s="17"/>
    </row>
    <row r="11" ht="28" customHeight="1" spans="1:8">
      <c r="A11" s="59" t="s">
        <v>26</v>
      </c>
      <c r="B11" s="56"/>
      <c r="C11" s="56"/>
      <c r="D11" s="56"/>
      <c r="E11" s="56"/>
      <c r="F11" s="56"/>
      <c r="G11" s="60">
        <f>G10</f>
        <v>379287</v>
      </c>
      <c r="H11" s="22" t="s">
        <v>27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G22"/>
  <sheetViews>
    <sheetView showGridLines="0" workbookViewId="0">
      <selection activeCell="D37" sqref="D37"/>
    </sheetView>
  </sheetViews>
  <sheetFormatPr defaultColWidth="33.725" defaultRowHeight="15.2" outlineLevelCol="6"/>
  <sheetData>
    <row r="1" ht="21.6" customHeight="1" spans="1:7">
      <c r="A1" s="12" t="s">
        <v>28</v>
      </c>
      <c r="B1" s="12"/>
      <c r="C1" s="12"/>
      <c r="D1" s="12"/>
      <c r="E1" s="12"/>
      <c r="F1" s="12"/>
      <c r="G1" s="12"/>
    </row>
    <row r="2" ht="16.75" customHeight="1" spans="1:7">
      <c r="A2" s="2" t="s">
        <v>29</v>
      </c>
      <c r="B2" s="2"/>
      <c r="C2" s="2"/>
      <c r="D2" s="2"/>
      <c r="E2" s="2"/>
      <c r="F2" s="2"/>
      <c r="G2" s="2"/>
    </row>
    <row r="4" ht="16" spans="1:7">
      <c r="A4" s="3" t="s">
        <v>30</v>
      </c>
      <c r="B4" s="3" t="s">
        <v>31</v>
      </c>
      <c r="C4" s="3" t="s">
        <v>32</v>
      </c>
      <c r="D4" s="3" t="s">
        <v>33</v>
      </c>
    </row>
    <row r="5" ht="17.6" spans="1:7">
      <c r="A5" s="33" t="s">
        <v>34</v>
      </c>
      <c r="B5" s="34" t="s">
        <v>35</v>
      </c>
      <c r="C5" s="35">
        <f>F11</f>
        <v>31607.25</v>
      </c>
      <c r="D5" s="35">
        <f>G11</f>
        <v>379287</v>
      </c>
    </row>
    <row r="6" ht="17.6" spans="1:7">
      <c r="A6" s="36" t="s">
        <v>36</v>
      </c>
      <c r="B6" s="37" t="s">
        <v>37</v>
      </c>
      <c r="C6" s="38">
        <f>F12</f>
        <v>53213.005</v>
      </c>
      <c r="D6" s="38">
        <f>G12</f>
        <v>638556.06</v>
      </c>
    </row>
    <row r="7" ht="17.6" spans="1:7">
      <c r="A7" s="39" t="s">
        <v>38</v>
      </c>
      <c r="B7" s="40" t="s">
        <v>37</v>
      </c>
      <c r="C7" s="41">
        <f>F13</f>
        <v>108607.846875</v>
      </c>
      <c r="D7" s="41">
        <f>G13</f>
        <v>1303294.1625</v>
      </c>
    </row>
    <row r="9" ht="16.75" customHeight="1" spans="1:7">
      <c r="A9" s="42" t="s">
        <v>39</v>
      </c>
      <c r="B9" s="42"/>
      <c r="C9" s="42"/>
      <c r="D9" s="42"/>
      <c r="E9" s="42"/>
      <c r="F9" s="42"/>
      <c r="G9" s="42"/>
    </row>
    <row r="10" ht="16" spans="1:7">
      <c r="A10" s="3" t="s">
        <v>40</v>
      </c>
      <c r="B10" s="3" t="s">
        <v>41</v>
      </c>
      <c r="C10" s="3" t="s">
        <v>42</v>
      </c>
      <c r="D10" s="20" t="s">
        <v>19</v>
      </c>
      <c r="E10" s="3" t="s">
        <v>43</v>
      </c>
      <c r="F10" s="3" t="s">
        <v>44</v>
      </c>
      <c r="G10" s="3" t="s">
        <v>45</v>
      </c>
    </row>
    <row r="11" ht="16" spans="1:7">
      <c r="A11" s="43" t="s">
        <v>46</v>
      </c>
      <c r="B11" s="14">
        <f>GCP_各サービス影響要素_Ver3!D11+GCP_各サービス影響要素_Ver3!D12+GCP_各サービス影響要素_Ver3!D13</f>
        <v>6712.875</v>
      </c>
      <c r="C11" s="11" t="s">
        <v>47</v>
      </c>
      <c r="D11" s="14">
        <f>GCP_各サービス影響要素_Ver3!D16+GCP_各サービス影響要素_Ver3!D17+GCP_各サービス影響要素_Ver3!D18</f>
        <v>5131.875</v>
      </c>
      <c r="E11" s="14">
        <f>GCP_各サービス影響要素_Ver3!D21+GCP_各サービス影響要素_Ver3!D22+GCP_各サービス影響要素_Ver3!D23</f>
        <v>19762.5</v>
      </c>
      <c r="F11" s="44">
        <f>B11+D11+E11</f>
        <v>31607.25</v>
      </c>
      <c r="G11" s="44">
        <f>F11*12</f>
        <v>379287</v>
      </c>
    </row>
    <row r="12" ht="16" spans="1:7">
      <c r="A12" s="45" t="s">
        <v>48</v>
      </c>
      <c r="B12" s="46">
        <f>GCP_各サービス影響要素_Ver3!D27+GCP_各サービス影響要素_Ver3!D28+GCP_各サービス影響要素_Ver3!D29</f>
        <v>4603.63</v>
      </c>
      <c r="C12" s="46">
        <f>GCP_各サービス影響要素_Ver3!D32+GCP_各サービス影響要素_Ver3!D33+GCP_各サービス影響要素_Ver3!D34</f>
        <v>23715</v>
      </c>
      <c r="D12" s="46">
        <f>D11</f>
        <v>5131.875</v>
      </c>
      <c r="E12" s="46">
        <f>E11</f>
        <v>19762.5</v>
      </c>
      <c r="F12" s="47">
        <f>SUM(B12:E12)</f>
        <v>53213.005</v>
      </c>
      <c r="G12" s="47">
        <f>F12*12</f>
        <v>638556.06</v>
      </c>
    </row>
    <row r="13" ht="16" spans="1:7">
      <c r="A13" s="48" t="s">
        <v>49</v>
      </c>
      <c r="B13" s="49">
        <f>GCP_各サービス影響要素_Ver3!D37+GCP_各サービス影響要素_Ver3!D38+GCP_各サービス影響要素_Ver3!D39</f>
        <v>59998.471875</v>
      </c>
      <c r="C13" s="49">
        <f>C12</f>
        <v>23715</v>
      </c>
      <c r="D13" s="49">
        <f>D11</f>
        <v>5131.875</v>
      </c>
      <c r="E13" s="49">
        <f>E11</f>
        <v>19762.5</v>
      </c>
      <c r="F13" s="50">
        <f>SUM(B13:E13)</f>
        <v>108607.846875</v>
      </c>
      <c r="G13" s="50">
        <f>F13*12</f>
        <v>1303294.1625</v>
      </c>
    </row>
    <row r="15" ht="16.75" customHeight="1" spans="1:7">
      <c r="A15" s="42" t="s">
        <v>50</v>
      </c>
      <c r="B15" s="42"/>
      <c r="C15" s="42"/>
      <c r="D15" s="42"/>
      <c r="E15" s="42"/>
      <c r="F15" s="42"/>
      <c r="G15" s="42"/>
    </row>
    <row r="16" ht="16" spans="1:7">
      <c r="A16" s="20" t="s">
        <v>2</v>
      </c>
      <c r="B16" s="3" t="s">
        <v>3</v>
      </c>
      <c r="C16" s="3" t="s">
        <v>4</v>
      </c>
      <c r="D16" s="20" t="s">
        <v>5</v>
      </c>
      <c r="E16" s="20" t="s">
        <v>6</v>
      </c>
      <c r="F16" s="20" t="s">
        <v>7</v>
      </c>
      <c r="G16" s="3" t="s">
        <v>9</v>
      </c>
    </row>
    <row r="17" ht="16" spans="1:7">
      <c r="A17" s="23">
        <v>1</v>
      </c>
      <c r="B17" s="51" t="s">
        <v>10</v>
      </c>
      <c r="C17" s="31" t="s">
        <v>51</v>
      </c>
      <c r="D17" s="52">
        <f>まとめ!D5</f>
        <v>0</v>
      </c>
      <c r="E17" s="52">
        <f>まとめ!E5</f>
        <v>0</v>
      </c>
      <c r="F17" s="52">
        <f>まとめ!F5</f>
        <v>0</v>
      </c>
      <c r="G17" s="31" t="s">
        <v>12</v>
      </c>
    </row>
    <row r="18" ht="16" spans="1:7">
      <c r="A18" s="8">
        <v>2</v>
      </c>
      <c r="B18" s="53" t="s">
        <v>13</v>
      </c>
      <c r="C18" s="7" t="s">
        <v>52</v>
      </c>
      <c r="D18" s="54">
        <f>まとめ!D6</f>
        <v>1790.1</v>
      </c>
      <c r="E18" s="54">
        <f>まとめ!E6</f>
        <v>14320.8</v>
      </c>
      <c r="F18" s="54">
        <f>まとめ!F6</f>
        <v>64443.6</v>
      </c>
      <c r="G18" s="9" t="s">
        <v>15</v>
      </c>
    </row>
    <row r="19" ht="16" spans="1:7">
      <c r="A19" s="23">
        <v>3</v>
      </c>
      <c r="B19" s="51" t="s">
        <v>16</v>
      </c>
      <c r="C19" s="31" t="s">
        <v>53</v>
      </c>
      <c r="D19" s="52">
        <f>まとめ!D7</f>
        <v>0</v>
      </c>
      <c r="E19" s="52">
        <f>まとめ!E7</f>
        <v>0</v>
      </c>
      <c r="F19" s="52">
        <f>まとめ!F7</f>
        <v>0</v>
      </c>
      <c r="G19" s="31" t="s">
        <v>18</v>
      </c>
    </row>
    <row r="20" ht="16" spans="1:7">
      <c r="A20" s="8">
        <v>4</v>
      </c>
      <c r="B20" s="53" t="s">
        <v>19</v>
      </c>
      <c r="C20" s="9" t="s">
        <v>54</v>
      </c>
      <c r="D20" s="54">
        <f>まとめ!D8</f>
        <v>2199.375</v>
      </c>
      <c r="E20" s="54">
        <f>まとめ!E8</f>
        <v>6598.125</v>
      </c>
      <c r="F20" s="54">
        <f>まとめ!F8</f>
        <v>52785</v>
      </c>
      <c r="G20" s="9" t="s">
        <v>21</v>
      </c>
    </row>
    <row r="21" ht="16" spans="1:7">
      <c r="A21" s="23">
        <v>5</v>
      </c>
      <c r="B21" s="55" t="s">
        <v>22</v>
      </c>
      <c r="C21" s="31" t="s">
        <v>55</v>
      </c>
      <c r="D21" s="52">
        <f>まとめ!D9</f>
        <v>7650</v>
      </c>
      <c r="E21" s="52">
        <f>まとめ!E9</f>
        <v>45900</v>
      </c>
      <c r="F21" s="52">
        <f>まとめ!F9</f>
        <v>183600</v>
      </c>
      <c r="G21" s="31" t="s">
        <v>24</v>
      </c>
    </row>
    <row r="22" ht="16" spans="1:7">
      <c r="A22" s="3" t="s">
        <v>26</v>
      </c>
      <c r="B22" s="56"/>
      <c r="C22" s="56"/>
      <c r="D22" s="57">
        <f>SUM(D17:D21)</f>
        <v>11639.475</v>
      </c>
      <c r="E22" s="57">
        <f>SUM(E17:E21)</f>
        <v>66818.925</v>
      </c>
      <c r="F22" s="57">
        <f>SUM(F17:F21)</f>
        <v>300828.6</v>
      </c>
      <c r="G22" s="57">
        <f>D22+E22+F22</f>
        <v>379287</v>
      </c>
    </row>
  </sheetData>
  <mergeCells count="4">
    <mergeCell ref="A1:G1"/>
    <mergeCell ref="A2:G2"/>
    <mergeCell ref="A9:G9"/>
    <mergeCell ref="A15:G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A4B08"/>
  </sheetPr>
  <dimension ref="B1:H41"/>
  <sheetViews>
    <sheetView showGridLines="0" topLeftCell="A21" workbookViewId="0">
      <selection activeCell="G43" sqref="G43"/>
    </sheetView>
  </sheetViews>
  <sheetFormatPr defaultColWidth="9.875" defaultRowHeight="15.2" outlineLevelCol="7"/>
  <cols>
    <col min="1" max="1" width="3.29166666666667" customWidth="1"/>
    <col min="2" max="2" width="8.76666666666667" customWidth="1"/>
    <col min="3" max="3" width="46.0666666666667" customWidth="1"/>
    <col min="4" max="4" width="17.55" customWidth="1"/>
    <col min="5" max="5" width="68" customWidth="1"/>
    <col min="6" max="7" width="15.3583333333333" customWidth="1"/>
    <col min="8" max="8" width="13.1583333333333" customWidth="1"/>
  </cols>
  <sheetData>
    <row r="1" ht="26" customHeight="1" spans="2:8">
      <c r="B1" s="12" t="s">
        <v>56</v>
      </c>
      <c r="C1" s="12"/>
      <c r="D1" s="12"/>
      <c r="E1" s="12"/>
      <c r="F1" s="12"/>
      <c r="G1" s="12"/>
      <c r="H1" s="12"/>
    </row>
    <row r="2" ht="32" customHeight="1" spans="2:8">
      <c r="B2" s="13" t="s">
        <v>57</v>
      </c>
      <c r="C2" s="13"/>
      <c r="D2" s="13"/>
      <c r="E2" s="13"/>
      <c r="F2" s="13"/>
      <c r="G2" s="13"/>
      <c r="H2" s="13"/>
    </row>
    <row r="3" ht="8" customHeight="1"/>
    <row r="4" ht="16" spans="2:8">
      <c r="B4" s="3" t="s">
        <v>58</v>
      </c>
      <c r="C4" s="3" t="s">
        <v>59</v>
      </c>
      <c r="D4" s="3" t="s">
        <v>60</v>
      </c>
      <c r="E4" s="3" t="s">
        <v>32</v>
      </c>
      <c r="F4" s="3" t="s">
        <v>33</v>
      </c>
    </row>
    <row r="5" ht="16" spans="2:8">
      <c r="B5" s="5" t="s">
        <v>61</v>
      </c>
      <c r="C5" s="5" t="s">
        <v>62</v>
      </c>
      <c r="D5" s="14">
        <f>G16</f>
        <v>50</v>
      </c>
      <c r="E5" s="15">
        <f>D11+D16+D21</f>
        <v>969.95625</v>
      </c>
      <c r="F5" s="14">
        <f>E5*12</f>
        <v>11639.475</v>
      </c>
    </row>
    <row r="6" ht="16" spans="2:8">
      <c r="B6" s="5" t="s">
        <v>63</v>
      </c>
      <c r="C6" s="5" t="s">
        <v>62</v>
      </c>
      <c r="D6" s="14">
        <f>G17</f>
        <v>150</v>
      </c>
      <c r="E6" s="15">
        <f>D12+D17+D22</f>
        <v>5568.24375</v>
      </c>
      <c r="F6" s="14">
        <f>E6*12</f>
        <v>66818.925</v>
      </c>
    </row>
    <row r="7" ht="16" spans="2:8">
      <c r="B7" s="5" t="s">
        <v>64</v>
      </c>
      <c r="C7" s="5" t="s">
        <v>65</v>
      </c>
      <c r="D7" s="14">
        <f>G18</f>
        <v>1200</v>
      </c>
      <c r="E7" s="15">
        <f>D13+D18+D23</f>
        <v>25069.05</v>
      </c>
      <c r="F7" s="14">
        <f>E7*12</f>
        <v>300828.6</v>
      </c>
    </row>
    <row r="8" ht="22" customHeight="1" spans="2:8">
      <c r="B8" s="16" t="s">
        <v>26</v>
      </c>
      <c r="C8" s="17" t="s">
        <v>66</v>
      </c>
      <c r="D8" s="17" t="s">
        <v>66</v>
      </c>
      <c r="E8" s="18">
        <f>SUM(E5:E7)</f>
        <v>31607.25</v>
      </c>
      <c r="F8" s="19">
        <f>SUM(F5:F7)</f>
        <v>379287</v>
      </c>
    </row>
    <row r="10" ht="20" customHeight="1" spans="2:8">
      <c r="B10" s="20" t="s">
        <v>67</v>
      </c>
      <c r="C10" s="21" t="s">
        <v>68</v>
      </c>
      <c r="D10" s="3" t="s">
        <v>69</v>
      </c>
      <c r="E10" s="22" t="s">
        <v>70</v>
      </c>
      <c r="F10" s="20" t="s">
        <v>71</v>
      </c>
      <c r="G10" s="20" t="s">
        <v>72</v>
      </c>
      <c r="H10" s="3" t="s">
        <v>73</v>
      </c>
    </row>
    <row r="11" ht="22" customHeight="1" spans="2:8">
      <c r="C11" s="23" t="s">
        <v>61</v>
      </c>
      <c r="D11" s="24">
        <v>149.175</v>
      </c>
      <c r="E11" s="25" t="s">
        <v>74</v>
      </c>
      <c r="F11" s="26">
        <v>4</v>
      </c>
      <c r="G11" s="26">
        <v>16</v>
      </c>
      <c r="H11" s="27">
        <v>2.5</v>
      </c>
    </row>
    <row r="12" ht="22" customHeight="1" spans="2:8">
      <c r="C12" s="8" t="s">
        <v>63</v>
      </c>
      <c r="D12" s="28">
        <v>1193.4</v>
      </c>
      <c r="E12" s="25" t="s">
        <v>74</v>
      </c>
      <c r="F12" s="29">
        <v>4</v>
      </c>
      <c r="G12" s="29">
        <v>16</v>
      </c>
      <c r="H12" s="29">
        <v>20</v>
      </c>
    </row>
    <row r="13" ht="22" customHeight="1" spans="2:8">
      <c r="C13" s="23" t="s">
        <v>64</v>
      </c>
      <c r="D13" s="24">
        <v>5370.3</v>
      </c>
      <c r="E13" s="25" t="s">
        <v>74</v>
      </c>
      <c r="F13" s="26">
        <v>4</v>
      </c>
      <c r="G13" s="26">
        <v>16</v>
      </c>
      <c r="H13" s="26">
        <v>90</v>
      </c>
    </row>
    <row r="15" ht="20" customHeight="1" spans="2:8">
      <c r="B15" s="20" t="s">
        <v>75</v>
      </c>
      <c r="C15" s="21" t="s">
        <v>76</v>
      </c>
      <c r="D15" s="3" t="s">
        <v>69</v>
      </c>
      <c r="E15" s="22" t="s">
        <v>70</v>
      </c>
      <c r="F15" s="3" t="s">
        <v>59</v>
      </c>
      <c r="G15" s="20" t="s">
        <v>77</v>
      </c>
    </row>
    <row r="16" ht="22" customHeight="1" spans="2:8">
      <c r="C16" s="23" t="s">
        <v>61</v>
      </c>
      <c r="D16" s="24">
        <v>183.28125</v>
      </c>
      <c r="E16" s="25" t="s">
        <v>78</v>
      </c>
      <c r="F16" s="23" t="s">
        <v>62</v>
      </c>
      <c r="G16" s="26">
        <v>50</v>
      </c>
    </row>
    <row r="17" ht="22" customHeight="1" spans="2:8">
      <c r="C17" s="8" t="s">
        <v>63</v>
      </c>
      <c r="D17" s="28">
        <v>549.84375</v>
      </c>
      <c r="E17" s="9" t="s">
        <v>78</v>
      </c>
      <c r="F17" s="8" t="s">
        <v>62</v>
      </c>
      <c r="G17" s="29">
        <v>150</v>
      </c>
    </row>
    <row r="18" ht="22" customHeight="1" spans="2:8">
      <c r="C18" s="23" t="s">
        <v>64</v>
      </c>
      <c r="D18" s="24">
        <v>4398.75</v>
      </c>
      <c r="E18" s="25" t="s">
        <v>79</v>
      </c>
      <c r="F18" s="23" t="s">
        <v>65</v>
      </c>
      <c r="G18" s="26">
        <v>1200</v>
      </c>
    </row>
    <row r="20" ht="20" customHeight="1" spans="2:8">
      <c r="B20" s="20" t="s">
        <v>80</v>
      </c>
      <c r="C20" s="21" t="s">
        <v>81</v>
      </c>
      <c r="D20" s="3" t="s">
        <v>69</v>
      </c>
      <c r="E20" s="22" t="s">
        <v>70</v>
      </c>
      <c r="F20" s="20" t="s">
        <v>82</v>
      </c>
    </row>
    <row r="21" ht="22" customHeight="1" spans="2:8">
      <c r="C21" s="23" t="s">
        <v>61</v>
      </c>
      <c r="D21" s="24">
        <v>637.5</v>
      </c>
      <c r="E21" s="25" t="s">
        <v>83</v>
      </c>
      <c r="F21" s="26">
        <v>50</v>
      </c>
    </row>
    <row r="22" ht="22" customHeight="1" spans="2:8">
      <c r="C22" s="8" t="s">
        <v>63</v>
      </c>
      <c r="D22" s="28">
        <v>3825</v>
      </c>
      <c r="E22" s="9" t="s">
        <v>83</v>
      </c>
      <c r="F22" s="29">
        <v>300</v>
      </c>
    </row>
    <row r="23" ht="22" customHeight="1" spans="2:8">
      <c r="C23" s="23" t="s">
        <v>64</v>
      </c>
      <c r="D23" s="24">
        <v>15300</v>
      </c>
      <c r="E23" s="25" t="s">
        <v>83</v>
      </c>
      <c r="F23" s="26">
        <v>1200</v>
      </c>
    </row>
    <row r="25" ht="24" customHeight="1" spans="2:8">
      <c r="B25" s="30" t="s">
        <v>84</v>
      </c>
      <c r="C25" s="30"/>
      <c r="D25" s="30"/>
      <c r="E25" s="30"/>
      <c r="F25" s="30"/>
      <c r="G25" s="30"/>
      <c r="H25" s="30"/>
    </row>
    <row r="26" ht="20" customHeight="1" spans="2:8">
      <c r="B26" s="20" t="s">
        <v>85</v>
      </c>
      <c r="C26" s="21" t="s">
        <v>86</v>
      </c>
      <c r="D26" s="3" t="s">
        <v>69</v>
      </c>
      <c r="E26" s="22" t="s">
        <v>70</v>
      </c>
    </row>
    <row r="27" ht="22" customHeight="1" spans="2:8">
      <c r="C27" s="23" t="s">
        <v>61</v>
      </c>
      <c r="D27" s="24">
        <v>102.32</v>
      </c>
      <c r="E27" s="25" t="s">
        <v>87</v>
      </c>
    </row>
    <row r="28" ht="22" customHeight="1" spans="2:8">
      <c r="C28" s="8" t="s">
        <v>63</v>
      </c>
      <c r="D28" s="28">
        <v>818.42</v>
      </c>
      <c r="E28" s="9" t="s">
        <v>88</v>
      </c>
    </row>
    <row r="29" ht="22" customHeight="1" spans="2:8">
      <c r="C29" s="23" t="s">
        <v>64</v>
      </c>
      <c r="D29" s="24">
        <v>3682.89</v>
      </c>
      <c r="E29" s="25" t="s">
        <v>89</v>
      </c>
    </row>
    <row r="31" ht="20" customHeight="1" spans="2:8">
      <c r="B31" s="20" t="s">
        <v>90</v>
      </c>
      <c r="C31" s="21" t="s">
        <v>91</v>
      </c>
      <c r="D31" s="3" t="s">
        <v>69</v>
      </c>
      <c r="E31" s="22" t="s">
        <v>70</v>
      </c>
    </row>
    <row r="32" ht="22" customHeight="1" spans="2:8">
      <c r="C32" s="23" t="s">
        <v>61</v>
      </c>
      <c r="D32" s="24">
        <v>11857.5</v>
      </c>
      <c r="E32" s="25" t="s">
        <v>92</v>
      </c>
    </row>
    <row r="33" ht="22" customHeight="1" spans="2:8">
      <c r="C33" s="8" t="s">
        <v>63</v>
      </c>
      <c r="D33" s="28">
        <v>11857.5</v>
      </c>
      <c r="E33" s="9" t="s">
        <v>92</v>
      </c>
    </row>
    <row r="34" ht="22" customHeight="1" spans="2:8">
      <c r="C34" s="23" t="s">
        <v>64</v>
      </c>
      <c r="D34" s="24">
        <v>0</v>
      </c>
      <c r="E34" s="25" t="s">
        <v>93</v>
      </c>
    </row>
    <row r="36" ht="20" customHeight="1" spans="2:8">
      <c r="B36" s="20" t="s">
        <v>94</v>
      </c>
      <c r="C36" s="21" t="s">
        <v>95</v>
      </c>
      <c r="D36" s="3" t="s">
        <v>69</v>
      </c>
      <c r="E36" s="22" t="s">
        <v>70</v>
      </c>
      <c r="F36" s="3" t="s">
        <v>96</v>
      </c>
      <c r="G36" s="3" t="s">
        <v>73</v>
      </c>
    </row>
    <row r="37" ht="22" customHeight="1" spans="2:8">
      <c r="C37" s="23" t="s">
        <v>61</v>
      </c>
      <c r="D37" s="24">
        <v>19999.490625</v>
      </c>
      <c r="E37" s="31" t="s">
        <v>97</v>
      </c>
      <c r="F37" s="26">
        <v>1</v>
      </c>
      <c r="G37" s="26">
        <v>730</v>
      </c>
    </row>
    <row r="38" ht="22" customHeight="1" spans="2:8">
      <c r="C38" s="8" t="s">
        <v>63</v>
      </c>
      <c r="D38" s="28">
        <v>19999.490625</v>
      </c>
      <c r="E38" s="9" t="s">
        <v>98</v>
      </c>
      <c r="F38" s="29">
        <v>1</v>
      </c>
      <c r="G38" s="29">
        <v>730</v>
      </c>
    </row>
    <row r="39" ht="22" customHeight="1" spans="2:8">
      <c r="C39" s="23" t="s">
        <v>64</v>
      </c>
      <c r="D39" s="24">
        <v>19999.490625</v>
      </c>
      <c r="E39" s="25" t="s">
        <v>98</v>
      </c>
      <c r="F39" s="26">
        <v>1</v>
      </c>
      <c r="G39" s="26">
        <v>730</v>
      </c>
    </row>
    <row r="41" ht="22" customHeight="1" spans="2:8">
      <c r="B41" s="17" t="s">
        <v>66</v>
      </c>
      <c r="C41" s="32" t="s">
        <v>99</v>
      </c>
      <c r="D41" s="18">
        <f>SUM(D37:D39)</f>
        <v>59998.471875</v>
      </c>
      <c r="E41" s="17"/>
      <c r="F41" s="17"/>
      <c r="G41" s="17"/>
      <c r="H41" s="17"/>
    </row>
  </sheetData>
  <mergeCells count="3">
    <mergeCell ref="B1:H1"/>
    <mergeCell ref="B2:H2"/>
    <mergeCell ref="B25:H2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7C99"/>
  </sheetPr>
  <dimension ref="A1:D10"/>
  <sheetViews>
    <sheetView showGridLines="0" workbookViewId="0">
      <selection activeCell="A1" sqref="A1:D1"/>
    </sheetView>
  </sheetViews>
  <sheetFormatPr defaultColWidth="9.875" defaultRowHeight="15.2" outlineLevelCol="3"/>
  <cols>
    <col min="1" max="1" width="35.0916666666667" customWidth="1"/>
    <col min="2" max="2" width="15.3583333333333" customWidth="1"/>
    <col min="3" max="3" width="17.55" customWidth="1"/>
    <col min="4" max="4" width="68" customWidth="1"/>
  </cols>
  <sheetData>
    <row r="1" ht="26" customHeight="1" spans="1:4">
      <c r="A1" s="1" t="s">
        <v>100</v>
      </c>
      <c r="B1" s="1"/>
      <c r="C1" s="1"/>
      <c r="D1" s="1"/>
    </row>
    <row r="2" ht="22" customHeight="1" spans="1:4">
      <c r="A2" s="2" t="s">
        <v>101</v>
      </c>
      <c r="B2" s="2"/>
      <c r="C2" s="2"/>
      <c r="D2" s="2"/>
    </row>
    <row r="4" ht="22" customHeight="1" spans="1:4">
      <c r="A4" s="3" t="s">
        <v>102</v>
      </c>
      <c r="B4" s="3" t="s">
        <v>58</v>
      </c>
      <c r="C4" s="3" t="s">
        <v>103</v>
      </c>
      <c r="D4" s="3" t="s">
        <v>9</v>
      </c>
    </row>
    <row r="5" ht="24" customHeight="1" spans="1:4">
      <c r="A5" s="4" t="s">
        <v>104</v>
      </c>
      <c r="B5" s="5" t="s">
        <v>64</v>
      </c>
      <c r="C5" s="5">
        <v>30</v>
      </c>
      <c r="D5" s="6" t="s">
        <v>105</v>
      </c>
    </row>
    <row r="6" ht="24" customHeight="1" spans="1:4">
      <c r="A6" s="7" t="s">
        <v>104</v>
      </c>
      <c r="B6" s="8" t="s">
        <v>63</v>
      </c>
      <c r="C6" s="8">
        <v>7</v>
      </c>
      <c r="D6" s="9" t="s">
        <v>106</v>
      </c>
    </row>
    <row r="7" ht="24" customHeight="1" spans="1:4">
      <c r="A7" s="4" t="s">
        <v>104</v>
      </c>
      <c r="B7" s="5" t="s">
        <v>61</v>
      </c>
      <c r="C7" s="5">
        <v>7</v>
      </c>
      <c r="D7" s="6" t="s">
        <v>107</v>
      </c>
    </row>
    <row r="8" ht="24" customHeight="1" spans="1:4">
      <c r="A8" s="7" t="s">
        <v>108</v>
      </c>
      <c r="B8" s="10" t="s">
        <v>109</v>
      </c>
      <c r="C8" s="8">
        <v>0</v>
      </c>
      <c r="D8" s="9" t="s">
        <v>110</v>
      </c>
    </row>
    <row r="9" ht="24" customHeight="1" spans="1:4">
      <c r="A9" s="4" t="s">
        <v>111</v>
      </c>
      <c r="B9" s="11" t="s">
        <v>109</v>
      </c>
      <c r="C9" s="5">
        <v>0</v>
      </c>
      <c r="D9" s="4" t="s">
        <v>112</v>
      </c>
    </row>
    <row r="10" ht="24" customHeight="1" spans="1:4">
      <c r="A10" s="9" t="s">
        <v>113</v>
      </c>
      <c r="B10" s="10" t="s">
        <v>114</v>
      </c>
      <c r="C10" s="10" t="s">
        <v>47</v>
      </c>
      <c r="D10" s="7" t="s">
        <v>115</v>
      </c>
    </row>
  </sheetData>
  <mergeCells count="2">
    <mergeCell ref="A1:D1"/>
    <mergeCell ref="A2:D2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LibreOfficeDev/26.8.0.0.alpha0$MacOSX_X86_64 LibreOffice_project/2c87e51eeaa2b413ff4ae097b2705eea1995d8e5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まとめ</vt:lpstr>
      <vt:lpstr>GKEと比較</vt:lpstr>
      <vt:lpstr>GCP_各サービス影響要素_Ver3</vt:lpstr>
      <vt:lpstr>データ保留期間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treqd</cp:lastModifiedBy>
  <cp:revision>0</cp:revision>
  <dcterms:created xsi:type="dcterms:W3CDTF">2026-09-28T19:59:00Z</dcterms:created>
  <dcterms:modified xsi:type="dcterms:W3CDTF">2026-09-28T12:06:41Z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C72D20903470EC5BE8E6B96AA63F5BE7_42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