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00_表紙・改訂履歴" sheetId="1" state="visible" r:id="rId1"/>
    <sheet xmlns:r="http://schemas.openxmlformats.org/officeDocument/2006/relationships" name="01_IF概要" sheetId="2" state="visible" r:id="rId2"/>
    <sheet xmlns:r="http://schemas.openxmlformats.org/officeDocument/2006/relationships" name="Data Flow" sheetId="3" state="visible" r:id="rId3"/>
    <sheet xmlns:r="http://schemas.openxmlformats.org/officeDocument/2006/relationships" name="02_Layer①設計" sheetId="4" state="visible" r:id="rId4"/>
    <sheet xmlns:r="http://schemas.openxmlformats.org/officeDocument/2006/relationships" name="03_Layer②設計" sheetId="5" state="visible" r:id="rId5"/>
    <sheet xmlns:r="http://schemas.openxmlformats.org/officeDocument/2006/relationships" name="04_Layer③設計" sheetId="6" state="visible" r:id="rId6"/>
    <sheet xmlns:r="http://schemas.openxmlformats.org/officeDocument/2006/relationships" name="05_項目マッピング_L①" sheetId="7" state="visible" r:id="rId7"/>
    <sheet xmlns:r="http://schemas.openxmlformats.org/officeDocument/2006/relationships" name="05_項目マッピング_L②" sheetId="8" state="visible" r:id="rId8"/>
    <sheet xmlns:r="http://schemas.openxmlformats.org/officeDocument/2006/relationships" name="05_項目マッピング_L③" sheetId="9" state="visible" r:id="rId9"/>
    <sheet xmlns:r="http://schemas.openxmlformats.org/officeDocument/2006/relationships" name="07_ファイルレイアウト" sheetId="10" state="visible" r:id="rId10"/>
    <sheet xmlns:r="http://schemas.openxmlformats.org/officeDocument/2006/relationships" name="08_エラー処理" sheetId="11" state="visible" r:id="rId11"/>
    <sheet xmlns:r="http://schemas.openxmlformats.org/officeDocument/2006/relationships" name="09_確認事項・前提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Calibri"/>
      <charset val="1"/>
      <family val="2"/>
      <color theme="1"/>
      <sz val="11"/>
    </font>
    <font>
      <name val="Arial"/>
      <family val="2"/>
      <b val="1"/>
      <color rgb="FF1F4E79"/>
      <sz val="14"/>
    </font>
    <font>
      <name val="Noto Sans CJK SC"/>
      <family val="2"/>
      <b val="1"/>
      <color rgb="FF1F4E79"/>
      <sz val="14"/>
    </font>
    <font>
      <name val="Noto Sans CJK SC"/>
      <family val="2"/>
      <color rgb="FF595959"/>
      <sz val="8"/>
    </font>
    <font>
      <name val="Arial"/>
      <family val="2"/>
      <color rgb="FF595959"/>
      <sz val="8"/>
    </font>
    <font>
      <name val="Noto Sans CJK SC"/>
      <family val="2"/>
      <b val="1"/>
      <color rgb="FF1F4E79"/>
      <sz val="11"/>
    </font>
    <font>
      <name val="Arial"/>
      <family val="2"/>
      <b val="1"/>
      <sz val="9"/>
    </font>
    <font>
      <name val="Noto Sans CJK SC"/>
      <family val="2"/>
      <i val="1"/>
      <color rgb="FF7F7F7F"/>
      <sz val="8"/>
    </font>
    <font>
      <name val="Arial"/>
      <family val="2"/>
      <i val="1"/>
      <color rgb="FF7F7F7F"/>
      <sz val="8"/>
    </font>
    <font>
      <name val="Noto Sans CJK SC"/>
      <family val="2"/>
      <b val="1"/>
      <sz val="9"/>
    </font>
    <font>
      <name val="Arial"/>
      <family val="2"/>
      <sz val="9"/>
    </font>
    <font>
      <name val="Noto Sans CJK SC"/>
      <family val="2"/>
      <b val="1"/>
      <color rgb="FFFFFFFF"/>
      <sz val="9"/>
    </font>
    <font>
      <name val="Arial"/>
      <family val="2"/>
      <b val="1"/>
      <color rgb="FFFFFFFF"/>
      <sz val="9"/>
    </font>
    <font>
      <name val="Noto Sans CJK SC"/>
      <family val="2"/>
      <b val="1"/>
      <color rgb="FFC00000"/>
      <sz val="9"/>
    </font>
    <font>
      <name val="宋体"/>
      <charset val="134"/>
      <family val="3"/>
      <sz val="9"/>
    </font>
    <font>
      <name val="ＭＳ ゴシック"/>
      <charset val="128"/>
      <family val="3"/>
      <sz val="8"/>
    </font>
    <font>
      <name val="Noto Sans CJK SC"/>
      <family val="2"/>
      <sz val="8"/>
    </font>
    <font>
      <name val="Arial"/>
      <family val="2"/>
      <sz val="8"/>
    </font>
    <font>
      <name val="ＭＳ ゴシック"/>
      <charset val="128"/>
      <family val="3"/>
      <sz val="9"/>
    </font>
    <font>
      <name val="ＭＳ ゴシック"/>
      <charset val="128"/>
      <family val="3"/>
      <b val="1"/>
      <color rgb="FFFFFFFF"/>
      <sz val="9"/>
    </font>
    <font>
      <name val="Noto Sans CJK SC"/>
      <family val="2"/>
      <sz val="9"/>
    </font>
    <font>
      <name val="Noto Sans CJK SC"/>
      <charset val="128"/>
      <family val="1"/>
      <sz val="9"/>
    </font>
    <font>
      <name val="ＭＳ Ｐゴシック"/>
      <charset val="128"/>
      <family val="2"/>
      <color theme="1"/>
      <sz val="11"/>
    </font>
    <font>
      <name val="Calibri"/>
      <charset val="128"/>
      <family val="2"/>
      <color theme="1"/>
      <sz val="11"/>
    </font>
    <font>
      <name val="Noto Sans CJK SC"/>
      <sz val="8"/>
    </font>
    <font>
      <name val="ＭＳ Ｐゴシック"/>
      <charset val="128"/>
      <family val="3"/>
      <color theme="1"/>
      <sz val="11"/>
    </font>
    <font>
      <name val="Noto Sans CJK SC"/>
      <charset val="128"/>
      <family val="3"/>
      <sz val="8"/>
    </font>
    <font>
      <name val="Calibri"/>
      <family val="2"/>
      <color theme="1"/>
      <sz val="11"/>
    </font>
    <font>
      <name val="Segoe UI Symbol"/>
      <family val="2"/>
      <color theme="1"/>
      <sz val="11"/>
    </font>
    <font>
      <name val="ＭＳ ゴシック"/>
      <charset val="128"/>
      <family val="3"/>
      <color theme="1"/>
      <sz val="11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3"/>
    </font>
  </fonts>
  <fills count="9">
    <fill>
      <patternFill/>
    </fill>
    <fill>
      <patternFill patternType="gray125"/>
    </fill>
    <fill>
      <patternFill patternType="solid">
        <fgColor rgb="FFDDEBF7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FFFDE7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EDEDED"/>
        <bgColor rgb="FFF2F2F2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2" borderId="1" pivotButton="0" quotePrefix="0" xfId="0"/>
    <xf numFmtId="0" fontId="0" fillId="2" borderId="1" pivotButton="0" quotePrefix="0" xfId="0"/>
    <xf numFmtId="0" fontId="6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11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4" fillId="0" borderId="0" pivotButton="0" quotePrefix="0" xfId="0"/>
    <xf numFmtId="0" fontId="12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7" fillId="0" borderId="1" applyAlignment="1" pivotButton="0" quotePrefix="0" xfId="0">
      <alignment vertical="top" wrapText="1"/>
    </xf>
    <xf numFmtId="14" fontId="17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9" fillId="5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vertical="top" wrapText="1"/>
    </xf>
    <xf numFmtId="0" fontId="22" fillId="0" borderId="0" pivotButton="0" quotePrefix="0" xfId="0"/>
    <xf numFmtId="0" fontId="18" fillId="4" borderId="1" pivotButton="0" quotePrefix="0" xfId="0"/>
    <xf numFmtId="0" fontId="20" fillId="4" borderId="1" pivotButton="0" quotePrefix="0" xfId="0"/>
    <xf numFmtId="0" fontId="10" fillId="0" borderId="1" pivotButton="0" quotePrefix="0" xfId="0"/>
    <xf numFmtId="0" fontId="18" fillId="4" borderId="10" pivotButton="0" quotePrefix="0" xfId="0"/>
    <xf numFmtId="0" fontId="18" fillId="4" borderId="11" pivotButton="0" quotePrefix="0" xfId="0"/>
    <xf numFmtId="0" fontId="18" fillId="4" borderId="12" pivotButton="0" quotePrefix="0" xfId="0"/>
    <xf numFmtId="0" fontId="9" fillId="3" borderId="15" applyAlignment="1" pivotButton="0" quotePrefix="0" xfId="0">
      <alignment vertical="center"/>
    </xf>
    <xf numFmtId="0" fontId="9" fillId="3" borderId="16" applyAlignment="1" pivotButton="0" quotePrefix="0" xfId="0">
      <alignment vertical="center"/>
    </xf>
    <xf numFmtId="0" fontId="7" fillId="4" borderId="13" pivotButton="0" quotePrefix="0" xfId="0"/>
    <xf numFmtId="0" fontId="7" fillId="4" borderId="17" pivotButton="0" quotePrefix="0" xfId="0"/>
    <xf numFmtId="0" fontId="7" fillId="4" borderId="15" pivotButton="0" quotePrefix="0" xfId="0"/>
    <xf numFmtId="0" fontId="7" fillId="4" borderId="0" pivotButton="0" quotePrefix="0" xfId="0"/>
    <xf numFmtId="0" fontId="8" fillId="4" borderId="15" pivotButton="0" quotePrefix="0" xfId="0"/>
    <xf numFmtId="0" fontId="8" fillId="4" borderId="0" pivotButton="0" quotePrefix="0" xfId="0"/>
    <xf numFmtId="0" fontId="9" fillId="3" borderId="13" applyAlignment="1" pivotButton="0" quotePrefix="0" xfId="0">
      <alignment vertical="center"/>
    </xf>
    <xf numFmtId="0" fontId="9" fillId="3" borderId="14" applyAlignment="1" pivotButton="0" quotePrefix="0" xfId="0">
      <alignment vertical="center"/>
    </xf>
    <xf numFmtId="0" fontId="24" fillId="4" borderId="1" pivotButton="0" quotePrefix="0" xfId="0"/>
    <xf numFmtId="0" fontId="16" fillId="4" borderId="1" pivotButton="0" quotePrefix="0" xfId="0"/>
    <xf numFmtId="0" fontId="26" fillId="4" borderId="1" pivotButton="0" quotePrefix="0" xfId="0"/>
    <xf numFmtId="0" fontId="17" fillId="4" borderId="1" applyAlignment="1" pivotButton="0" quotePrefix="0" xfId="0">
      <alignment vertical="top" wrapText="1"/>
    </xf>
    <xf numFmtId="0" fontId="16" fillId="4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26" fillId="4" borderId="1" applyAlignment="1" pivotButton="0" quotePrefix="0" xfId="0">
      <alignment vertical="top" wrapText="1"/>
    </xf>
    <xf numFmtId="0" fontId="23" fillId="0" borderId="0" pivotButton="0" quotePrefix="0" xfId="0"/>
    <xf numFmtId="0" fontId="15" fillId="4" borderId="1" pivotButton="0" quotePrefix="0" xfId="0"/>
    <xf numFmtId="0" fontId="15" fillId="4" borderId="11" pivotButton="0" quotePrefix="0" xfId="0"/>
    <xf numFmtId="0" fontId="15" fillId="4" borderId="12" pivotButton="0" quotePrefix="0" xfId="0"/>
    <xf numFmtId="0" fontId="0" fillId="0" borderId="0" applyAlignment="1" pivotButton="0" quotePrefix="0" xfId="0">
      <alignment wrapText="1"/>
    </xf>
    <xf numFmtId="0" fontId="0" fillId="0" borderId="11" pivotButton="0" quotePrefix="0" xfId="0"/>
    <xf numFmtId="0" fontId="0" fillId="0" borderId="12" pivotButton="0" quotePrefix="0" xfId="0"/>
    <xf numFmtId="0" fontId="9" fillId="3" borderId="19" applyAlignment="1" pivotButton="0" quotePrefix="0" xfId="0">
      <alignment vertical="center"/>
    </xf>
    <xf numFmtId="0" fontId="0" fillId="0" borderId="14" pivotButton="0" quotePrefix="0" xfId="0"/>
    <xf numFmtId="0" fontId="0" fillId="0" borderId="17" pivotButton="0" quotePrefix="0" xfId="0"/>
    <xf numFmtId="0" fontId="9" fillId="3" borderId="18" applyAlignment="1" pivotButton="0" quotePrefix="0" xfId="0">
      <alignment vertical="center"/>
    </xf>
    <xf numFmtId="0" fontId="0" fillId="0" borderId="16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7" borderId="20" pivotButton="0" quotePrefix="0" xfId="0"/>
    <xf numFmtId="0" fontId="0" fillId="0" borderId="20" applyAlignment="1" pivotButton="0" quotePrefix="0" xfId="0">
      <alignment vertical="top" wrapText="1"/>
    </xf>
    <xf numFmtId="0" fontId="33" fillId="0" borderId="0" pivotButton="0" quotePrefix="0" xfId="0"/>
    <xf numFmtId="0" fontId="0" fillId="8" borderId="0" pivotButton="0" quotePrefix="0" xfId="0"/>
    <xf numFmtId="0" fontId="32" fillId="7" borderId="20" applyAlignment="1" pivotButton="0" quotePrefix="0" xfId="0">
      <alignment vertical="center" wrapText="1"/>
    </xf>
    <xf numFmtId="0" fontId="0" fillId="0" borderId="2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DE7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zoomScaleNormal="100" workbookViewId="0">
      <selection activeCell="H18" sqref="H18"/>
    </sheetView>
  </sheetViews>
  <sheetFormatPr baseColWidth="8" defaultColWidth="8.6640625" defaultRowHeight="14.4"/>
  <cols>
    <col width="2" customWidth="1" min="1" max="1"/>
    <col width="18" customWidth="1" min="2" max="2"/>
    <col width="22" customWidth="1" min="3" max="3"/>
    <col width="16" customWidth="1" min="4" max="5"/>
    <col width="22" customWidth="1" min="6" max="6"/>
    <col width="14" customWidth="1" min="7" max="8"/>
  </cols>
  <sheetData>
    <row r="1" ht="17.4" customHeight="1">
      <c r="B1" s="1" t="inlineStr">
        <is>
          <t>IF詳細設計書</t>
        </is>
      </c>
    </row>
    <row r="4" ht="21.75" customHeight="1">
      <c r="B4" s="3" t="inlineStr">
        <is>
          <t>■ 基本情報</t>
        </is>
      </c>
      <c r="C4" s="4" t="n"/>
      <c r="D4" s="4" t="n"/>
      <c r="E4" s="4" t="n"/>
      <c r="F4" s="4" t="n"/>
    </row>
    <row r="5" ht="19.5" customHeight="1">
      <c r="B5" s="5" t="inlineStr">
        <is>
          <t>IF名称</t>
        </is>
      </c>
      <c r="C5" s="30" t="inlineStr">
        <is>
          <t>国内流通向け商品マスタ連携(基本)</t>
        </is>
      </c>
      <c r="D5" s="58" t="n"/>
      <c r="E5" s="58" t="n"/>
      <c r="F5" s="59" t="n"/>
    </row>
    <row r="6" ht="19.5" customHeight="1">
      <c r="B6" s="6" t="inlineStr">
        <is>
          <t>対象課題</t>
        </is>
      </c>
      <c r="C6" s="30" t="inlineStr">
        <is>
          <t>BO系</t>
        </is>
      </c>
      <c r="D6" s="58" t="n"/>
      <c r="E6" s="58" t="n"/>
      <c r="F6" s="59" t="n"/>
    </row>
    <row r="7" ht="19.5" customHeight="1">
      <c r="B7" s="6" t="inlineStr">
        <is>
          <t>連携方向</t>
        </is>
      </c>
      <c r="C7" s="30" t="inlineStr">
        <is>
          <t xml:space="preserve">TRIAL → SEIYU </t>
        </is>
      </c>
      <c r="D7" s="58" t="n"/>
      <c r="E7" s="58" t="n"/>
      <c r="F7" s="59" t="n"/>
    </row>
    <row r="8" ht="19.5" customHeight="1">
      <c r="B8" s="6" t="inlineStr">
        <is>
          <t>対象レイヤー</t>
        </is>
      </c>
      <c r="C8" s="30" t="inlineStr">
        <is>
          <t>Layer① / Layer② / Layer③</t>
        </is>
      </c>
      <c r="D8" s="58" t="n"/>
      <c r="E8" s="58" t="n"/>
      <c r="F8" s="59" t="n"/>
    </row>
    <row r="9" ht="19.5" customHeight="1">
      <c r="B9" s="6" t="inlineStr">
        <is>
          <t>担当者</t>
        </is>
      </c>
      <c r="C9" s="30" t="n"/>
      <c r="D9" s="58" t="n"/>
      <c r="E9" s="58" t="n"/>
      <c r="F9" s="59" t="n"/>
    </row>
    <row r="10" ht="19.5" customHeight="1">
      <c r="B10" s="6" t="inlineStr">
        <is>
          <t>レビュー者</t>
        </is>
      </c>
      <c r="C10" s="32" t="n"/>
      <c r="D10" s="58" t="n"/>
      <c r="E10" s="58" t="n"/>
      <c r="F10" s="59" t="n"/>
    </row>
    <row r="11" ht="19.5" customHeight="1">
      <c r="B11" s="6" t="inlineStr">
        <is>
          <t>承認者</t>
        </is>
      </c>
      <c r="C11" s="32" t="n"/>
      <c r="D11" s="58" t="n"/>
      <c r="E11" s="58" t="n"/>
      <c r="F11" s="59" t="n"/>
    </row>
    <row r="12" ht="19.5" customHeight="1"/>
    <row r="13">
      <c r="B13" s="3" t="inlineStr">
        <is>
          <t>■ 改訂履歴</t>
        </is>
      </c>
      <c r="C13" s="4" t="n"/>
      <c r="D13" s="4" t="n"/>
      <c r="E13" s="4" t="n"/>
      <c r="F13" s="4" t="n"/>
      <c r="G13" s="4" t="n"/>
    </row>
    <row r="14" ht="21.75" customHeight="1">
      <c r="B14" s="7" t="inlineStr">
        <is>
          <t>版数</t>
        </is>
      </c>
      <c r="C14" s="7" t="inlineStr">
        <is>
          <t>改訂日</t>
        </is>
      </c>
      <c r="D14" s="7" t="inlineStr">
        <is>
          <t>改訂者</t>
        </is>
      </c>
      <c r="E14" s="7" t="inlineStr">
        <is>
          <t>改訂内容</t>
        </is>
      </c>
      <c r="F14" s="7" t="inlineStr">
        <is>
          <t>承認者</t>
        </is>
      </c>
      <c r="G14" s="7" t="inlineStr">
        <is>
          <t>承認日</t>
        </is>
      </c>
    </row>
    <row r="15" ht="30" customHeight="1">
      <c r="B15" s="23" t="inlineStr">
        <is>
          <t>1.0</t>
        </is>
      </c>
      <c r="C15" s="24" t="n">
        <v>46280</v>
      </c>
      <c r="D15" s="25" t="inlineStr">
        <is>
          <t>朴龍旭</t>
        </is>
      </c>
      <c r="E15" s="26" t="inlineStr">
        <is>
          <t>初版作成</t>
        </is>
      </c>
      <c r="F15" s="26" t="n"/>
      <c r="G15" s="23" t="n"/>
    </row>
    <row r="16" ht="21.6" customHeight="1">
      <c r="B16" s="10" t="n"/>
      <c r="C16" s="10" t="n"/>
      <c r="D16" s="10" t="n"/>
      <c r="E16" s="10" t="n"/>
      <c r="F16" s="10" t="n"/>
      <c r="G16" s="10" t="n"/>
    </row>
    <row r="17" ht="21.75" customHeight="1">
      <c r="B17" s="10" t="n"/>
      <c r="C17" s="10" t="n"/>
      <c r="D17" s="10" t="n"/>
      <c r="E17" s="10" t="n"/>
      <c r="F17" s="10" t="n"/>
      <c r="G17" s="10" t="n"/>
    </row>
    <row r="18" ht="21.75" customHeight="1">
      <c r="B18" s="10" t="n"/>
      <c r="C18" s="10" t="n"/>
      <c r="D18" s="10" t="n"/>
      <c r="E18" s="10" t="n"/>
      <c r="F18" s="10" t="n"/>
      <c r="G18" s="10" t="n"/>
    </row>
    <row r="19" ht="21.75" customHeight="1">
      <c r="B19" s="10" t="n"/>
      <c r="C19" s="10" t="n"/>
      <c r="D19" s="10" t="n"/>
      <c r="E19" s="10" t="n"/>
      <c r="F19" s="10" t="n"/>
      <c r="G19" s="10" t="n"/>
    </row>
    <row r="20" ht="21.75" customHeight="1">
      <c r="B20" s="10" t="n"/>
      <c r="C20" s="10" t="n"/>
      <c r="D20" s="10" t="n"/>
      <c r="E20" s="10" t="n"/>
      <c r="F20" s="10" t="n"/>
      <c r="G20" s="10" t="n"/>
    </row>
    <row r="21" ht="21.75" customHeight="1">
      <c r="B21" s="10" t="n"/>
      <c r="C21" s="10" t="n"/>
      <c r="D21" s="10" t="n"/>
      <c r="E21" s="10" t="n"/>
      <c r="F21" s="10" t="n"/>
      <c r="G21" s="10" t="n"/>
    </row>
    <row r="22" ht="21.75" customHeight="1">
      <c r="B22" s="10" t="n"/>
      <c r="C22" s="10" t="n"/>
      <c r="D22" s="10" t="n"/>
      <c r="E22" s="10" t="n"/>
      <c r="F22" s="10" t="n"/>
      <c r="G22" s="10" t="n"/>
    </row>
    <row r="23" ht="21.75" customHeight="1">
      <c r="B23" s="10" t="n"/>
      <c r="C23" s="10" t="n"/>
      <c r="D23" s="10" t="n"/>
      <c r="E23" s="10" t="n"/>
      <c r="F23" s="10" t="n"/>
      <c r="G23" s="10" t="n"/>
    </row>
    <row r="24" ht="21.75" customHeight="1">
      <c r="B24" s="10" t="n"/>
      <c r="C24" s="10" t="n"/>
      <c r="D24" s="10" t="n"/>
      <c r="E24" s="10" t="n"/>
      <c r="F24" s="10" t="n"/>
      <c r="G24" s="10" t="n"/>
    </row>
    <row r="25" ht="21.75" customHeight="1">
      <c r="B25" s="10" t="n"/>
      <c r="C25" s="10" t="n"/>
      <c r="D25" s="10" t="n"/>
      <c r="E25" s="10" t="n"/>
      <c r="F25" s="10" t="n"/>
      <c r="G25" s="10" t="n"/>
    </row>
    <row r="26" ht="21.75" customHeight="1"/>
    <row r="27">
      <c r="B27" s="2" t="inlineStr">
        <is>
          <t>※ 版数は 初版1.0、レビュー反映ごとに 1.1、1.2 と採番します。仕様変更による改訂は 2.0 として、変更管理表（D-5）に記録してください。</t>
        </is>
      </c>
    </row>
    <row r="28">
      <c r="B28" s="2" t="inlineStr">
        <is>
          <t>※ 未確定事項は空欄にせず、「09_確認事項・前提」シートに起票のうえ、該当箇所に「TBD-01」等の識別子を記載してください。</t>
        </is>
      </c>
    </row>
  </sheetData>
  <mergeCells count="8">
    <mergeCell ref="C9:F9"/>
    <mergeCell ref="C8:F8"/>
    <mergeCell ref="C12:F12"/>
    <mergeCell ref="C6:F6"/>
    <mergeCell ref="C7:F7"/>
    <mergeCell ref="C11:F11"/>
    <mergeCell ref="C10:F10"/>
    <mergeCell ref="C5:F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B1:F25"/>
  <sheetViews>
    <sheetView showGridLines="0" tabSelected="1" zoomScaleNormal="100" workbookViewId="0">
      <selection activeCell="C22" sqref="C22"/>
    </sheetView>
  </sheetViews>
  <sheetFormatPr baseColWidth="8" defaultColWidth="8.6640625" defaultRowHeight="14.4"/>
  <cols>
    <col width="2" customWidth="1" min="1" max="1"/>
    <col width="20" customWidth="1" min="2" max="2"/>
    <col width="26" customWidth="1" min="3" max="3"/>
    <col width="20" customWidth="1" min="4" max="4"/>
    <col width="26" customWidth="1" min="5" max="5"/>
    <col width="20" customWidth="1" min="6" max="6"/>
    <col width="18" customWidth="1" min="7" max="7"/>
  </cols>
  <sheetData>
    <row r="1" ht="17.4" customHeight="1">
      <c r="B1" s="1" t="inlineStr">
        <is>
          <t>1. IF概要</t>
        </is>
      </c>
    </row>
    <row r="4" ht="21.75" customHeight="1">
      <c r="B4" s="3" t="inlineStr">
        <is>
          <t>■ 連携条件</t>
        </is>
      </c>
      <c r="C4" s="4" t="n"/>
      <c r="D4" s="4" t="n"/>
      <c r="E4" s="4" t="n"/>
    </row>
    <row r="5" ht="19.5" customHeight="1">
      <c r="B5" s="6" t="inlineStr">
        <is>
          <t>送信元システム</t>
        </is>
      </c>
      <c r="C5" s="30" t="inlineStr">
        <is>
          <t>TRIAL MD基幹</t>
        </is>
      </c>
      <c r="D5" s="58" t="n"/>
      <c r="E5" s="59" t="n"/>
    </row>
    <row r="6" ht="19.5" customHeight="1">
      <c r="B6" s="6" t="inlineStr">
        <is>
          <t>受信先システム</t>
        </is>
      </c>
      <c r="C6" s="30" t="inlineStr">
        <is>
          <t>国内流通システム</t>
        </is>
      </c>
      <c r="D6" s="58" t="n"/>
      <c r="E6" s="59" t="n"/>
    </row>
    <row r="7" ht="19.5" customHeight="1">
      <c r="B7" s="6" t="inlineStr">
        <is>
          <t>連携方式</t>
        </is>
      </c>
      <c r="C7" s="30" t="inlineStr">
        <is>
          <t>ファイル連携 ／ DB直接</t>
        </is>
      </c>
      <c r="D7" s="58" t="n"/>
      <c r="E7" s="59" t="n"/>
    </row>
    <row r="8" ht="19.5" customHeight="1">
      <c r="B8" s="6" t="inlineStr">
        <is>
          <t>連携頻度</t>
        </is>
      </c>
      <c r="C8" s="30" t="inlineStr">
        <is>
          <t>日次</t>
        </is>
      </c>
      <c r="D8" s="58" t="n"/>
      <c r="E8" s="59" t="n"/>
    </row>
    <row r="9" ht="19.5" customHeight="1">
      <c r="B9" s="6" t="inlineStr">
        <is>
          <t>連携タイミング</t>
        </is>
      </c>
      <c r="C9" s="30" t="inlineStr">
        <is>
          <t>日次 03:00</t>
        </is>
      </c>
      <c r="D9" s="58" t="n"/>
      <c r="E9" s="59" t="n"/>
    </row>
    <row r="10" ht="19.5" customHeight="1">
      <c r="B10" s="6" t="inlineStr">
        <is>
          <t>処理窓</t>
        </is>
      </c>
      <c r="C10" s="30" t="inlineStr">
        <is>
          <t>03:00〜04:00</t>
        </is>
      </c>
      <c r="D10" s="58" t="n"/>
      <c r="E10" s="59" t="n"/>
    </row>
    <row r="11" ht="19.5" customHeight="1">
      <c r="B11" s="6" t="inlineStr">
        <is>
          <t>想定件数</t>
        </is>
      </c>
      <c r="C11" s="30" t="inlineStr">
        <is>
          <t>例：約120万件／日</t>
        </is>
      </c>
      <c r="D11" s="58" t="n"/>
      <c r="E11" s="59" t="n"/>
    </row>
    <row r="12" ht="19.5" customHeight="1">
      <c r="B12" s="6" t="inlineStr">
        <is>
          <t>想定データ量</t>
        </is>
      </c>
      <c r="C12" s="30" t="inlineStr">
        <is>
          <t>例：約350MB／日</t>
        </is>
      </c>
      <c r="D12" s="58" t="n"/>
      <c r="E12" s="59" t="n"/>
    </row>
    <row r="13" ht="19.5" customHeight="1">
      <c r="B13" s="6" t="inlineStr">
        <is>
          <t>リラン可否</t>
        </is>
      </c>
      <c r="C13" s="30" t="inlineStr">
        <is>
          <t>可（全件洗い替え） ／ 可（部分） ／ 不可</t>
        </is>
      </c>
      <c r="D13" s="58" t="n"/>
      <c r="E13" s="59" t="n"/>
    </row>
    <row r="15" ht="21.75" customHeight="1">
      <c r="B15" s="3" t="inlineStr">
        <is>
          <t>■ レイヤー別スコープ</t>
        </is>
      </c>
      <c r="C15" s="4" t="n"/>
      <c r="D15" s="4" t="n"/>
      <c r="E15" s="4" t="n"/>
      <c r="F15" s="4" t="n"/>
    </row>
    <row r="16" ht="30" customHeight="1">
      <c r="B16" s="7" t="inlineStr">
        <is>
          <t>レイヤー</t>
        </is>
      </c>
      <c r="C16" s="7" t="inlineStr">
        <is>
          <t>範囲</t>
        </is>
      </c>
      <c r="D16" s="27" t="inlineStr">
        <is>
          <t>変換有無</t>
        </is>
      </c>
      <c r="E16" s="7" t="inlineStr">
        <is>
          <t>処理概要</t>
        </is>
      </c>
      <c r="F16" s="7" t="inlineStr">
        <is>
          <t>使用技術</t>
        </is>
      </c>
    </row>
    <row r="17" ht="31.5" customHeight="1">
      <c r="B17" s="28" t="inlineStr">
        <is>
          <t>Layer①</t>
        </is>
      </c>
      <c r="C17" s="28" t="inlineStr">
        <is>
          <t>TRIAL → GCS</t>
        </is>
      </c>
      <c r="D17" s="28" t="inlineStr">
        <is>
          <t>有</t>
        </is>
      </c>
      <c r="E17" s="28" t="inlineStr">
        <is>
          <t>MD基幹から基本商品マスタを抽出しCSVをGCSへ配置</t>
        </is>
      </c>
      <c r="F17" s="28" t="inlineStr">
        <is>
          <t>外部IFプログラム</t>
        </is>
      </c>
    </row>
    <row r="18" ht="31.5" customHeight="1">
      <c r="B18" s="28" t="inlineStr">
        <is>
          <t>Layer②</t>
        </is>
      </c>
      <c r="C18" s="28" t="inlineStr">
        <is>
          <t>GCS → DWH</t>
        </is>
      </c>
      <c r="D18" s="28" t="inlineStr">
        <is>
          <t>有</t>
        </is>
      </c>
      <c r="E18" s="28" t="inlineStr">
        <is>
          <t>GCS上のCSVをそのままIntakeテーブルへ格納</t>
        </is>
      </c>
      <c r="F18" s="28" t="inlineStr">
        <is>
          <t>DataSpider</t>
        </is>
      </c>
    </row>
    <row r="19" ht="31.5" customHeight="1">
      <c r="B19" s="28" t="inlineStr">
        <is>
          <t>Layer③</t>
        </is>
      </c>
      <c r="C19" s="28" t="inlineStr">
        <is>
          <t>DWH → 業務システム</t>
        </is>
      </c>
      <c r="D19" s="28" t="inlineStr">
        <is>
          <t>有</t>
        </is>
      </c>
      <c r="E19" s="28" t="inlineStr">
        <is>
          <t>Intakeから変換のうえ国内流通システムのテーブルへ格納</t>
        </is>
      </c>
      <c r="F19" s="28" t="inlineStr">
        <is>
          <t>DataSpider</t>
        </is>
      </c>
    </row>
    <row r="20" ht="21.75" customHeight="1">
      <c r="B20" s="10" t="n"/>
      <c r="C20" s="10" t="n"/>
      <c r="D20" s="10" t="n"/>
      <c r="E20" s="10" t="n"/>
      <c r="F20" s="10" t="n"/>
    </row>
    <row r="21" ht="21.75" customHeight="1">
      <c r="B21" s="10" t="n"/>
      <c r="C21" s="10" t="n"/>
      <c r="D21" s="10" t="n"/>
      <c r="E21" s="10" t="n"/>
      <c r="F21" s="10" t="n"/>
    </row>
    <row r="22" ht="21.75" customHeight="1">
      <c r="B22" s="10" t="n"/>
      <c r="C22" s="10" t="n"/>
      <c r="D22" s="10" t="n"/>
      <c r="E22" s="10" t="n"/>
      <c r="F22" s="10" t="n"/>
    </row>
    <row r="25">
      <c r="B25" s="11" t="n"/>
    </row>
  </sheetData>
  <mergeCells count="9">
    <mergeCell ref="C11:E11"/>
    <mergeCell ref="C13:E13"/>
    <mergeCell ref="C5:E5"/>
    <mergeCell ref="C8:E8"/>
    <mergeCell ref="C9:E9"/>
    <mergeCell ref="C7:E7"/>
    <mergeCell ref="C12:E12"/>
    <mergeCell ref="C6:E6"/>
    <mergeCell ref="C10:E10"/>
  </mergeCells>
  <dataValidations disablePrompts="1" count="3">
    <dataValidation sqref="D20:D23" showDropDown="0" showInputMessage="0" showErrorMessage="0" allowBlank="1" type="list">
      <formula1>"有,無"</formula1>
      <formula2>0</formula2>
    </dataValidation>
    <dataValidation sqref="C24" showDropDown="0" showInputMessage="0" showErrorMessage="0" allowBlank="1" type="list">
      <formula1>"前提,制約,依存IF"</formula1>
      <formula2>0</formula2>
    </dataValidation>
    <dataValidation sqref="G24" showDropDown="0" showInputMessage="0" showErrorMessage="0" allowBlank="1" type="list">
      <formula1>"未着手,確認中,完了,保留"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C28" sqref="C28"/>
    </sheetView>
  </sheetViews>
  <sheetFormatPr baseColWidth="8" defaultColWidth="11.5546875" defaultRowHeight="14.4"/>
  <cols>
    <col width="4" customWidth="1" min="1" max="1"/>
    <col width="22" customWidth="1" min="2" max="2"/>
    <col width="1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65" t="inlineStr">
        <is>
          <t>Data Flow</t>
        </is>
      </c>
    </row>
    <row r="2" ht="40" customHeight="1">
      <c r="A2" s="57" t="inlineStr">
        <is>
          <t>図（箱＋矢印）の下に、必ずノード定義表を書く。各箱: Server名／IPまたは接続先／テーブル名／ファイル名。未確定は TBD-DF-xx（09 と同一）。マネージドサービスでIPが無い場合は「—」＋接続経路。</t>
        </is>
      </c>
    </row>
    <row r="4" ht="15" customHeight="1" thickBot="1">
      <c r="A4" s="66" t="inlineStr">
        <is>
          <t>■ Data Flow ノード定義（記入テンプレ）</t>
        </is>
      </c>
    </row>
    <row r="5">
      <c r="A5" s="67" t="inlineStr">
        <is>
          <t>順</t>
        </is>
      </c>
      <c r="B5" s="67" t="inlineStr">
        <is>
          <t>ノード（図の箱）</t>
        </is>
      </c>
      <c r="C5" s="67" t="inlineStr">
        <is>
          <t>役割</t>
        </is>
      </c>
      <c r="D5" s="67" t="inlineStr">
        <is>
          <t>Server名／サービス</t>
        </is>
      </c>
      <c r="E5" s="67" t="inlineStr">
        <is>
          <t>IP／接続先</t>
        </is>
      </c>
      <c r="F5" s="67" t="inlineStr">
        <is>
          <t>テーブル名／オブジェクト</t>
        </is>
      </c>
      <c r="G5" s="67" t="inlineStr">
        <is>
          <t>ファイル名</t>
        </is>
      </c>
      <c r="H5" s="67" t="inlineStr">
        <is>
          <t>備考・確定状態</t>
        </is>
      </c>
      <c r="I5" s="16" t="n"/>
      <c r="J5" s="16" t="n"/>
      <c r="K5" s="16" t="n"/>
      <c r="L5" s="16" t="n"/>
      <c r="M5" s="16" t="n"/>
      <c r="N5" s="16" t="n"/>
      <c r="O5" s="16" t="n"/>
      <c r="P5" s="17" t="n"/>
    </row>
    <row r="6">
      <c r="A6" t="n">
        <v>1</v>
      </c>
      <c r="B6" s="68" t="inlineStr">
        <is>
          <t>（例）送信元システム</t>
        </is>
      </c>
      <c r="C6" s="68" t="inlineStr">
        <is>
          <t>抽出元</t>
        </is>
      </c>
      <c r="D6" s="68" t="inlineStr">
        <is>
          <t>Server名</t>
        </is>
      </c>
      <c r="E6" s="68" t="inlineStr">
        <is>
          <t>IP または TBD-DF-xx</t>
        </is>
      </c>
      <c r="F6" s="68" t="inlineStr">
        <is>
          <t>テーブル名（無ければ —）</t>
        </is>
      </c>
      <c r="G6" s="68" t="inlineStr">
        <is>
          <t>ファイル名</t>
        </is>
      </c>
      <c r="H6" s="68" t="inlineStr"/>
      <c r="P6" s="19" t="n"/>
    </row>
    <row r="7">
      <c r="A7" t="n">
        <v>2</v>
      </c>
      <c r="B7" s="68" t="inlineStr"/>
      <c r="C7" s="68" t="inlineStr"/>
      <c r="D7" s="68" t="inlineStr"/>
      <c r="E7" s="68" t="inlineStr"/>
      <c r="F7" s="68" t="inlineStr"/>
      <c r="G7" s="68" t="inlineStr"/>
      <c r="H7" s="68" t="inlineStr"/>
      <c r="P7" s="19" t="n"/>
    </row>
    <row r="8">
      <c r="A8" t="n">
        <v>3</v>
      </c>
      <c r="B8" s="68" t="inlineStr"/>
      <c r="C8" s="68" t="inlineStr"/>
      <c r="D8" s="68" t="inlineStr"/>
      <c r="E8" s="68" t="inlineStr"/>
      <c r="F8" s="68" t="inlineStr"/>
      <c r="G8" s="68" t="inlineStr"/>
      <c r="H8" s="68" t="inlineStr"/>
      <c r="P8" s="19" t="n"/>
    </row>
    <row r="9">
      <c r="A9" t="n">
        <v>4</v>
      </c>
      <c r="B9" s="68" t="inlineStr"/>
      <c r="C9" s="68" t="inlineStr"/>
      <c r="D9" s="68" t="inlineStr"/>
      <c r="E9" s="68" t="inlineStr"/>
      <c r="F9" s="68" t="inlineStr"/>
      <c r="G9" s="68" t="inlineStr"/>
      <c r="H9" s="68" t="inlineStr"/>
      <c r="P9" s="19" t="n"/>
    </row>
    <row r="10">
      <c r="D10" s="18" t="n"/>
      <c r="P10" s="19" t="n"/>
    </row>
    <row r="11">
      <c r="A11" s="66" t="inlineStr">
        <is>
          <t>■ データの流れ（矢印・文章）</t>
        </is>
      </c>
      <c r="D11" s="18" t="n"/>
      <c r="P11" s="19" t="n"/>
    </row>
    <row r="12">
      <c r="A12" t="inlineStr">
        <is>
          <t>① → ② → ③ … （ノード順に書く）</t>
        </is>
      </c>
      <c r="P12" s="19" t="n"/>
    </row>
    <row r="13">
      <c r="D13" s="18" t="n"/>
      <c r="P13" s="19" t="n"/>
    </row>
    <row r="14">
      <c r="D14" s="18" t="n"/>
      <c r="P14" s="19" t="n"/>
    </row>
    <row r="15">
      <c r="D15" s="18" t="n"/>
      <c r="P15" s="19" t="n"/>
    </row>
    <row r="16">
      <c r="D16" s="18" t="n"/>
      <c r="P16" s="19" t="n"/>
    </row>
    <row r="17">
      <c r="D17" s="18" t="n"/>
      <c r="P17" s="19" t="n"/>
    </row>
    <row r="18">
      <c r="D18" s="18" t="n"/>
      <c r="P18" s="19" t="n"/>
    </row>
    <row r="19">
      <c r="D19" s="18" t="n"/>
      <c r="P19" s="19" t="n"/>
    </row>
    <row r="20">
      <c r="D20" s="18" t="n"/>
      <c r="P20" s="19" t="n"/>
    </row>
    <row r="21">
      <c r="D21" s="18" t="n"/>
      <c r="P21" s="19" t="n"/>
    </row>
    <row r="22">
      <c r="D22" s="18" t="n"/>
      <c r="P22" s="19" t="n"/>
    </row>
    <row r="23">
      <c r="D23" s="18" t="n"/>
      <c r="P23" s="19" t="n"/>
    </row>
    <row r="24">
      <c r="D24" s="18" t="n"/>
      <c r="P24" s="19" t="n"/>
    </row>
    <row r="25">
      <c r="D25" s="18" t="n"/>
      <c r="P25" s="19" t="n"/>
    </row>
    <row r="26">
      <c r="D26" s="18" t="n"/>
      <c r="P26" s="19" t="n"/>
    </row>
    <row r="27">
      <c r="D27" s="18" t="n"/>
      <c r="P27" s="19" t="n"/>
    </row>
    <row r="28">
      <c r="D28" s="18" t="n"/>
      <c r="P28" s="19" t="n"/>
    </row>
    <row r="29">
      <c r="D29" s="18" t="n"/>
      <c r="P29" s="19" t="n"/>
    </row>
    <row r="30">
      <c r="D30" s="18" t="n"/>
      <c r="P30" s="19" t="n"/>
    </row>
    <row r="31">
      <c r="D31" s="18" t="n"/>
      <c r="P31" s="19" t="n"/>
    </row>
    <row r="32">
      <c r="D32" s="18" t="n"/>
      <c r="P32" s="19" t="n"/>
    </row>
    <row r="33">
      <c r="D33" s="18" t="n"/>
      <c r="P33" s="19" t="n"/>
    </row>
    <row r="34">
      <c r="D34" s="18" t="n"/>
      <c r="P34" s="19" t="n"/>
    </row>
    <row r="35">
      <c r="D35" s="18" t="n"/>
      <c r="P35" s="19" t="n"/>
    </row>
    <row r="36">
      <c r="D36" s="18" t="n"/>
      <c r="P36" s="19" t="n"/>
    </row>
    <row r="37">
      <c r="D37" s="18" t="n"/>
      <c r="P37" s="19" t="n"/>
    </row>
    <row r="38">
      <c r="D38" s="18" t="n"/>
      <c r="P38" s="19" t="n"/>
    </row>
    <row r="39">
      <c r="D39" s="18" t="n"/>
      <c r="P39" s="19" t="n"/>
    </row>
    <row r="40">
      <c r="D40" s="18" t="n"/>
      <c r="P40" s="19" t="n"/>
    </row>
    <row r="41" ht="15" customHeight="1" thickBot="1">
      <c r="D41" s="20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2" t="n"/>
    </row>
  </sheetData>
  <mergeCells count="2">
    <mergeCell ref="A12:H12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31"/>
  <sheetViews>
    <sheetView showGridLines="0" zoomScaleNormal="100" workbookViewId="0">
      <selection activeCell="D20" sqref="D20"/>
    </sheetView>
  </sheetViews>
  <sheetFormatPr baseColWidth="8" defaultColWidth="8.6640625" defaultRowHeight="14.4"/>
  <cols>
    <col width="2" customWidth="1" min="1" max="1"/>
    <col width="20" customWidth="1" min="2" max="2"/>
    <col width="30" customWidth="1" min="3" max="3"/>
    <col width="22" customWidth="1" min="4" max="5"/>
    <col width="20" customWidth="1" min="6" max="6"/>
    <col width="18" customWidth="1" min="7" max="7"/>
  </cols>
  <sheetData>
    <row r="1" ht="17.4" customHeight="1">
      <c r="B1" s="1" t="inlineStr">
        <is>
          <t>2. Layer① 設計（TRIAL ↔ GCS）</t>
        </is>
      </c>
    </row>
    <row r="4" ht="21.75" customHeight="1">
      <c r="B4" s="3" t="inlineStr">
        <is>
          <t>■ 設計条件</t>
        </is>
      </c>
      <c r="C4" s="4" t="n"/>
      <c r="D4" s="4" t="n"/>
      <c r="E4" s="4" t="n"/>
    </row>
    <row r="5" ht="19.5" customHeight="1">
      <c r="B5" s="6" t="inlineStr">
        <is>
          <t>処理概要</t>
        </is>
      </c>
      <c r="C5" s="47" t="n"/>
      <c r="D5" s="58" t="n"/>
      <c r="E5" s="59" t="n"/>
      <c r="F5" s="29" t="inlineStr">
        <is>
          <t>重複</t>
        </is>
      </c>
      <c r="I5" t="inlineStr">
        <is>
          <t xml:space="preserve">Sheet① 基本情報・処理概要 </t>
        </is>
      </c>
    </row>
    <row r="6" ht="19.5" customHeight="1">
      <c r="B6" s="6" t="inlineStr">
        <is>
          <t>抽出元テーブル</t>
        </is>
      </c>
      <c r="C6" s="46" t="inlineStr">
        <is>
          <t>集計6.PRODUCTS、バンドルマスタ</t>
        </is>
      </c>
      <c r="D6" s="58" t="n"/>
      <c r="E6" s="59" t="n"/>
      <c r="I6" t="inlineStr">
        <is>
          <t xml:space="preserve">Sheet② 入力テーブル定義（IN） ← テーブル専用シート </t>
        </is>
      </c>
    </row>
    <row r="7" ht="19.5" customHeight="1">
      <c r="B7" s="6" t="inlineStr">
        <is>
          <t>抽出条件</t>
        </is>
      </c>
      <c r="C7" s="47" t="n"/>
      <c r="D7" s="58" t="n"/>
      <c r="E7" s="59" t="n"/>
      <c r="F7" s="29" t="inlineStr">
        <is>
          <t>単一・複数テーブルからの抽出条件</t>
        </is>
      </c>
      <c r="I7" t="inlineStr">
        <is>
          <t xml:space="preserve">Sheet③ 出力ファイルレイアウト（OUT） </t>
        </is>
      </c>
    </row>
    <row r="8" ht="19.5" customHeight="1">
      <c r="B8" s="6" t="inlineStr">
        <is>
          <t>出力ファイル名</t>
        </is>
      </c>
      <c r="C8" s="48" t="inlineStr">
        <is>
          <t>XXXXXXXXXXXXXXXXX_YYYYMMDD.csv</t>
        </is>
      </c>
      <c r="D8" s="58" t="n"/>
      <c r="E8" s="59" t="n"/>
      <c r="I8" t="inlineStr">
        <is>
          <t>Sheet④ 処理仕様（SQL・抽出条件） ← JOINと抽出条件はここ</t>
        </is>
      </c>
    </row>
    <row r="9" ht="19.5" customHeight="1">
      <c r="B9" s="5" t="inlineStr">
        <is>
          <t>GCS配置先</t>
        </is>
      </c>
      <c r="C9" s="48" t="inlineStr">
        <is>
          <t>例：gs://ods-seiyu-prod/XXXXX/XXX/</t>
        </is>
      </c>
      <c r="D9" s="58" t="n"/>
      <c r="E9" s="59" t="n"/>
    </row>
    <row r="10" ht="19.5" customHeight="1">
      <c r="B10" s="6" t="inlineStr">
        <is>
          <t>文字コード</t>
        </is>
      </c>
      <c r="C10" s="47" t="inlineStr">
        <is>
          <t>例：UTF-8（BOMなし）</t>
        </is>
      </c>
      <c r="D10" s="58" t="n"/>
      <c r="E10" s="59" t="n"/>
    </row>
    <row r="11" ht="19.5" customHeight="1">
      <c r="B11" s="6" t="inlineStr">
        <is>
          <t>世代管理</t>
        </is>
      </c>
      <c r="C11" s="47" t="n"/>
      <c r="D11" s="58" t="n"/>
      <c r="E11" s="59" t="n"/>
      <c r="F11" s="29" t="inlineStr">
        <is>
          <t>？？</t>
        </is>
      </c>
    </row>
    <row r="13" ht="21.75" customHeight="1">
      <c r="B13" s="3" t="inlineStr">
        <is>
          <t>■ 処理フロー</t>
        </is>
      </c>
      <c r="C13" s="4" t="n"/>
      <c r="D13" s="4" t="n"/>
      <c r="E13" s="4" t="n"/>
      <c r="F13" s="4" t="n"/>
      <c r="G13" s="4" t="n"/>
    </row>
    <row r="14" ht="30" customHeight="1">
      <c r="B14" s="12" t="inlineStr">
        <is>
          <t>STEP</t>
        </is>
      </c>
      <c r="C14" s="7" t="inlineStr">
        <is>
          <t>処理内容</t>
        </is>
      </c>
      <c r="D14" s="7" t="inlineStr">
        <is>
          <t>入力</t>
        </is>
      </c>
      <c r="E14" s="7" t="inlineStr">
        <is>
          <t>出力</t>
        </is>
      </c>
      <c r="F14" s="7" t="inlineStr">
        <is>
          <t>例外時の扱い</t>
        </is>
      </c>
      <c r="G14" s="7" t="inlineStr">
        <is>
          <t>備考</t>
        </is>
      </c>
    </row>
    <row r="15" ht="31.5" customHeight="1">
      <c r="B15" s="49" t="n">
        <v>1</v>
      </c>
      <c r="C15" s="52" t="inlineStr">
        <is>
          <t>抽出元から必要なデータをIFサーバーに取得</t>
        </is>
      </c>
      <c r="D15" s="49" t="n"/>
      <c r="E15" s="50" t="n"/>
      <c r="F15" s="49" t="n"/>
      <c r="G15" s="50" t="n"/>
      <c r="H15" s="53" t="inlineStr">
        <is>
          <t>全量/差分の設計、どうする？</t>
        </is>
      </c>
    </row>
    <row r="16" ht="31.5" customHeight="1">
      <c r="B16" s="49" t="n">
        <v>2</v>
      </c>
      <c r="C16" s="51" t="inlineStr">
        <is>
          <t>変換ロジックに合わせてファイルを出力</t>
        </is>
      </c>
      <c r="D16" s="50" t="n"/>
      <c r="E16" s="50" t="n"/>
      <c r="F16" s="50" t="n"/>
      <c r="G16" s="49" t="n"/>
    </row>
    <row r="17" ht="21.75" customHeight="1">
      <c r="B17" s="49" t="n">
        <v>3</v>
      </c>
      <c r="C17" s="51" t="inlineStr">
        <is>
          <t>GCSサーバーに出力ファイルを転送</t>
        </is>
      </c>
      <c r="D17" s="50" t="n"/>
      <c r="E17" s="50" t="n"/>
      <c r="F17" s="50" t="n"/>
      <c r="G17" s="49" t="n"/>
    </row>
    <row r="18" ht="21.75" customHeight="1">
      <c r="B18" s="10" t="n"/>
      <c r="C18" s="10" t="n"/>
      <c r="D18" s="10" t="n"/>
      <c r="E18" s="10" t="n"/>
      <c r="F18" s="10" t="n"/>
      <c r="G18" s="10" t="n"/>
    </row>
    <row r="19" ht="21.75" customHeight="1">
      <c r="B19" s="10" t="n"/>
      <c r="C19" s="10" t="n"/>
      <c r="D19" s="10" t="n"/>
      <c r="E19" s="10" t="n"/>
      <c r="F19" s="10" t="n"/>
      <c r="G19" s="10" t="n"/>
    </row>
    <row r="20" ht="21.75" customHeight="1">
      <c r="B20" s="10" t="n"/>
      <c r="C20" s="10" t="n"/>
      <c r="D20" s="10" t="n"/>
      <c r="E20" s="10" t="n"/>
      <c r="F20" s="10" t="n"/>
      <c r="G20" s="10" t="n"/>
    </row>
    <row r="21" ht="21.75" customHeight="1">
      <c r="B21" s="10" t="n"/>
      <c r="C21" s="10" t="n"/>
      <c r="D21" s="10" t="n"/>
      <c r="E21" s="10" t="n"/>
      <c r="F21" s="10" t="n"/>
      <c r="G21" s="10" t="n"/>
    </row>
    <row r="22" ht="21.75" customHeight="1">
      <c r="B22" s="10" t="n"/>
      <c r="C22" s="10" t="n"/>
      <c r="D22" s="10" t="n"/>
      <c r="E22" s="10" t="n"/>
      <c r="F22" s="10" t="n"/>
      <c r="G22" s="10" t="n"/>
    </row>
    <row r="23" ht="21.75" customHeight="1">
      <c r="B23" s="10" t="n"/>
      <c r="C23" s="10" t="n"/>
      <c r="D23" s="10" t="n"/>
      <c r="E23" s="10" t="n"/>
      <c r="F23" s="10" t="n"/>
      <c r="G23" s="10" t="n"/>
    </row>
    <row r="24" ht="21.75" customHeight="1">
      <c r="B24" s="10" t="n"/>
      <c r="C24" s="10" t="n"/>
      <c r="D24" s="10" t="n"/>
      <c r="E24" s="10" t="n"/>
      <c r="F24" s="10" t="n"/>
      <c r="G24" s="10" t="n"/>
    </row>
    <row r="25" ht="21.75" customHeight="1">
      <c r="B25" s="10" t="n"/>
      <c r="C25" s="10" t="n"/>
      <c r="D25" s="10" t="n"/>
      <c r="E25" s="10" t="n"/>
      <c r="F25" s="10" t="n"/>
      <c r="G25" s="10" t="n"/>
    </row>
    <row r="26" ht="21.75" customHeight="1">
      <c r="B26" s="10" t="n"/>
      <c r="C26" s="10" t="n"/>
      <c r="D26" s="10" t="n"/>
      <c r="E26" s="10" t="n"/>
      <c r="F26" s="10" t="n"/>
      <c r="G26" s="10" t="n"/>
    </row>
    <row r="27" ht="21.75" customHeight="1">
      <c r="B27" s="10" t="n"/>
      <c r="C27" s="10" t="n"/>
      <c r="D27" s="10" t="n"/>
      <c r="E27" s="10" t="n"/>
      <c r="F27" s="10" t="n"/>
      <c r="G27" s="10" t="n"/>
    </row>
    <row r="28" ht="21.75" customHeight="1">
      <c r="B28" s="10" t="n"/>
      <c r="C28" s="10" t="n"/>
      <c r="D28" s="10" t="n"/>
      <c r="E28" s="10" t="n"/>
      <c r="F28" s="10" t="n"/>
      <c r="G28" s="10" t="n"/>
    </row>
    <row r="30">
      <c r="B30" s="11" t="n"/>
    </row>
    <row r="31">
      <c r="B31" s="2" t="n"/>
    </row>
  </sheetData>
  <mergeCells count="7">
    <mergeCell ref="C11:E11"/>
    <mergeCell ref="C5:E5"/>
    <mergeCell ref="C8:E8"/>
    <mergeCell ref="C9:E9"/>
    <mergeCell ref="C7:E7"/>
    <mergeCell ref="C6:E6"/>
    <mergeCell ref="C10:E10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topLeftCell="A3" zoomScaleNormal="100" workbookViewId="0">
      <selection activeCell="C13" sqref="C13"/>
    </sheetView>
  </sheetViews>
  <sheetFormatPr baseColWidth="8" defaultColWidth="8.6640625" defaultRowHeight="14.4"/>
  <cols>
    <col width="2" customWidth="1" min="1" max="1"/>
    <col width="20" customWidth="1" min="2" max="2"/>
    <col width="30" customWidth="1" min="3" max="3"/>
    <col width="22" customWidth="1" min="4" max="5"/>
    <col width="20" customWidth="1" min="6" max="6"/>
    <col width="18" customWidth="1" min="7" max="7"/>
  </cols>
  <sheetData>
    <row r="1" ht="17.4" customHeight="1">
      <c r="B1" s="1" t="inlineStr">
        <is>
          <t>3. Layer② 設計（GCS → DWH）</t>
        </is>
      </c>
    </row>
    <row r="4" ht="21.75" customHeight="1">
      <c r="B4" s="3" t="inlineStr">
        <is>
          <t>■ 設計条件</t>
        </is>
      </c>
      <c r="C4" s="4" t="n"/>
      <c r="D4" s="4" t="n"/>
      <c r="E4" s="4" t="n"/>
    </row>
    <row r="5" ht="19.5" customHeight="1">
      <c r="B5" s="6" t="inlineStr">
        <is>
          <t>取込対象ファイル</t>
        </is>
      </c>
      <c r="C5" s="47" t="inlineStr">
        <is>
          <t>XXXXXXXXXXXXXXXXX_YYYYMMDD.csv</t>
        </is>
      </c>
      <c r="D5" s="58" t="n"/>
      <c r="E5" s="59" t="n"/>
    </row>
    <row r="6" ht="19.5" customHeight="1">
      <c r="B6" s="5" t="inlineStr">
        <is>
          <t>Intakeテーブル</t>
        </is>
      </c>
      <c r="C6" s="47" t="inlineStr">
        <is>
          <t>例：INTAKE_SINOPS02_TENPO_SHOHIN</t>
        </is>
      </c>
      <c r="D6" s="58" t="n"/>
      <c r="E6" s="59" t="n"/>
    </row>
    <row r="7" ht="19.5" customHeight="1">
      <c r="B7" s="6" t="inlineStr">
        <is>
          <t>格納方式</t>
        </is>
      </c>
      <c r="C7" s="54" t="inlineStr">
        <is>
          <t>全件洗い替え</t>
        </is>
      </c>
      <c r="D7" s="58" t="n"/>
      <c r="E7" s="59" t="n"/>
      <c r="F7" s="53" t="inlineStr">
        <is>
          <t>すべて全件？？？　　　　　　　　全件洗い替え ／ 差分追加 ／ 洗い替え＋履歴退避</t>
        </is>
      </c>
    </row>
    <row r="8" ht="19.5" customHeight="1">
      <c r="B8" s="6" t="inlineStr">
        <is>
          <t>実行トリガ</t>
        </is>
      </c>
      <c r="C8" s="47" t="inlineStr">
        <is>
          <t>Data Spiderのトリガー情報</t>
        </is>
      </c>
      <c r="D8" s="58" t="n"/>
      <c r="E8" s="59" t="n"/>
    </row>
    <row r="9" ht="19.5" customHeight="1">
      <c r="B9" s="6" t="inlineStr">
        <is>
          <t>エラー時の扱い</t>
        </is>
      </c>
      <c r="C9" s="47" t="inlineStr">
        <is>
          <t>例：件数チェックNGで中断、通知後に手動リラン</t>
        </is>
      </c>
      <c r="D9" s="58" t="n"/>
      <c r="E9" s="59" t="n"/>
    </row>
    <row r="11" ht="21.75" customHeight="1">
      <c r="B11" s="3" t="inlineStr">
        <is>
          <t>■ 処理フロー</t>
        </is>
      </c>
      <c r="C11" s="4" t="n"/>
      <c r="D11" s="4" t="n"/>
      <c r="E11" s="4" t="n"/>
      <c r="F11" s="4" t="n"/>
      <c r="G11" s="4" t="n"/>
    </row>
    <row r="12" ht="30" customHeight="1">
      <c r="B12" s="12" t="inlineStr">
        <is>
          <t>STEP</t>
        </is>
      </c>
      <c r="C12" s="7" t="inlineStr">
        <is>
          <t>処理内容</t>
        </is>
      </c>
      <c r="D12" s="7" t="inlineStr">
        <is>
          <t>入力</t>
        </is>
      </c>
      <c r="E12" s="7" t="inlineStr">
        <is>
          <t>出力</t>
        </is>
      </c>
      <c r="F12" s="7" t="inlineStr">
        <is>
          <t>例外時の扱い</t>
        </is>
      </c>
      <c r="G12" s="7" t="inlineStr">
        <is>
          <t>備考</t>
        </is>
      </c>
    </row>
    <row r="13" ht="31.5" customHeight="1">
      <c r="B13" s="49" t="n">
        <v>1</v>
      </c>
      <c r="C13" s="51" t="inlineStr">
        <is>
          <t>Data SpiderにてGCS上のファイルをDatalakeのIntakeテーブルに挿入</t>
        </is>
      </c>
      <c r="D13" s="49" t="n"/>
      <c r="E13" s="50" t="n"/>
      <c r="F13" s="49" t="n"/>
      <c r="G13" s="50" t="n"/>
    </row>
    <row r="14" ht="31.5" customHeight="1">
      <c r="B14" s="10" t="n"/>
      <c r="C14" s="10" t="n"/>
      <c r="D14" s="10" t="n"/>
      <c r="E14" s="10" t="n"/>
      <c r="F14" s="10" t="n"/>
      <c r="G14" s="10" t="n"/>
    </row>
    <row r="15" ht="21.75" customHeight="1">
      <c r="B15" s="10" t="n"/>
      <c r="C15" s="10" t="n"/>
      <c r="D15" s="10" t="n"/>
      <c r="E15" s="10" t="n"/>
      <c r="F15" s="10" t="n"/>
      <c r="G15" s="10" t="n"/>
    </row>
    <row r="16" ht="21.75" customHeight="1">
      <c r="B16" s="10" t="n"/>
      <c r="C16" s="10" t="n"/>
      <c r="D16" s="10" t="n"/>
      <c r="E16" s="10" t="n"/>
      <c r="F16" s="10" t="n"/>
      <c r="G16" s="10" t="n"/>
    </row>
    <row r="17" ht="21.75" customHeight="1">
      <c r="B17" s="10" t="n"/>
      <c r="C17" s="10" t="n"/>
      <c r="D17" s="10" t="n"/>
      <c r="E17" s="10" t="n"/>
      <c r="F17" s="10" t="n"/>
      <c r="G17" s="10" t="n"/>
    </row>
    <row r="18" ht="21.75" customHeight="1">
      <c r="B18" s="10" t="n"/>
      <c r="C18" s="10" t="n"/>
      <c r="D18" s="10" t="n"/>
      <c r="E18" s="10" t="n"/>
      <c r="F18" s="10" t="n"/>
      <c r="G18" s="10" t="n"/>
    </row>
    <row r="19" ht="21.75" customHeight="1">
      <c r="B19" s="10" t="n"/>
      <c r="C19" s="10" t="n"/>
      <c r="D19" s="10" t="n"/>
      <c r="E19" s="10" t="n"/>
      <c r="F19" s="10" t="n"/>
      <c r="G19" s="10" t="n"/>
    </row>
    <row r="20" ht="21.75" customHeight="1">
      <c r="B20" s="10" t="n"/>
      <c r="C20" s="10" t="n"/>
      <c r="D20" s="10" t="n"/>
      <c r="E20" s="10" t="n"/>
      <c r="F20" s="10" t="n"/>
      <c r="G20" s="10" t="n"/>
    </row>
    <row r="21" ht="21.75" customHeight="1">
      <c r="B21" s="10" t="n"/>
      <c r="C21" s="10" t="n"/>
      <c r="D21" s="10" t="n"/>
      <c r="E21" s="10" t="n"/>
      <c r="F21" s="10" t="n"/>
      <c r="G21" s="10" t="n"/>
    </row>
    <row r="22" ht="21.75" customHeight="1">
      <c r="B22" s="10" t="n"/>
      <c r="C22" s="10" t="n"/>
      <c r="D22" s="10" t="n"/>
      <c r="E22" s="10" t="n"/>
      <c r="F22" s="10" t="n"/>
      <c r="G22" s="10" t="n"/>
    </row>
    <row r="23" ht="21.75" customHeight="1">
      <c r="B23" s="10" t="n"/>
      <c r="C23" s="10" t="n"/>
      <c r="D23" s="10" t="n"/>
      <c r="E23" s="10" t="n"/>
      <c r="F23" s="10" t="n"/>
      <c r="G23" s="10" t="n"/>
    </row>
    <row r="24" ht="21.75" customHeight="1">
      <c r="B24" s="10" t="n"/>
      <c r="C24" s="10" t="n"/>
      <c r="D24" s="10" t="n"/>
      <c r="E24" s="10" t="n"/>
      <c r="F24" s="10" t="n"/>
      <c r="G24" s="10" t="n"/>
    </row>
    <row r="25" ht="21.75" customHeight="1">
      <c r="B25" s="10" t="n"/>
      <c r="C25" s="10" t="n"/>
      <c r="D25" s="10" t="n"/>
      <c r="E25" s="10" t="n"/>
      <c r="F25" s="10" t="n"/>
      <c r="G25" s="10" t="n"/>
    </row>
    <row r="26" ht="21.75" customHeight="1">
      <c r="B26" s="10" t="n"/>
      <c r="C26" s="10" t="n"/>
      <c r="D26" s="10" t="n"/>
      <c r="E26" s="10" t="n"/>
      <c r="F26" s="10" t="n"/>
      <c r="G26" s="10" t="n"/>
    </row>
    <row r="28">
      <c r="B28" s="11" t="inlineStr">
        <is>
          <t>※ STEPは10刻みで採番します。後から処理を挿入できるようにするためです。</t>
        </is>
      </c>
    </row>
    <row r="29">
      <c r="B29" s="2" t="inlineStr">
        <is>
          <t>※ 処理フローが複雑な場合は、別途フロー図（SVG/PowerPoint）を作成し、本シートに格納先を記載してください。</t>
        </is>
      </c>
    </row>
  </sheetData>
  <mergeCells count="5">
    <mergeCell ref="C5:E5"/>
    <mergeCell ref="C8:E8"/>
    <mergeCell ref="C9:E9"/>
    <mergeCell ref="C7:E7"/>
    <mergeCell ref="C6:E6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zoomScaleNormal="100" workbookViewId="0">
      <selection activeCell="E16" sqref="E16"/>
    </sheetView>
  </sheetViews>
  <sheetFormatPr baseColWidth="8" defaultColWidth="8.6640625" defaultRowHeight="14.4"/>
  <cols>
    <col width="2" customWidth="1" min="1" max="1"/>
    <col width="20" customWidth="1" min="2" max="2"/>
    <col width="30" customWidth="1" min="3" max="3"/>
    <col width="22" customWidth="1" min="4" max="5"/>
    <col width="20" customWidth="1" min="6" max="6"/>
    <col width="18" customWidth="1" min="7" max="7"/>
  </cols>
  <sheetData>
    <row r="1" ht="17.4" customHeight="1">
      <c r="B1" s="1" t="inlineStr">
        <is>
          <t>4. Layer③ 設計（DWH・GCS ↔ 業務システム）</t>
        </is>
      </c>
    </row>
    <row r="4" ht="21.75" customHeight="1">
      <c r="B4" s="3" t="inlineStr">
        <is>
          <t>■ 設計条件</t>
        </is>
      </c>
      <c r="C4" s="4" t="n"/>
      <c r="D4" s="4" t="n"/>
      <c r="E4" s="4" t="n"/>
    </row>
    <row r="5" ht="19.5" customHeight="1">
      <c r="B5" s="6" t="inlineStr">
        <is>
          <t>連携先システム</t>
        </is>
      </c>
      <c r="C5" s="54" t="inlineStr">
        <is>
          <t>国内流通システム</t>
        </is>
      </c>
      <c r="D5" s="58" t="n"/>
      <c r="E5" s="59" t="n"/>
    </row>
    <row r="6" ht="19.5" customHeight="1">
      <c r="B6" s="6" t="inlineStr">
        <is>
          <t>出力対象</t>
        </is>
      </c>
      <c r="C6" s="54" t="inlineStr">
        <is>
          <t>国内流通システム　XXDB？　XXファイル</t>
        </is>
      </c>
      <c r="D6" s="58" t="n"/>
      <c r="E6" s="59" t="n"/>
    </row>
    <row r="7" ht="19.5" customHeight="1">
      <c r="B7" s="6" t="inlineStr">
        <is>
          <t>参照テーブル</t>
        </is>
      </c>
      <c r="C7" s="47" t="inlineStr">
        <is>
          <t>例：INTAKE_SINOPS02_TENPO_SHOHIN／変換テーブル TBL_CONV_TENPO</t>
        </is>
      </c>
      <c r="D7" s="58" t="n"/>
      <c r="E7" s="59" t="n"/>
    </row>
    <row r="8" ht="19.5" customHeight="1">
      <c r="B8" s="6" t="inlineStr">
        <is>
          <t>出力先</t>
        </is>
      </c>
      <c r="C8" s="54" t="inlineStr">
        <is>
          <t>DB情報？ファイルの格納先</t>
        </is>
      </c>
      <c r="D8" s="58" t="n"/>
      <c r="E8" s="59" t="n"/>
    </row>
    <row r="9" ht="19.5" customHeight="1">
      <c r="B9" s="6" t="inlineStr">
        <is>
          <t>連携タイミング</t>
        </is>
      </c>
      <c r="C9" s="47" t="inlineStr">
        <is>
          <t>例：日次 03:00</t>
        </is>
      </c>
      <c r="D9" s="58" t="n"/>
      <c r="E9" s="59" t="n"/>
      <c r="F9" s="29" t="inlineStr">
        <is>
          <t>ほかのLayerもいるのでは？</t>
        </is>
      </c>
    </row>
    <row r="11" ht="21.75" customHeight="1">
      <c r="B11" s="3" t="inlineStr">
        <is>
          <t>■ 処理フロー</t>
        </is>
      </c>
      <c r="C11" s="4" t="n"/>
      <c r="D11" s="4" t="n"/>
      <c r="E11" s="4" t="n"/>
      <c r="F11" s="4" t="n"/>
      <c r="G11" s="4" t="n"/>
    </row>
    <row r="12" ht="30" customHeight="1">
      <c r="B12" s="12" t="inlineStr">
        <is>
          <t>STEP</t>
        </is>
      </c>
      <c r="C12" s="7" t="inlineStr">
        <is>
          <t>処理内容</t>
        </is>
      </c>
      <c r="D12" s="7" t="inlineStr">
        <is>
          <t>入力</t>
        </is>
      </c>
      <c r="E12" s="7" t="inlineStr">
        <is>
          <t>出力</t>
        </is>
      </c>
      <c r="F12" s="7" t="inlineStr">
        <is>
          <t>例外時の扱い</t>
        </is>
      </c>
      <c r="G12" s="7" t="inlineStr">
        <is>
          <t>備考</t>
        </is>
      </c>
    </row>
    <row r="13" ht="31.5" customHeight="1">
      <c r="B13" s="49" t="n">
        <v>1</v>
      </c>
      <c r="C13" s="51" t="inlineStr">
        <is>
          <t>Data SpiderにてDatalakeのIntakeテーブルのデータを国内流通システムに挿入</t>
        </is>
      </c>
      <c r="D13" s="49" t="n"/>
      <c r="E13" s="50" t="n"/>
      <c r="F13" s="49" t="n"/>
      <c r="G13" s="50" t="n"/>
    </row>
    <row r="14" ht="31.5" customHeight="1">
      <c r="B14" s="49" t="n"/>
      <c r="C14" s="50" t="n"/>
      <c r="D14" s="50" t="n"/>
      <c r="E14" s="50" t="n"/>
      <c r="F14" s="50" t="n"/>
      <c r="G14" s="49" t="n"/>
    </row>
    <row r="15" ht="21.75" customHeight="1">
      <c r="B15" s="10" t="n"/>
      <c r="C15" s="10" t="n"/>
      <c r="D15" s="10" t="n"/>
      <c r="E15" s="10" t="n"/>
      <c r="F15" s="10" t="n"/>
      <c r="G15" s="10" t="n"/>
    </row>
    <row r="16" ht="21.75" customHeight="1">
      <c r="B16" s="10" t="n"/>
      <c r="C16" s="10" t="n"/>
      <c r="D16" s="10" t="n"/>
      <c r="E16" s="10" t="n"/>
      <c r="F16" s="10" t="n"/>
      <c r="G16" s="10" t="n"/>
    </row>
    <row r="17" ht="21.75" customHeight="1">
      <c r="B17" s="10" t="n"/>
      <c r="C17" s="10" t="n"/>
      <c r="D17" s="10" t="n"/>
      <c r="E17" s="10" t="n"/>
      <c r="F17" s="10" t="n"/>
      <c r="G17" s="10" t="n"/>
    </row>
    <row r="18" ht="21.75" customHeight="1">
      <c r="B18" s="10" t="n"/>
      <c r="C18" s="10" t="n"/>
      <c r="D18" s="10" t="n"/>
      <c r="E18" s="10" t="n"/>
      <c r="F18" s="10" t="n"/>
      <c r="G18" s="10" t="n"/>
    </row>
    <row r="19" ht="21.75" customHeight="1">
      <c r="B19" s="10" t="n"/>
      <c r="C19" s="10" t="n"/>
      <c r="D19" s="10" t="n"/>
      <c r="E19" s="10" t="n"/>
      <c r="F19" s="10" t="n"/>
      <c r="G19" s="10" t="n"/>
    </row>
    <row r="20" ht="21.75" customHeight="1">
      <c r="B20" s="10" t="n"/>
      <c r="C20" s="10" t="n"/>
      <c r="D20" s="10" t="n"/>
      <c r="E20" s="10" t="n"/>
      <c r="F20" s="10" t="n"/>
      <c r="G20" s="10" t="n"/>
    </row>
    <row r="21" ht="21.75" customHeight="1">
      <c r="B21" s="10" t="n"/>
      <c r="C21" s="10" t="n"/>
      <c r="D21" s="10" t="n"/>
      <c r="E21" s="10" t="n"/>
      <c r="F21" s="10" t="n"/>
      <c r="G21" s="10" t="n"/>
    </row>
    <row r="22" ht="21.75" customHeight="1">
      <c r="B22" s="10" t="n"/>
      <c r="C22" s="10" t="n"/>
      <c r="D22" s="10" t="n"/>
      <c r="E22" s="10" t="n"/>
      <c r="F22" s="10" t="n"/>
      <c r="G22" s="10" t="n"/>
    </row>
    <row r="23" ht="21.75" customHeight="1">
      <c r="B23" s="10" t="n"/>
      <c r="C23" s="10" t="n"/>
      <c r="D23" s="10" t="n"/>
      <c r="E23" s="10" t="n"/>
      <c r="F23" s="10" t="n"/>
      <c r="G23" s="10" t="n"/>
    </row>
    <row r="24" ht="21.75" customHeight="1">
      <c r="B24" s="10" t="n"/>
      <c r="C24" s="10" t="n"/>
      <c r="D24" s="10" t="n"/>
      <c r="E24" s="10" t="n"/>
      <c r="F24" s="10" t="n"/>
      <c r="G24" s="10" t="n"/>
    </row>
    <row r="25" ht="21.75" customHeight="1">
      <c r="B25" s="10" t="n"/>
      <c r="C25" s="10" t="n"/>
      <c r="D25" s="10" t="n"/>
      <c r="E25" s="10" t="n"/>
      <c r="F25" s="10" t="n"/>
      <c r="G25" s="10" t="n"/>
    </row>
    <row r="26" ht="21.75" customHeight="1">
      <c r="B26" s="10" t="n"/>
      <c r="C26" s="10" t="n"/>
      <c r="D26" s="10" t="n"/>
      <c r="E26" s="10" t="n"/>
      <c r="F26" s="10" t="n"/>
      <c r="G26" s="10" t="n"/>
    </row>
    <row r="28">
      <c r="B28" s="11" t="inlineStr">
        <is>
          <t>※ STEPは10刻みで採番します。後から処理を挿入できるようにするためです。</t>
        </is>
      </c>
    </row>
    <row r="29">
      <c r="B29" s="2" t="inlineStr">
        <is>
          <t>※ 処理フローが複雑な場合は、別途フロー図（SVG/PowerPoint）を作成し、本シートに格納先を記載してください。</t>
        </is>
      </c>
    </row>
  </sheetData>
  <mergeCells count="5">
    <mergeCell ref="C5:E5"/>
    <mergeCell ref="C8:E8"/>
    <mergeCell ref="C9:E9"/>
    <mergeCell ref="C7:E7"/>
    <mergeCell ref="C6:E6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2"/>
  <sheetViews>
    <sheetView showGridLines="0" topLeftCell="D1" zoomScale="70" zoomScaleNormal="70" workbookViewId="0">
      <selection activeCell="P7" sqref="P7:P30"/>
    </sheetView>
  </sheetViews>
  <sheetFormatPr baseColWidth="8" defaultColWidth="8.6640625" defaultRowHeight="14.4"/>
  <cols>
    <col width="2" customWidth="1" min="1" max="1"/>
    <col width="5" customWidth="1" min="2" max="2"/>
    <col width="20.88671875" customWidth="1" min="3" max="3"/>
    <col width="18" customWidth="1" min="4" max="4"/>
    <col width="10" customWidth="1" min="5" max="5"/>
    <col width="14.33203125" customWidth="1" min="6" max="6"/>
    <col width="7" customWidth="1" min="7" max="7"/>
    <col width="18" customWidth="1" min="8" max="8"/>
    <col width="22" customWidth="1" min="9" max="9"/>
    <col width="20" customWidth="1" min="10" max="10"/>
    <col width="10" customWidth="1" min="11" max="11"/>
    <col width="8" customWidth="1" min="12" max="12"/>
    <col width="7" customWidth="1" min="13" max="13"/>
    <col width="13" customWidth="1" min="14" max="14"/>
    <col width="22" customWidth="1" min="15" max="15"/>
    <col width="46.109375" customWidth="1" min="16" max="16"/>
    <col width="8.77734375" customWidth="1" min="17" max="19"/>
    <col width="31.88671875" customWidth="1" min="20" max="20"/>
  </cols>
  <sheetData>
    <row r="1" ht="17.4" customHeight="1">
      <c r="B1" s="69" t="inlineStr">
        <is>
          <t>5. 項目マッピング — Layer①（型変換・選別・編集）</t>
        </is>
      </c>
    </row>
    <row r="2">
      <c r="B2" s="2" t="inlineStr">
        <is>
          <t>本設計書の中核です。Phase1のデータ項目比較・GAP一覧の結果をここに落とし込みます</t>
        </is>
      </c>
    </row>
    <row r="3">
      <c r="B3" s="70" t="inlineStr">
        <is>
          <t>方針(2026-09-21): **型変換・フィールド選別・コード変換・編集は本シート（Layer①）に書く。Layer②／③ は全フィールド通過のみ。**</t>
        </is>
      </c>
    </row>
    <row r="4"/>
    <row r="5" ht="42" customHeight="1">
      <c r="Q5" s="29" t="inlineStr">
        <is>
          <t>×</t>
        </is>
      </c>
      <c r="R5" s="29" t="inlineStr">
        <is>
          <t>×</t>
        </is>
      </c>
      <c r="S5" s="29" t="inlineStr">
        <is>
          <t>×</t>
        </is>
      </c>
    </row>
    <row r="6" ht="31.5" customHeight="1">
      <c r="B6" s="12" t="inlineStr">
        <is>
          <t>No</t>
        </is>
      </c>
      <c r="C6" s="27" t="inlineStr">
        <is>
          <t>【受信先】テーブル</t>
        </is>
      </c>
      <c r="D6" s="27" t="inlineStr">
        <is>
          <t>【受信先】項目名</t>
        </is>
      </c>
      <c r="E6" s="7" t="inlineStr">
        <is>
          <t>物理名</t>
        </is>
      </c>
      <c r="F6" s="7" t="inlineStr">
        <is>
          <t>型</t>
        </is>
      </c>
      <c r="G6" s="7" t="inlineStr">
        <is>
          <t>桁</t>
        </is>
      </c>
      <c r="H6" s="7" t="inlineStr">
        <is>
          <t>必須</t>
        </is>
      </c>
      <c r="I6" s="7" t="inlineStr">
        <is>
          <t>【送信元】テーブル</t>
        </is>
      </c>
      <c r="J6" s="7" t="inlineStr">
        <is>
          <t>【送信元】項目名</t>
        </is>
      </c>
      <c r="K6" s="7" t="inlineStr">
        <is>
          <t>物理名</t>
        </is>
      </c>
      <c r="L6" s="7" t="inlineStr">
        <is>
          <t>型</t>
        </is>
      </c>
      <c r="M6" s="7" t="inlineStr">
        <is>
          <t>桁</t>
        </is>
      </c>
      <c r="N6" s="7" t="inlineStr">
        <is>
          <t>必須</t>
        </is>
      </c>
      <c r="O6" s="7" t="inlineStr">
        <is>
          <t>マッピング区分</t>
        </is>
      </c>
      <c r="P6" s="7" t="inlineStr">
        <is>
          <t>変換ルールID／変換内容</t>
        </is>
      </c>
      <c r="Q6" s="12" t="inlineStr">
        <is>
          <t>Phase1 GAP No.</t>
        </is>
      </c>
      <c r="R6" s="7" t="inlineStr">
        <is>
          <t>関連課題No.</t>
        </is>
      </c>
      <c r="S6" s="7" t="inlineStr">
        <is>
          <t>確定状況</t>
        </is>
      </c>
      <c r="T6" s="7" t="inlineStr">
        <is>
          <t>備考</t>
        </is>
      </c>
    </row>
    <row r="7" ht="31.5" customHeight="1">
      <c r="B7" s="8" t="inlineStr">
        <is>
          <t>1</t>
        </is>
      </c>
      <c r="C7" s="8" t="inlineStr">
        <is>
          <t>TMMSO0060</t>
        </is>
      </c>
      <c r="D7" s="9" t="inlineStr">
        <is>
          <t>メンテ区分</t>
        </is>
      </c>
      <c r="E7" s="8" t="inlineStr">
        <is>
          <t>TENPO_CD</t>
        </is>
      </c>
      <c r="F7" s="8" t="inlineStr">
        <is>
          <t>VARCHAR2(1)</t>
        </is>
      </c>
      <c r="G7" s="8" t="inlineStr">
        <is>
          <t>6</t>
        </is>
      </c>
      <c r="H7" s="8" t="inlineStr">
        <is>
          <t>○</t>
        </is>
      </c>
      <c r="I7" s="8" t="inlineStr">
        <is>
          <t>-</t>
        </is>
      </c>
      <c r="J7" s="9" t="inlineStr">
        <is>
          <t>-</t>
        </is>
      </c>
      <c r="K7" s="8" t="inlineStr">
        <is>
          <t>STORE_CD</t>
        </is>
      </c>
      <c r="L7" s="8" t="inlineStr">
        <is>
          <t>-</t>
        </is>
      </c>
      <c r="M7" s="8" t="inlineStr">
        <is>
          <t>7</t>
        </is>
      </c>
      <c r="N7" s="8" t="n"/>
      <c r="O7" s="9" t="inlineStr">
        <is>
          <t>-</t>
        </is>
      </c>
      <c r="P7" s="8" t="inlineStr">
        <is>
          <t>I：登録 U：更新 D：削除（半角大文字）。</t>
        </is>
      </c>
      <c r="Q7" s="8" t="inlineStr">
        <is>
          <t>GAP-012</t>
        </is>
      </c>
      <c r="R7" s="8" t="inlineStr">
        <is>
          <t>No.1</t>
        </is>
      </c>
      <c r="S7" s="9" t="inlineStr">
        <is>
          <t>確定</t>
        </is>
      </c>
      <c r="T7" s="9" t="n"/>
    </row>
    <row r="8" ht="31.5" customHeight="1">
      <c r="B8" s="8" t="inlineStr">
        <is>
          <t>2</t>
        </is>
      </c>
      <c r="C8" s="8" t="inlineStr">
        <is>
          <t>TMMSO0060</t>
        </is>
      </c>
      <c r="D8" s="9" t="inlineStr">
        <is>
          <t>商品コード</t>
        </is>
      </c>
      <c r="E8" s="8" t="inlineStr">
        <is>
          <t>HYOJUN_GENKA</t>
        </is>
      </c>
      <c r="F8" s="8" t="inlineStr">
        <is>
          <t>VARCHAR2(13)</t>
        </is>
      </c>
      <c r="G8" s="8" t="inlineStr">
        <is>
          <t>9,2</t>
        </is>
      </c>
      <c r="H8" s="8" t="inlineStr">
        <is>
          <t>○</t>
        </is>
      </c>
      <c r="I8" s="8" t="inlineStr">
        <is>
          <t>集計6
DIFPRODUCTS　マスタ3次商品マスタ
PRODUCTS　マスタ４次商品マスタ</t>
        </is>
      </c>
      <c r="J8" s="9" t="inlineStr">
        <is>
          <t>JAN</t>
        </is>
      </c>
      <c r="K8" s="8" t="inlineStr">
        <is>
          <t>STD_COST</t>
        </is>
      </c>
      <c r="L8" s="8" t="inlineStr">
        <is>
          <t>固定長20</t>
        </is>
      </c>
      <c r="M8" s="8" t="inlineStr">
        <is>
          <t>9,2</t>
        </is>
      </c>
      <c r="N8" s="8" t="n"/>
      <c r="O8" s="9" t="inlineStr">
        <is>
          <t>△1</t>
        </is>
      </c>
      <c r="P8" s="9" t="n"/>
      <c r="Q8" s="8" t="inlineStr">
        <is>
          <t>GAP-031</t>
        </is>
      </c>
      <c r="R8" s="8" t="inlineStr">
        <is>
          <t>No.6</t>
        </is>
      </c>
      <c r="S8" s="9" t="inlineStr">
        <is>
          <t>確定</t>
        </is>
      </c>
      <c r="T8" s="9" t="n"/>
    </row>
    <row r="9" ht="21.75" customHeight="1">
      <c r="B9" s="8" t="inlineStr">
        <is>
          <t>3</t>
        </is>
      </c>
      <c r="C9" s="9" t="inlineStr">
        <is>
          <t>－</t>
        </is>
      </c>
      <c r="D9" s="9" t="inlineStr">
        <is>
          <t>分類コード１（大分類）</t>
        </is>
      </c>
      <c r="E9" s="9" t="inlineStr">
        <is>
          <t>－</t>
        </is>
      </c>
      <c r="F9" s="9" t="inlineStr">
        <is>
          <t>VARCHAR2(5)</t>
        </is>
      </c>
      <c r="G9" s="9" t="inlineStr">
        <is>
          <t>－</t>
        </is>
      </c>
      <c r="H9" s="9" t="inlineStr">
        <is>
          <t>－</t>
        </is>
      </c>
      <c r="I9" s="9" t="inlineStr">
        <is>
          <t>-</t>
        </is>
      </c>
      <c r="J9" s="9" t="inlineStr">
        <is>
          <t>-</t>
        </is>
      </c>
      <c r="K9" s="8" t="inlineStr">
        <is>
          <t>BIN_KBN</t>
        </is>
      </c>
      <c r="L9" s="8" t="inlineStr">
        <is>
          <t>-</t>
        </is>
      </c>
      <c r="M9" s="8" t="inlineStr">
        <is>
          <t>2</t>
        </is>
      </c>
      <c r="N9" s="8" t="n"/>
      <c r="O9" s="8" t="inlineStr">
        <is>
          <t>-</t>
        </is>
      </c>
      <c r="P9" s="8" t="inlineStr">
        <is>
          <t>未使用</t>
        </is>
      </c>
      <c r="Q9" s="8" t="inlineStr">
        <is>
          <t>GAP-058</t>
        </is>
      </c>
      <c r="R9" s="8" t="inlineStr">
        <is>
          <t>No.18</t>
        </is>
      </c>
      <c r="S9" s="9" t="inlineStr">
        <is>
          <t>未確定</t>
        </is>
      </c>
      <c r="T9" s="8" t="n"/>
    </row>
    <row r="10" ht="21.75" customHeight="1">
      <c r="B10" s="10" t="n"/>
      <c r="C10" s="10" t="n"/>
      <c r="D10" s="10" t="inlineStr">
        <is>
          <t>分類コード２（集計部門）</t>
        </is>
      </c>
      <c r="E10" s="10" t="n"/>
      <c r="F10" s="10" t="inlineStr">
        <is>
          <t>VARCHAR2(5)</t>
        </is>
      </c>
      <c r="G10" s="10" t="n"/>
      <c r="H10" s="10" t="n"/>
      <c r="I10" s="10" t="inlineStr">
        <is>
          <t>-</t>
        </is>
      </c>
      <c r="J10" s="10" t="inlineStr">
        <is>
          <t>-</t>
        </is>
      </c>
      <c r="K10" s="10" t="n"/>
      <c r="L10" s="10" t="inlineStr">
        <is>
          <t>-</t>
        </is>
      </c>
      <c r="M10" s="10" t="n"/>
      <c r="N10" s="10" t="n"/>
      <c r="O10" s="10" t="inlineStr">
        <is>
          <t>-</t>
        </is>
      </c>
      <c r="P10" s="10" t="inlineStr">
        <is>
          <t>未使用</t>
        </is>
      </c>
      <c r="Q10" s="10" t="n"/>
      <c r="R10" s="10" t="n"/>
      <c r="S10" s="10" t="n"/>
      <c r="T10" s="10" t="n"/>
    </row>
    <row r="11" ht="21.75" customHeight="1">
      <c r="B11" s="10" t="n"/>
      <c r="C11" s="10" t="n"/>
      <c r="D11" s="10" t="inlineStr">
        <is>
          <t>分類コード３（部門）</t>
        </is>
      </c>
      <c r="E11" s="10" t="n"/>
      <c r="F11" s="10" t="inlineStr">
        <is>
          <t>VARCHAR2(5)</t>
        </is>
      </c>
      <c r="G11" s="10" t="n"/>
      <c r="H11" s="10" t="n"/>
      <c r="I11" s="10" t="inlineStr">
        <is>
          <t>デパ（部門）</t>
        </is>
      </c>
      <c r="J11" s="10" t="inlineStr">
        <is>
          <t>-</t>
        </is>
      </c>
      <c r="K11" s="10" t="n"/>
      <c r="L11" s="10" t="inlineStr">
        <is>
          <t>-</t>
        </is>
      </c>
      <c r="M11" s="10" t="n"/>
      <c r="N11" s="10" t="n"/>
      <c r="O11" s="10" t="inlineStr">
        <is>
          <t>△2</t>
        </is>
      </c>
      <c r="P11" s="10" t="inlineStr">
        <is>
          <t>デパ</t>
        </is>
      </c>
      <c r="Q11" s="10" t="n"/>
      <c r="R11" s="10" t="n"/>
      <c r="S11" s="10" t="n"/>
      <c r="T11" s="10" t="inlineStr">
        <is>
          <t>MDLinkチームでマッピング17万件済。
基本変換テーブルで実施し、一部は特殊対応があるかもしれない。確認中</t>
        </is>
      </c>
    </row>
    <row r="12" ht="21.75" customHeight="1">
      <c r="B12" s="10" t="n"/>
      <c r="C12" s="10" t="n"/>
      <c r="D12" s="10" t="inlineStr">
        <is>
          <t>分類コード４（中分類）</t>
        </is>
      </c>
      <c r="E12" s="10" t="n"/>
      <c r="F12" s="10" t="inlineStr">
        <is>
          <t>VARCHAR2(5)</t>
        </is>
      </c>
      <c r="G12" s="10" t="n"/>
      <c r="H12" s="10" t="n"/>
      <c r="I12" s="10" t="inlineStr">
        <is>
          <t>カテゴリ</t>
        </is>
      </c>
      <c r="J12" s="10" t="inlineStr">
        <is>
          <t>-</t>
        </is>
      </c>
      <c r="K12" s="10" t="n"/>
      <c r="L12" s="10" t="inlineStr">
        <is>
          <t>-</t>
        </is>
      </c>
      <c r="M12" s="10" t="n"/>
      <c r="N12" s="10" t="n"/>
      <c r="O12" s="10" t="inlineStr">
        <is>
          <t>△2</t>
        </is>
      </c>
      <c r="P12" s="10" t="inlineStr">
        <is>
          <t>西友ライン</t>
        </is>
      </c>
      <c r="Q12" s="10" t="n"/>
      <c r="R12" s="10" t="n"/>
      <c r="S12" s="10" t="n"/>
      <c r="T12" s="10" t="n"/>
    </row>
    <row r="13" ht="21.75" customHeight="1">
      <c r="B13" s="10" t="n"/>
      <c r="C13" s="10" t="n"/>
      <c r="D13" s="10" t="inlineStr">
        <is>
          <t>分類コード５（小分類）</t>
        </is>
      </c>
      <c r="E13" s="10" t="n"/>
      <c r="F13" s="10" t="inlineStr">
        <is>
          <t>VARCHAR2(5)</t>
        </is>
      </c>
      <c r="G13" s="10" t="n"/>
      <c r="H13" s="10" t="n"/>
      <c r="I13" s="10" t="inlineStr">
        <is>
          <t>サブカテゴリ</t>
        </is>
      </c>
      <c r="J13" s="10" t="inlineStr">
        <is>
          <t>-</t>
        </is>
      </c>
      <c r="K13" s="10" t="n"/>
      <c r="L13" s="10" t="inlineStr">
        <is>
          <t>-</t>
        </is>
      </c>
      <c r="M13" s="10" t="n"/>
      <c r="N13" s="10" t="n"/>
      <c r="O13" s="10" t="inlineStr">
        <is>
          <t>△2</t>
        </is>
      </c>
      <c r="P13" s="10" t="inlineStr">
        <is>
          <t>ファインライン</t>
        </is>
      </c>
      <c r="Q13" s="10" t="n"/>
      <c r="R13" s="10" t="n"/>
      <c r="S13" s="10" t="n"/>
      <c r="T13" s="10" t="n"/>
    </row>
    <row r="14" ht="21.75" customHeight="1">
      <c r="B14" s="10" t="n"/>
      <c r="C14" s="10" t="n"/>
      <c r="D14" s="10" t="inlineStr">
        <is>
          <t>分類コード６（未使用）</t>
        </is>
      </c>
      <c r="E14" s="10" t="n"/>
      <c r="F14" s="10" t="inlineStr">
        <is>
          <t>VARCHAR2(5)</t>
        </is>
      </c>
      <c r="G14" s="10" t="n"/>
      <c r="H14" s="10" t="n"/>
      <c r="I14" s="10" t="inlineStr">
        <is>
          <t>-</t>
        </is>
      </c>
      <c r="J14" s="10" t="inlineStr">
        <is>
          <t>-</t>
        </is>
      </c>
      <c r="K14" s="10" t="n"/>
      <c r="L14" s="10" t="inlineStr">
        <is>
          <t>-</t>
        </is>
      </c>
      <c r="M14" s="10" t="n"/>
      <c r="N14" s="10" t="n"/>
      <c r="O14" s="10" t="inlineStr">
        <is>
          <t>-</t>
        </is>
      </c>
      <c r="P14" s="10" t="inlineStr">
        <is>
          <t>未使用</t>
        </is>
      </c>
      <c r="Q14" s="10" t="n"/>
      <c r="R14" s="10" t="n"/>
      <c r="S14" s="10" t="n"/>
      <c r="T14" s="10" t="n"/>
    </row>
    <row r="15" ht="21.75" customHeight="1">
      <c r="B15" s="10" t="n"/>
      <c r="C15" s="10" t="n"/>
      <c r="D15" s="10" t="inlineStr">
        <is>
          <t>バーコード区分</t>
        </is>
      </c>
      <c r="E15" s="10" t="n"/>
      <c r="F15" s="10" t="inlineStr">
        <is>
          <t>VARCHAR2(1)</t>
        </is>
      </c>
      <c r="G15" s="10" t="n"/>
      <c r="H15" s="10" t="n"/>
      <c r="I15" s="10" t="inlineStr">
        <is>
          <t>-</t>
        </is>
      </c>
      <c r="J15" s="10" t="inlineStr">
        <is>
          <t>-</t>
        </is>
      </c>
      <c r="K15" s="10" t="n"/>
      <c r="L15" s="10" t="inlineStr">
        <is>
          <t>-</t>
        </is>
      </c>
      <c r="M15" s="10" t="n"/>
      <c r="N15" s="10" t="n"/>
      <c r="O15" s="10" t="inlineStr">
        <is>
          <t>-</t>
        </is>
      </c>
      <c r="P15" s="10" t="inlineStr">
        <is>
          <t>未使用</t>
        </is>
      </c>
      <c r="Q15" s="10" t="n"/>
      <c r="R15" s="10" t="n"/>
      <c r="S15" s="10" t="n"/>
      <c r="T15" s="10" t="n"/>
    </row>
    <row r="16" ht="21.75" customHeight="1">
      <c r="B16" s="10" t="n"/>
      <c r="C16" s="10" t="n"/>
      <c r="D16" s="10" t="inlineStr">
        <is>
          <t>商品名（カナ上段）</t>
        </is>
      </c>
      <c r="E16" s="10" t="n"/>
      <c r="F16" s="10" t="inlineStr">
        <is>
          <t>VARCHAR2(28)</t>
        </is>
      </c>
      <c r="G16" s="10" t="n"/>
      <c r="H16" s="10" t="n"/>
      <c r="I16" s="10" t="inlineStr">
        <is>
          <t>集計6
DIFPRODUCTS　マスタ3次商品マスタ
PRODUCTS　マスタ４次商品マスタ</t>
        </is>
      </c>
      <c r="J16" s="10" t="inlineStr">
        <is>
          <t>商品名称(カナ)</t>
        </is>
      </c>
      <c r="K16" s="10" t="n"/>
      <c r="L16" s="10" t="inlineStr">
        <is>
          <t>可変長</t>
        </is>
      </c>
      <c r="M16" s="10" t="n"/>
      <c r="N16" s="10" t="n"/>
      <c r="O16" s="10" t="inlineStr">
        <is>
          <t>△1</t>
        </is>
      </c>
      <c r="P16" s="10" t="inlineStr">
        <is>
          <t>上28桁</t>
        </is>
      </c>
      <c r="Q16" s="10" t="n"/>
      <c r="R16" s="10" t="n"/>
      <c r="S16" s="10" t="n"/>
      <c r="T16" s="10" t="n"/>
    </row>
    <row r="17" ht="21.75" customHeight="1">
      <c r="B17" s="10" t="n"/>
      <c r="C17" s="10" t="n"/>
      <c r="D17" s="10" t="inlineStr">
        <is>
          <t>商品名（カナ下段）</t>
        </is>
      </c>
      <c r="E17" s="10" t="n"/>
      <c r="F17" s="10" t="inlineStr">
        <is>
          <t>VARCHAR2(22)</t>
        </is>
      </c>
      <c r="G17" s="10" t="n"/>
      <c r="H17" s="10" t="n"/>
      <c r="I17" s="10" t="inlineStr">
        <is>
          <t>-</t>
        </is>
      </c>
      <c r="J17" s="10" t="inlineStr">
        <is>
          <t>-</t>
        </is>
      </c>
      <c r="K17" s="10" t="n"/>
      <c r="L17" s="10" t="inlineStr">
        <is>
          <t>-</t>
        </is>
      </c>
      <c r="M17" s="10" t="n"/>
      <c r="N17" s="10" t="n"/>
      <c r="O17" s="10" t="inlineStr">
        <is>
          <t>-</t>
        </is>
      </c>
      <c r="P17" s="10" t="inlineStr">
        <is>
          <t>未使用</t>
        </is>
      </c>
      <c r="Q17" s="10" t="n"/>
      <c r="R17" s="10" t="n"/>
      <c r="S17" s="10" t="n"/>
      <c r="T17" s="10" t="n"/>
    </row>
    <row r="18" ht="21.75" customHeight="1">
      <c r="B18" s="10" t="n"/>
      <c r="C18" s="10" t="n"/>
      <c r="D18" s="10" t="inlineStr">
        <is>
          <t>商品名（上段）</t>
        </is>
      </c>
      <c r="E18" s="10" t="n"/>
      <c r="F18" s="10" t="inlineStr">
        <is>
          <t>VARCHAR2(40)</t>
        </is>
      </c>
      <c r="G18" s="10" t="n"/>
      <c r="H18" s="10" t="n"/>
      <c r="I18" s="10" t="inlineStr">
        <is>
          <t>集計6
DIFPRODUCTS　マスタ3次商品マスタ
PRODUCTS　マスタ４次商品マスタ</t>
        </is>
      </c>
      <c r="J18" s="10" t="inlineStr">
        <is>
          <t>商品名称(漢字)</t>
        </is>
      </c>
      <c r="K18" s="10" t="n"/>
      <c r="L18" s="10" t="inlineStr">
        <is>
          <t>可変長</t>
        </is>
      </c>
      <c r="M18" s="10" t="n"/>
      <c r="N18" s="10" t="n"/>
      <c r="O18" s="10" t="inlineStr">
        <is>
          <t>△1</t>
        </is>
      </c>
      <c r="P18" s="10" t="inlineStr">
        <is>
          <t>上40桁</t>
        </is>
      </c>
      <c r="Q18" s="10" t="n"/>
      <c r="R18" s="10" t="n"/>
      <c r="S18" s="10" t="n"/>
      <c r="T18" s="10" t="n"/>
    </row>
    <row r="19" ht="21.75" customHeight="1">
      <c r="B19" s="10" t="n"/>
      <c r="C19" s="10" t="n"/>
      <c r="D19" s="10" t="inlineStr">
        <is>
          <t>商品名（下段）</t>
        </is>
      </c>
      <c r="E19" s="10" t="n"/>
      <c r="F19" s="10" t="inlineStr">
        <is>
          <t>VARCHAR2(22)</t>
        </is>
      </c>
      <c r="G19" s="10" t="n"/>
      <c r="H19" s="10" t="n"/>
      <c r="I19" s="10" t="inlineStr">
        <is>
          <t>-</t>
        </is>
      </c>
      <c r="J19" s="10" t="inlineStr">
        <is>
          <t>-</t>
        </is>
      </c>
      <c r="K19" s="10" t="n"/>
      <c r="L19" s="10" t="inlineStr">
        <is>
          <t>-</t>
        </is>
      </c>
      <c r="M19" s="10" t="n"/>
      <c r="N19" s="10" t="n"/>
      <c r="O19" s="10" t="inlineStr">
        <is>
          <t>-</t>
        </is>
      </c>
      <c r="P19" s="10" t="inlineStr">
        <is>
          <t>未使用</t>
        </is>
      </c>
      <c r="Q19" s="10" t="n"/>
      <c r="R19" s="10" t="n"/>
      <c r="S19" s="10" t="n"/>
      <c r="T19" s="10" t="n"/>
    </row>
    <row r="20" ht="21.75" customHeight="1">
      <c r="B20" s="10" t="n"/>
      <c r="C20" s="10" t="n"/>
      <c r="D20" s="10" t="inlineStr">
        <is>
          <t>レシート名（カナ）</t>
        </is>
      </c>
      <c r="E20" s="10" t="n"/>
      <c r="F20" s="10" t="inlineStr">
        <is>
          <t>VARCHAR2(28)</t>
        </is>
      </c>
      <c r="G20" s="10" t="n"/>
      <c r="H20" s="10" t="n"/>
      <c r="I20" s="10" t="inlineStr">
        <is>
          <t>-</t>
        </is>
      </c>
      <c r="J20" s="10" t="inlineStr">
        <is>
          <t>-</t>
        </is>
      </c>
      <c r="K20" s="10" t="n"/>
      <c r="L20" s="10" t="inlineStr">
        <is>
          <t>-</t>
        </is>
      </c>
      <c r="M20" s="10" t="n"/>
      <c r="N20" s="10" t="n"/>
      <c r="O20" s="10" t="inlineStr">
        <is>
          <t>-</t>
        </is>
      </c>
      <c r="P20" s="10" t="inlineStr">
        <is>
          <t>未使用</t>
        </is>
      </c>
      <c r="Q20" s="10" t="n"/>
      <c r="R20" s="10" t="n"/>
      <c r="S20" s="10" t="n"/>
      <c r="T20" s="10" t="n"/>
    </row>
    <row r="21" ht="21.75" customHeight="1">
      <c r="B21" s="10" t="n"/>
      <c r="C21" s="10" t="n"/>
      <c r="D21" s="10" t="inlineStr">
        <is>
          <t>レシート名</t>
        </is>
      </c>
      <c r="E21" s="10" t="n"/>
      <c r="F21" s="10" t="inlineStr">
        <is>
          <t>VARCHAR2(28)</t>
        </is>
      </c>
      <c r="G21" s="10" t="n"/>
      <c r="H21" s="10" t="n"/>
      <c r="I21" s="10" t="inlineStr">
        <is>
          <t>-</t>
        </is>
      </c>
      <c r="J21" s="10" t="inlineStr">
        <is>
          <t>-</t>
        </is>
      </c>
      <c r="K21" s="10" t="n"/>
      <c r="L21" s="10" t="inlineStr">
        <is>
          <t>-</t>
        </is>
      </c>
      <c r="M21" s="10" t="n"/>
      <c r="N21" s="10" t="n"/>
      <c r="O21" s="10" t="inlineStr">
        <is>
          <t>-</t>
        </is>
      </c>
      <c r="P21" s="10" t="inlineStr">
        <is>
          <t>未使用</t>
        </is>
      </c>
      <c r="Q21" s="10" t="n"/>
      <c r="R21" s="10" t="n"/>
      <c r="S21" s="10" t="n"/>
      <c r="T21" s="10" t="n"/>
    </row>
    <row r="22" ht="21.75" customHeight="1">
      <c r="B22" s="10" t="n"/>
      <c r="C22" s="10" t="n"/>
      <c r="D22" s="10" t="inlineStr">
        <is>
          <t>規格（カナ）</t>
        </is>
      </c>
      <c r="E22" s="10" t="n"/>
      <c r="F22" s="10" t="inlineStr">
        <is>
          <t>VARCHAR2(16)</t>
        </is>
      </c>
      <c r="G22" s="10" t="n"/>
      <c r="H22" s="10" t="n"/>
      <c r="I22" s="10" t="inlineStr">
        <is>
          <t>集計6
DIFPRODUCTS　マスタ3次商品マスタ
PRODUCTS　マスタ４次商品マスタ</t>
        </is>
      </c>
      <c r="J22" s="10" t="inlineStr">
        <is>
          <t>規格名称(カナ)</t>
        </is>
      </c>
      <c r="K22" s="10" t="n"/>
      <c r="L22" s="10" t="inlineStr">
        <is>
          <t>可変長</t>
        </is>
      </c>
      <c r="M22" s="10" t="n"/>
      <c r="N22" s="10" t="n"/>
      <c r="O22" s="10" t="inlineStr">
        <is>
          <t>△1</t>
        </is>
      </c>
      <c r="P22" s="10" t="inlineStr">
        <is>
          <t>上16桁</t>
        </is>
      </c>
      <c r="Q22" s="10" t="n"/>
      <c r="R22" s="10" t="n"/>
      <c r="S22" s="10" t="n"/>
      <c r="T22" s="10" t="n"/>
    </row>
    <row r="23" ht="21.75" customHeight="1">
      <c r="B23" s="10" t="n"/>
      <c r="C23" s="10" t="n"/>
      <c r="D23" s="10" t="inlineStr">
        <is>
          <t>規格</t>
        </is>
      </c>
      <c r="E23" s="10" t="n"/>
      <c r="F23" s="10" t="inlineStr">
        <is>
          <t>VARCHAR2(16)</t>
        </is>
      </c>
      <c r="G23" s="10" t="n"/>
      <c r="H23" s="10" t="n"/>
      <c r="I23" s="10" t="inlineStr">
        <is>
          <t>-</t>
        </is>
      </c>
      <c r="J23" s="10" t="inlineStr">
        <is>
          <t>-</t>
        </is>
      </c>
      <c r="K23" s="10" t="n"/>
      <c r="L23" s="10" t="inlineStr">
        <is>
          <t>-</t>
        </is>
      </c>
      <c r="M23" s="10" t="n"/>
      <c r="N23" s="10" t="n"/>
      <c r="O23" s="10" t="inlineStr">
        <is>
          <t>-</t>
        </is>
      </c>
      <c r="P23" s="10" t="inlineStr">
        <is>
          <t>未使用</t>
        </is>
      </c>
      <c r="Q23" s="10" t="n"/>
      <c r="R23" s="10" t="n"/>
      <c r="S23" s="10" t="n"/>
      <c r="T23" s="10" t="n"/>
    </row>
    <row r="24" ht="21.75" customHeight="1">
      <c r="B24" s="10" t="n"/>
      <c r="C24" s="10" t="n"/>
      <c r="D24" s="10" t="inlineStr">
        <is>
          <t>ケース入数</t>
        </is>
      </c>
      <c r="E24" s="10" t="n"/>
      <c r="F24" s="10" t="inlineStr">
        <is>
          <t>NUMBER(4, 0)</t>
        </is>
      </c>
      <c r="G24" s="10" t="n"/>
      <c r="H24" s="10" t="n"/>
      <c r="I24" s="10" t="inlineStr">
        <is>
          <t>バンドルマスタ</t>
        </is>
      </c>
      <c r="J24" s="10" t="inlineStr">
        <is>
          <t>-</t>
        </is>
      </c>
      <c r="K24" s="10" t="n"/>
      <c r="L24" s="10" t="inlineStr">
        <is>
          <t>-</t>
        </is>
      </c>
      <c r="M24" s="10" t="n"/>
      <c r="N24" s="10" t="n"/>
      <c r="O24" s="10" t="inlineStr">
        <is>
          <t>?</t>
        </is>
      </c>
      <c r="P24" s="10" t="inlineStr">
        <is>
          <t>日々の発注・受領や仕入計算においては、主に店別商品マスタ側の「ベンダーパック入数」などが優先採用されるため、基本マスタ側はマスター参照値として保持される。</t>
        </is>
      </c>
      <c r="Q24" s="10" t="n"/>
      <c r="R24" s="10" t="n"/>
      <c r="S24" s="10" t="n"/>
      <c r="T24" s="10" t="inlineStr">
        <is>
          <t>商談システム上のバンドル登録に機能があり、ケース入数・ボール入数はある
（ボール入数は登録の仕方が違う）
ケースJANに対して単品JANを紐づけて個数を紐づけ。
ボールJANに対する単品JANを紐づけ個数を紐づけ</t>
        </is>
      </c>
    </row>
    <row r="25" ht="21.75" customHeight="1">
      <c r="B25" s="10" t="n"/>
      <c r="C25" s="10" t="n"/>
      <c r="D25" s="10" t="inlineStr">
        <is>
          <t>ボール入数</t>
        </is>
      </c>
      <c r="E25" s="10" t="n"/>
      <c r="F25" s="10" t="inlineStr">
        <is>
          <t>NUMBER(4, 0)</t>
        </is>
      </c>
      <c r="G25" s="10" t="n"/>
      <c r="H25" s="10" t="n"/>
      <c r="I25" s="10" t="inlineStr">
        <is>
          <t>バンドルマスタ</t>
        </is>
      </c>
      <c r="J25" s="10" t="inlineStr">
        <is>
          <t>-</t>
        </is>
      </c>
      <c r="K25" s="10" t="n"/>
      <c r="L25" s="10" t="inlineStr">
        <is>
          <t>-</t>
        </is>
      </c>
      <c r="M25" s="10" t="n"/>
      <c r="N25" s="10" t="n"/>
      <c r="O25" s="10" t="inlineStr">
        <is>
          <t>?</t>
        </is>
      </c>
      <c r="P25" s="10" t="inlineStr">
        <is>
          <t>日々の発注・受領や仕入計算においては、主に店別商品マスタ側の「ベンダーパック入数」などが優先採用されるため、基本マスタ側はマスター参照値として保持される。</t>
        </is>
      </c>
      <c r="Q25" s="10" t="n"/>
      <c r="R25" s="10" t="n"/>
      <c r="S25" s="10" t="n"/>
      <c r="T25" s="10" t="inlineStr">
        <is>
          <t>商品マスタ内に外箱入数、内箱入数があるが、中身はあまり登録されていない？</t>
        </is>
      </c>
    </row>
    <row r="26" ht="21.75" customHeight="1">
      <c r="B26" s="10" t="n"/>
      <c r="C26" s="10" t="n"/>
      <c r="D26" s="10" t="inlineStr">
        <is>
          <t>単位コード</t>
        </is>
      </c>
      <c r="E26" s="10" t="n"/>
      <c r="F26" s="10" t="inlineStr">
        <is>
          <t>VARCHAR2(2)</t>
        </is>
      </c>
      <c r="G26" s="10" t="n"/>
      <c r="H26" s="10" t="n"/>
      <c r="I26" s="10" t="inlineStr">
        <is>
          <t>-</t>
        </is>
      </c>
      <c r="J26" s="10" t="inlineStr">
        <is>
          <t>-</t>
        </is>
      </c>
      <c r="K26" s="10" t="n"/>
      <c r="L26" s="10" t="inlineStr">
        <is>
          <t>-</t>
        </is>
      </c>
      <c r="M26" s="10" t="n"/>
      <c r="N26" s="10" t="n"/>
      <c r="O26" s="10" t="inlineStr">
        <is>
          <t>-</t>
        </is>
      </c>
      <c r="P26" s="10" t="inlineStr">
        <is>
          <t>未使用</t>
        </is>
      </c>
      <c r="Q26" s="10" t="n"/>
      <c r="R26" s="10" t="n"/>
      <c r="S26" s="10" t="n"/>
      <c r="T26" s="10" t="n"/>
    </row>
    <row r="27" ht="21.75" customHeight="1">
      <c r="B27" s="10" t="n"/>
      <c r="C27" s="10" t="n"/>
      <c r="D27" s="10" t="inlineStr">
        <is>
          <t>発注単位コード</t>
        </is>
      </c>
      <c r="E27" s="10" t="n"/>
      <c r="F27" s="10" t="inlineStr">
        <is>
          <t>VARCHAR2(2)</t>
        </is>
      </c>
      <c r="G27" s="10" t="n"/>
      <c r="H27" s="10" t="n"/>
      <c r="I27" s="10" t="inlineStr">
        <is>
          <t>-</t>
        </is>
      </c>
      <c r="J27" s="10" t="inlineStr">
        <is>
          <t>-</t>
        </is>
      </c>
      <c r="K27" s="10" t="n"/>
      <c r="L27" s="10" t="inlineStr">
        <is>
          <t>-</t>
        </is>
      </c>
      <c r="M27" s="10" t="n"/>
      <c r="N27" s="10" t="n"/>
      <c r="O27" s="10" t="inlineStr">
        <is>
          <t>-</t>
        </is>
      </c>
      <c r="P27" s="10" t="inlineStr">
        <is>
          <t>未使用</t>
        </is>
      </c>
      <c r="Q27" s="10" t="n"/>
      <c r="R27" s="10" t="n"/>
      <c r="S27" s="10" t="n"/>
      <c r="T27" s="10" t="n"/>
    </row>
    <row r="28" ht="21.75" customHeight="1">
      <c r="B28" s="10" t="n"/>
      <c r="C28" s="10" t="n"/>
      <c r="D28" s="10" t="inlineStr">
        <is>
          <t>販売単位数</t>
        </is>
      </c>
      <c r="E28" s="10" t="n"/>
      <c r="F28" s="10" t="inlineStr">
        <is>
          <t>NUMBER(3, 0)</t>
        </is>
      </c>
      <c r="G28" s="10" t="n"/>
      <c r="H28" s="10" t="n"/>
      <c r="I28" s="10" t="inlineStr">
        <is>
          <t>-</t>
        </is>
      </c>
      <c r="J28" s="10" t="inlineStr">
        <is>
          <t>-</t>
        </is>
      </c>
      <c r="K28" s="10" t="n"/>
      <c r="L28" s="10" t="inlineStr">
        <is>
          <t>-</t>
        </is>
      </c>
      <c r="M28" s="10" t="n"/>
      <c r="N28" s="10" t="n"/>
      <c r="O28" s="10" t="inlineStr">
        <is>
          <t>-</t>
        </is>
      </c>
      <c r="P28" s="10" t="inlineStr">
        <is>
          <t>未使用</t>
        </is>
      </c>
      <c r="Q28" s="10" t="n"/>
      <c r="R28" s="10" t="n"/>
      <c r="S28" s="10" t="n"/>
      <c r="T28" s="10" t="n"/>
    </row>
    <row r="29" ht="21.75" customHeight="1">
      <c r="B29" s="10" t="n"/>
      <c r="C29" s="10" t="n"/>
      <c r="D29" s="10" t="inlineStr">
        <is>
          <t>発注点</t>
        </is>
      </c>
      <c r="E29" s="10" t="n"/>
      <c r="F29" s="10" t="inlineStr">
        <is>
          <t>NUMBER(3, 0)</t>
        </is>
      </c>
      <c r="G29" s="10" t="n"/>
      <c r="H29" s="10" t="n"/>
      <c r="I29" s="10" t="inlineStr">
        <is>
          <t>-</t>
        </is>
      </c>
      <c r="J29" s="10" t="inlineStr">
        <is>
          <t>-</t>
        </is>
      </c>
      <c r="K29" s="10" t="n"/>
      <c r="L29" s="10" t="inlineStr">
        <is>
          <t>-</t>
        </is>
      </c>
      <c r="M29" s="10" t="n"/>
      <c r="N29" s="10" t="n"/>
      <c r="O29" s="10" t="inlineStr">
        <is>
          <t>-</t>
        </is>
      </c>
      <c r="P29" s="10" t="inlineStr">
        <is>
          <t>未使用</t>
        </is>
      </c>
      <c r="Q29" s="10" t="n"/>
      <c r="R29" s="10" t="n"/>
      <c r="S29" s="10" t="n"/>
      <c r="T29" s="10" t="n"/>
    </row>
    <row r="30" ht="21.75" customHeight="1">
      <c r="B30" s="10" t="n"/>
      <c r="C30" s="10" t="n"/>
      <c r="D30" s="10" t="inlineStr">
        <is>
          <t>ユニット総量</t>
        </is>
      </c>
      <c r="E30" s="10" t="n"/>
      <c r="F30" s="10" t="inlineStr">
        <is>
          <t>NUMBER(5, 0)</t>
        </is>
      </c>
      <c r="G30" s="10" t="n"/>
      <c r="H30" s="10" t="n"/>
      <c r="I30" s="10" t="inlineStr">
        <is>
          <t>-</t>
        </is>
      </c>
      <c r="J30" s="10" t="inlineStr">
        <is>
          <t>-</t>
        </is>
      </c>
      <c r="K30" s="10" t="n"/>
      <c r="L30" s="10" t="inlineStr">
        <is>
          <t>-</t>
        </is>
      </c>
      <c r="M30" s="10" t="n"/>
      <c r="N30" s="10" t="n"/>
      <c r="O30" s="10" t="inlineStr">
        <is>
          <t>-</t>
        </is>
      </c>
      <c r="P30" s="10" t="inlineStr">
        <is>
          <t>未使用</t>
        </is>
      </c>
      <c r="Q30" s="10" t="n"/>
      <c r="R30" s="10" t="n"/>
      <c r="S30" s="10" t="n"/>
      <c r="T30" s="10" t="n"/>
    </row>
    <row r="31" ht="21.75" customHeight="1">
      <c r="B31" s="10" t="n"/>
      <c r="C31" s="10" t="n"/>
      <c r="D31" s="10" t="inlineStr">
        <is>
          <t>ユニット単位数量</t>
        </is>
      </c>
      <c r="E31" s="10" t="n"/>
      <c r="F31" s="10" t="inlineStr">
        <is>
          <t>NUMBER(3, 0)</t>
        </is>
      </c>
      <c r="G31" s="10" t="n"/>
      <c r="H31" s="10" t="n"/>
      <c r="I31" s="10" t="inlineStr">
        <is>
          <t>-</t>
        </is>
      </c>
      <c r="J31" s="10" t="inlineStr">
        <is>
          <t>-</t>
        </is>
      </c>
      <c r="K31" s="10" t="n"/>
      <c r="L31" s="10" t="inlineStr">
        <is>
          <t>-</t>
        </is>
      </c>
      <c r="M31" s="10" t="n"/>
      <c r="N31" s="10" t="n"/>
      <c r="O31" s="10" t="inlineStr">
        <is>
          <t>-</t>
        </is>
      </c>
      <c r="P31" s="10" t="inlineStr">
        <is>
          <t>未使用</t>
        </is>
      </c>
      <c r="Q31" s="10" t="n"/>
      <c r="R31" s="10" t="n"/>
      <c r="S31" s="10" t="n"/>
      <c r="T31" s="10" t="n"/>
    </row>
    <row r="32" ht="21.75" customHeight="1">
      <c r="B32" s="10" t="n"/>
      <c r="C32" s="10" t="n"/>
      <c r="D32" s="10" t="inlineStr">
        <is>
          <t>ユニット単位コード</t>
        </is>
      </c>
      <c r="E32" s="10" t="n"/>
      <c r="F32" s="10" t="inlineStr">
        <is>
          <t>VARCHAR2(2)</t>
        </is>
      </c>
      <c r="G32" s="10" t="n"/>
      <c r="H32" s="10" t="n"/>
      <c r="I32" s="10" t="inlineStr">
        <is>
          <t>-</t>
        </is>
      </c>
      <c r="J32" s="10" t="inlineStr">
        <is>
          <t>-</t>
        </is>
      </c>
      <c r="K32" s="10" t="n"/>
      <c r="L32" s="10" t="inlineStr">
        <is>
          <t>-</t>
        </is>
      </c>
      <c r="M32" s="10" t="n"/>
      <c r="N32" s="10" t="n"/>
      <c r="O32" s="10" t="inlineStr">
        <is>
          <t>-</t>
        </is>
      </c>
      <c r="P32" s="10" t="inlineStr">
        <is>
          <t>未使用</t>
        </is>
      </c>
      <c r="Q32" s="10" t="n"/>
      <c r="R32" s="10" t="n"/>
      <c r="S32" s="10" t="n"/>
      <c r="T32" s="10" t="n"/>
    </row>
    <row r="33" ht="21.75" customHeight="1">
      <c r="B33" s="10" t="n"/>
      <c r="C33" s="10" t="n"/>
      <c r="D33" s="10" t="inlineStr">
        <is>
          <t>サイズ横</t>
        </is>
      </c>
      <c r="E33" s="10" t="n"/>
      <c r="F33" s="10" t="inlineStr">
        <is>
          <t>NUMBER(5, 0)</t>
        </is>
      </c>
      <c r="G33" s="10" t="n"/>
      <c r="H33" s="10" t="n"/>
      <c r="I33" s="10" t="inlineStr">
        <is>
          <t>-</t>
        </is>
      </c>
      <c r="J33" s="10" t="inlineStr">
        <is>
          <t>-</t>
        </is>
      </c>
      <c r="K33" s="10" t="n"/>
      <c r="L33" s="10" t="inlineStr">
        <is>
          <t>-</t>
        </is>
      </c>
      <c r="M33" s="10" t="n"/>
      <c r="N33" s="10" t="n"/>
      <c r="O33" s="10" t="inlineStr">
        <is>
          <t>-</t>
        </is>
      </c>
      <c r="P33" s="10" t="inlineStr">
        <is>
          <t>未使用</t>
        </is>
      </c>
      <c r="Q33" s="10" t="n"/>
      <c r="R33" s="10" t="n"/>
      <c r="S33" s="10" t="n"/>
      <c r="T33" s="10" t="n"/>
    </row>
    <row r="34" ht="21.75" customHeight="1">
      <c r="B34" s="10" t="n"/>
      <c r="C34" s="10" t="n"/>
      <c r="D34" s="10" t="inlineStr">
        <is>
          <t>サイズ縦</t>
        </is>
      </c>
      <c r="E34" s="10" t="n"/>
      <c r="F34" s="10" t="inlineStr">
        <is>
          <t>NUMBER(5, 0)</t>
        </is>
      </c>
      <c r="G34" s="10" t="n"/>
      <c r="H34" s="10" t="n"/>
      <c r="I34" s="10" t="inlineStr">
        <is>
          <t>-</t>
        </is>
      </c>
      <c r="J34" s="10" t="inlineStr">
        <is>
          <t>-</t>
        </is>
      </c>
      <c r="K34" s="10" t="n"/>
      <c r="L34" s="10" t="inlineStr">
        <is>
          <t>-</t>
        </is>
      </c>
      <c r="M34" s="10" t="n"/>
      <c r="N34" s="10" t="n"/>
      <c r="O34" s="10" t="inlineStr">
        <is>
          <t>-</t>
        </is>
      </c>
      <c r="P34" s="10" t="inlineStr">
        <is>
          <t>未使用</t>
        </is>
      </c>
      <c r="Q34" s="10" t="n"/>
      <c r="R34" s="10" t="n"/>
      <c r="S34" s="10" t="n"/>
      <c r="T34" s="10" t="n"/>
    </row>
    <row r="35" ht="21.75" customHeight="1">
      <c r="B35" s="10" t="n"/>
      <c r="C35" s="10" t="n"/>
      <c r="D35" s="10" t="inlineStr">
        <is>
          <t>サイズ高さ</t>
        </is>
      </c>
      <c r="E35" s="10" t="n"/>
      <c r="F35" s="10" t="inlineStr">
        <is>
          <t>NUMBER(5, 0)</t>
        </is>
      </c>
      <c r="G35" s="10" t="n"/>
      <c r="H35" s="10" t="n"/>
      <c r="I35" s="10" t="inlineStr">
        <is>
          <t>-</t>
        </is>
      </c>
      <c r="J35" s="10" t="inlineStr">
        <is>
          <t>-</t>
        </is>
      </c>
      <c r="K35" s="10" t="n"/>
      <c r="L35" s="10" t="inlineStr">
        <is>
          <t>-</t>
        </is>
      </c>
      <c r="M35" s="10" t="n"/>
      <c r="N35" s="10" t="n"/>
      <c r="O35" s="10" t="inlineStr">
        <is>
          <t>-</t>
        </is>
      </c>
      <c r="P35" s="10" t="inlineStr">
        <is>
          <t>未使用</t>
        </is>
      </c>
      <c r="Q35" s="10" t="n"/>
      <c r="R35" s="10" t="n"/>
      <c r="S35" s="10" t="n"/>
      <c r="T35" s="10" t="n"/>
    </row>
    <row r="36" ht="21.75" customHeight="1">
      <c r="B36" s="10" t="n"/>
      <c r="C36" s="10" t="n"/>
      <c r="D36" s="10" t="inlineStr">
        <is>
          <t>標準小売価格</t>
        </is>
      </c>
      <c r="E36" s="10" t="n"/>
      <c r="F36" s="10" t="inlineStr">
        <is>
          <t>NUMBER(8, 0)</t>
        </is>
      </c>
      <c r="G36" s="10" t="n"/>
      <c r="H36" s="10" t="n"/>
      <c r="I36" s="10" t="inlineStr">
        <is>
          <t>-</t>
        </is>
      </c>
      <c r="J36" s="10" t="inlineStr">
        <is>
          <t>-</t>
        </is>
      </c>
      <c r="K36" s="10" t="n"/>
      <c r="L36" s="10" t="inlineStr">
        <is>
          <t>-</t>
        </is>
      </c>
      <c r="M36" s="10" t="n"/>
      <c r="N36" s="10" t="n"/>
      <c r="O36" s="10" t="inlineStr">
        <is>
          <t>-</t>
        </is>
      </c>
      <c r="P36" s="10" t="inlineStr">
        <is>
          <t>未使用</t>
        </is>
      </c>
      <c r="Q36" s="10" t="n"/>
      <c r="R36" s="10" t="n"/>
      <c r="S36" s="10" t="n"/>
      <c r="T36" s="10" t="n"/>
    </row>
    <row r="37" ht="21.75" customHeight="1">
      <c r="B37" s="10" t="n"/>
      <c r="C37" s="10" t="n"/>
      <c r="D37" s="10" t="inlineStr">
        <is>
          <t>課税区分</t>
        </is>
      </c>
      <c r="E37" s="10" t="n"/>
      <c r="F37" s="10" t="inlineStr">
        <is>
          <t>VARCHAR2(2)</t>
        </is>
      </c>
      <c r="G37" s="10" t="n"/>
      <c r="H37" s="10" t="n"/>
      <c r="I37" s="10" t="inlineStr">
        <is>
          <t>-</t>
        </is>
      </c>
      <c r="J37" s="10" t="inlineStr">
        <is>
          <t>-</t>
        </is>
      </c>
      <c r="K37" s="10" t="n"/>
      <c r="L37" s="10" t="inlineStr">
        <is>
          <t>-</t>
        </is>
      </c>
      <c r="M37" s="10" t="n"/>
      <c r="N37" s="10" t="n"/>
      <c r="O37" s="10" t="inlineStr">
        <is>
          <t>-</t>
        </is>
      </c>
      <c r="P37" s="10" t="inlineStr">
        <is>
          <t>未使用</t>
        </is>
      </c>
      <c r="Q37" s="10" t="n"/>
      <c r="R37" s="10" t="n"/>
      <c r="S37" s="10" t="n"/>
      <c r="T37" s="10" t="n"/>
    </row>
    <row r="38" ht="21.75" customHeight="1">
      <c r="B38" s="10" t="n"/>
      <c r="C38" s="10" t="n"/>
      <c r="D38" s="10" t="inlineStr">
        <is>
          <t>税率区分</t>
        </is>
      </c>
      <c r="E38" s="10" t="n"/>
      <c r="F38" s="10" t="inlineStr">
        <is>
          <t>VARCHAR2(2)</t>
        </is>
      </c>
      <c r="G38" s="10" t="n"/>
      <c r="H38" s="10" t="n"/>
      <c r="I38" s="10" t="inlineStr">
        <is>
          <t>集計6
DIFPRODUCTS　マスタ3次商品マスタ
PRODUCTS　マスタ４次商品マスタ</t>
        </is>
      </c>
      <c r="J38" s="10" t="inlineStr">
        <is>
          <t>税率コード</t>
        </is>
      </c>
      <c r="K38" s="10" t="n"/>
      <c r="L38" s="10" t="inlineStr">
        <is>
          <t>固定長1</t>
        </is>
      </c>
      <c r="M38" s="10" t="n"/>
      <c r="N38" s="10" t="n"/>
      <c r="O38" s="10" t="inlineStr">
        <is>
          <t>△2</t>
        </is>
      </c>
      <c r="P38" s="10" t="inlineStr">
        <is>
          <t>★シート「税率」の項目が取得もとでよさそうで、集計サーバでマッピングをしていないか要確認</t>
        </is>
      </c>
      <c r="Q38" s="10" t="n"/>
      <c r="R38" s="10" t="n"/>
      <c r="S38" s="10" t="n"/>
      <c r="T38" s="10" t="inlineStr">
        <is>
          <t>商談登録では画面上必須入力ではない。
分類単位で税率を設定していて、基幹システム連携時に商品単位にして税率を連携しているよう
■CoreSaverの税率設定
税区分
1:非課税
2:外税　※あまりない
3:内税　※基本はこれ
税率
1:8%
2:5%
3:10%</t>
        </is>
      </c>
    </row>
    <row r="39" ht="21.75" customHeight="1">
      <c r="B39" s="10" t="n"/>
      <c r="C39" s="10" t="n"/>
      <c r="D39" s="10" t="inlineStr">
        <is>
          <t>税率</t>
        </is>
      </c>
      <c r="E39" s="10" t="n"/>
      <c r="F39" s="10" t="inlineStr">
        <is>
          <t>NUMBER(5, 2)</t>
        </is>
      </c>
      <c r="G39" s="10" t="n"/>
      <c r="H39" s="10" t="n"/>
      <c r="I39" s="10" t="inlineStr">
        <is>
          <t>集計6
DIFPRODUCTS　マスタ3次商品マスタ
PRODUCTS　マスタ４次商品マスタ</t>
        </is>
      </c>
      <c r="J39" s="10" t="inlineStr">
        <is>
          <t>税率コード</t>
        </is>
      </c>
      <c r="K39" s="10" t="n"/>
      <c r="L39" s="10" t="inlineStr">
        <is>
          <t>固定長1</t>
        </is>
      </c>
      <c r="M39" s="10" t="n"/>
      <c r="N39" s="10" t="n"/>
      <c r="O39" s="10" t="inlineStr">
        <is>
          <t>△2</t>
        </is>
      </c>
      <c r="P39" s="10" t="n"/>
      <c r="Q39" s="10" t="n"/>
      <c r="R39" s="10" t="n"/>
      <c r="S39" s="10" t="n"/>
      <c r="T39" s="10" t="n"/>
    </row>
    <row r="40" ht="21.75" customHeight="1">
      <c r="B40" s="10" t="n"/>
      <c r="C40" s="10" t="n"/>
      <c r="D40" s="10" t="inlineStr">
        <is>
          <t>包材区分</t>
        </is>
      </c>
      <c r="E40" s="10" t="n"/>
      <c r="F40" s="10" t="inlineStr">
        <is>
          <t>VARCHAR2(1)</t>
        </is>
      </c>
      <c r="G40" s="10" t="n"/>
      <c r="H40" s="10" t="n"/>
      <c r="I40" s="10" t="inlineStr">
        <is>
          <t>-</t>
        </is>
      </c>
      <c r="J40" s="10" t="inlineStr">
        <is>
          <t>-</t>
        </is>
      </c>
      <c r="K40" s="10" t="n"/>
      <c r="L40" s="10" t="inlineStr">
        <is>
          <t>-</t>
        </is>
      </c>
      <c r="M40" s="10" t="n"/>
      <c r="N40" s="10" t="n"/>
      <c r="O40" s="10" t="inlineStr">
        <is>
          <t>-</t>
        </is>
      </c>
      <c r="P40" s="10" t="inlineStr">
        <is>
          <t>未使用</t>
        </is>
      </c>
      <c r="Q40" s="10" t="n"/>
      <c r="R40" s="10" t="n"/>
      <c r="S40" s="10" t="n"/>
      <c r="T40" s="10" t="n"/>
    </row>
    <row r="41" ht="21.75" customHeight="1">
      <c r="B41" s="10" t="n"/>
      <c r="C41" s="10" t="n"/>
      <c r="D41" s="10" t="inlineStr">
        <is>
          <t>メーカコード</t>
        </is>
      </c>
      <c r="E41" s="10" t="n"/>
      <c r="F41" s="10" t="inlineStr">
        <is>
          <t>VARCHAR2(6)</t>
        </is>
      </c>
      <c r="G41" s="10" t="n"/>
      <c r="H41" s="10" t="n"/>
      <c r="I41" s="10" t="inlineStr">
        <is>
          <t>-</t>
        </is>
      </c>
      <c r="J41" s="10" t="inlineStr">
        <is>
          <t>-</t>
        </is>
      </c>
      <c r="K41" s="10" t="n"/>
      <c r="L41" s="10" t="inlineStr">
        <is>
          <t>-</t>
        </is>
      </c>
      <c r="M41" s="10" t="n"/>
      <c r="N41" s="10" t="n"/>
      <c r="O41" s="10" t="inlineStr">
        <is>
          <t>-</t>
        </is>
      </c>
      <c r="P41" s="10" t="inlineStr">
        <is>
          <t>未使用</t>
        </is>
      </c>
      <c r="Q41" s="10" t="n"/>
      <c r="R41" s="10" t="n"/>
      <c r="S41" s="10" t="n"/>
      <c r="T41" s="10" t="n"/>
    </row>
    <row r="42" ht="21.75" customHeight="1">
      <c r="B42" s="10" t="n"/>
      <c r="C42" s="10" t="n"/>
      <c r="D42" s="10" t="inlineStr">
        <is>
          <t>ＣＧＣ単位コード名</t>
        </is>
      </c>
      <c r="E42" s="10" t="n"/>
      <c r="F42" s="10" t="inlineStr">
        <is>
          <t>VARCHAR2(6)</t>
        </is>
      </c>
      <c r="G42" s="10" t="n"/>
      <c r="H42" s="10" t="n"/>
      <c r="I42" s="10" t="inlineStr">
        <is>
          <t>-</t>
        </is>
      </c>
      <c r="J42" s="10" t="inlineStr">
        <is>
          <t>-</t>
        </is>
      </c>
      <c r="K42" s="10" t="n"/>
      <c r="L42" s="10" t="inlineStr">
        <is>
          <t>-</t>
        </is>
      </c>
      <c r="M42" s="10" t="n"/>
      <c r="N42" s="10" t="n"/>
      <c r="O42" s="10" t="inlineStr">
        <is>
          <t>-</t>
        </is>
      </c>
      <c r="P42" s="10" t="inlineStr">
        <is>
          <t>未使用</t>
        </is>
      </c>
      <c r="Q42" s="10" t="n"/>
      <c r="R42" s="10" t="n"/>
      <c r="S42" s="10" t="n"/>
      <c r="T42" s="10" t="n"/>
    </row>
    <row r="43" ht="21.75" customHeight="1">
      <c r="B43" s="10" t="n"/>
      <c r="C43" s="10" t="n"/>
      <c r="D43" s="10" t="inlineStr">
        <is>
          <t>消費税区分名</t>
        </is>
      </c>
      <c r="E43" s="10" t="n"/>
      <c r="F43" s="10" t="inlineStr">
        <is>
          <t>VARCHAR2(6)</t>
        </is>
      </c>
      <c r="G43" s="10" t="n"/>
      <c r="H43" s="10" t="n"/>
      <c r="I43" s="10" t="inlineStr">
        <is>
          <t>-</t>
        </is>
      </c>
      <c r="J43" s="10" t="inlineStr">
        <is>
          <t>-</t>
        </is>
      </c>
      <c r="K43" s="10" t="n"/>
      <c r="L43" s="10" t="inlineStr">
        <is>
          <t>-</t>
        </is>
      </c>
      <c r="M43" s="10" t="n"/>
      <c r="N43" s="10" t="n"/>
      <c r="O43" s="10" t="inlineStr">
        <is>
          <t>-</t>
        </is>
      </c>
      <c r="P43" s="10" t="inlineStr">
        <is>
          <t>未使用</t>
        </is>
      </c>
      <c r="Q43" s="10" t="n"/>
      <c r="R43" s="10" t="n"/>
      <c r="S43" s="10" t="n"/>
      <c r="T43" s="10" t="n"/>
    </row>
    <row r="44" ht="21.75" customHeight="1">
      <c r="B44" s="10" t="n"/>
      <c r="C44" s="10" t="n"/>
      <c r="D44" s="10" t="inlineStr">
        <is>
          <t>ＣＧＣ分類デプトコード</t>
        </is>
      </c>
      <c r="E44" s="10" t="n"/>
      <c r="F44" s="10" t="inlineStr">
        <is>
          <t>VARCHAR2(3)</t>
        </is>
      </c>
      <c r="G44" s="10" t="n"/>
      <c r="H44" s="10" t="n"/>
      <c r="I44" s="10" t="inlineStr">
        <is>
          <t>-</t>
        </is>
      </c>
      <c r="J44" s="10" t="inlineStr">
        <is>
          <t>-</t>
        </is>
      </c>
      <c r="K44" s="10" t="n"/>
      <c r="L44" s="10" t="inlineStr">
        <is>
          <t>-</t>
        </is>
      </c>
      <c r="M44" s="10" t="n"/>
      <c r="N44" s="10" t="n"/>
      <c r="O44" s="10" t="inlineStr">
        <is>
          <t>-</t>
        </is>
      </c>
      <c r="P44" s="10" t="inlineStr">
        <is>
          <t>未使用</t>
        </is>
      </c>
      <c r="Q44" s="10" t="n"/>
      <c r="R44" s="10" t="n"/>
      <c r="S44" s="10" t="n"/>
      <c r="T44" s="10" t="n"/>
    </row>
    <row r="45" ht="21.75" customHeight="1">
      <c r="B45" s="10" t="n"/>
      <c r="C45" s="10" t="n"/>
      <c r="D45" s="10" t="inlineStr">
        <is>
          <t>ＣＧＣ分類デプト名</t>
        </is>
      </c>
      <c r="E45" s="10" t="n"/>
      <c r="F45" s="10" t="inlineStr">
        <is>
          <t>VARCHAR2(24)</t>
        </is>
      </c>
      <c r="G45" s="10" t="n"/>
      <c r="H45" s="10" t="n"/>
      <c r="I45" s="10" t="inlineStr">
        <is>
          <t>-</t>
        </is>
      </c>
      <c r="J45" s="10" t="inlineStr">
        <is>
          <t>-</t>
        </is>
      </c>
      <c r="K45" s="10" t="n"/>
      <c r="L45" s="10" t="inlineStr">
        <is>
          <t>-</t>
        </is>
      </c>
      <c r="M45" s="10" t="n"/>
      <c r="N45" s="10" t="n"/>
      <c r="O45" s="10" t="inlineStr">
        <is>
          <t>-</t>
        </is>
      </c>
      <c r="P45" s="10" t="inlineStr">
        <is>
          <t>未使用</t>
        </is>
      </c>
      <c r="Q45" s="10" t="n"/>
      <c r="R45" s="10" t="n"/>
      <c r="S45" s="10" t="n"/>
      <c r="T45" s="10" t="n"/>
    </row>
    <row r="46" ht="21.75" customHeight="1">
      <c r="B46" s="10" t="n"/>
      <c r="C46" s="10" t="n"/>
      <c r="D46" s="10" t="inlineStr">
        <is>
          <t>ＣＧＣ分類ラインコード</t>
        </is>
      </c>
      <c r="E46" s="10" t="n"/>
      <c r="F46" s="10" t="inlineStr">
        <is>
          <t>VARCHAR2(3)</t>
        </is>
      </c>
      <c r="G46" s="10" t="n"/>
      <c r="H46" s="10" t="n"/>
      <c r="I46" s="10" t="inlineStr">
        <is>
          <t>-</t>
        </is>
      </c>
      <c r="J46" s="10" t="inlineStr">
        <is>
          <t>-</t>
        </is>
      </c>
      <c r="K46" s="10" t="n"/>
      <c r="L46" s="10" t="inlineStr">
        <is>
          <t>-</t>
        </is>
      </c>
      <c r="M46" s="10" t="n"/>
      <c r="N46" s="10" t="n"/>
      <c r="O46" s="10" t="inlineStr">
        <is>
          <t>-</t>
        </is>
      </c>
      <c r="P46" s="10" t="inlineStr">
        <is>
          <t>未使用</t>
        </is>
      </c>
      <c r="Q46" s="10" t="n"/>
      <c r="R46" s="10" t="n"/>
      <c r="S46" s="10" t="n"/>
      <c r="T46" s="10" t="n"/>
    </row>
    <row r="47" ht="21.75" customHeight="1">
      <c r="B47" s="10" t="n"/>
      <c r="C47" s="10" t="n"/>
      <c r="D47" s="10" t="inlineStr">
        <is>
          <t>ＣＧＣ分類ライン名</t>
        </is>
      </c>
      <c r="E47" s="10" t="n"/>
      <c r="F47" s="10" t="inlineStr">
        <is>
          <t>VARCHAR2(24)</t>
        </is>
      </c>
      <c r="G47" s="10" t="n"/>
      <c r="H47" s="10" t="n"/>
      <c r="I47" s="10" t="inlineStr">
        <is>
          <t>-</t>
        </is>
      </c>
      <c r="J47" s="10" t="inlineStr">
        <is>
          <t>-</t>
        </is>
      </c>
      <c r="K47" s="10" t="n"/>
      <c r="L47" s="10" t="inlineStr">
        <is>
          <t>-</t>
        </is>
      </c>
      <c r="M47" s="10" t="n"/>
      <c r="N47" s="10" t="n"/>
      <c r="O47" s="10" t="inlineStr">
        <is>
          <t>-</t>
        </is>
      </c>
      <c r="P47" s="10" t="inlineStr">
        <is>
          <t>未使用</t>
        </is>
      </c>
      <c r="Q47" s="10" t="n"/>
      <c r="R47" s="10" t="n"/>
      <c r="S47" s="10" t="n"/>
      <c r="T47" s="10" t="n"/>
    </row>
    <row r="48" ht="21.75" customHeight="1">
      <c r="B48" s="10" t="n"/>
      <c r="C48" s="10" t="n"/>
      <c r="D48" s="10" t="inlineStr">
        <is>
          <t>ＣＧＣ分類クラスコード</t>
        </is>
      </c>
      <c r="E48" s="10" t="n"/>
      <c r="F48" s="10" t="inlineStr">
        <is>
          <t>VARCHAR2(4)</t>
        </is>
      </c>
      <c r="G48" s="10" t="n"/>
      <c r="H48" s="10" t="n"/>
      <c r="I48" s="10" t="inlineStr">
        <is>
          <t>-</t>
        </is>
      </c>
      <c r="J48" s="10" t="inlineStr">
        <is>
          <t>-</t>
        </is>
      </c>
      <c r="K48" s="10" t="n"/>
      <c r="L48" s="10" t="inlineStr">
        <is>
          <t>-</t>
        </is>
      </c>
      <c r="M48" s="10" t="n"/>
      <c r="N48" s="10" t="n"/>
      <c r="O48" s="10" t="inlineStr">
        <is>
          <t>-</t>
        </is>
      </c>
      <c r="P48" s="10" t="inlineStr">
        <is>
          <t>未使用</t>
        </is>
      </c>
      <c r="Q48" s="10" t="n"/>
      <c r="R48" s="10" t="n"/>
      <c r="S48" s="10" t="n"/>
      <c r="T48" s="10" t="n"/>
    </row>
    <row r="49">
      <c r="B49" s="10" t="n"/>
      <c r="C49" s="10" t="n"/>
      <c r="D49" s="10" t="inlineStr">
        <is>
          <t>ＣＧＣ分類クラス名</t>
        </is>
      </c>
      <c r="E49" s="10" t="n"/>
      <c r="F49" s="10" t="inlineStr">
        <is>
          <t>VARCHAR2(24)</t>
        </is>
      </c>
      <c r="G49" s="10" t="n"/>
      <c r="H49" s="10" t="n"/>
      <c r="I49" s="10" t="inlineStr">
        <is>
          <t>-</t>
        </is>
      </c>
      <c r="J49" s="10" t="inlineStr">
        <is>
          <t>-</t>
        </is>
      </c>
      <c r="K49" s="10" t="n"/>
      <c r="L49" s="10" t="inlineStr">
        <is>
          <t>-</t>
        </is>
      </c>
      <c r="M49" s="10" t="n"/>
      <c r="N49" s="10" t="n"/>
      <c r="O49" s="10" t="inlineStr">
        <is>
          <t>-</t>
        </is>
      </c>
      <c r="P49" s="10" t="inlineStr">
        <is>
          <t>未使用</t>
        </is>
      </c>
      <c r="Q49" s="10" t="n"/>
      <c r="R49" s="10" t="n"/>
      <c r="S49" s="10" t="n"/>
      <c r="T49" s="10" t="n"/>
    </row>
    <row r="50" ht="21.75" customHeight="1">
      <c r="D50" t="inlineStr">
        <is>
          <t>ＣＧＣＪＩＣＦＳ分類コード</t>
        </is>
      </c>
      <c r="F50" t="inlineStr">
        <is>
          <t>VARCHAR2(6)</t>
        </is>
      </c>
      <c r="I50" t="inlineStr">
        <is>
          <t>-</t>
        </is>
      </c>
      <c r="J50" t="inlineStr">
        <is>
          <t>-</t>
        </is>
      </c>
      <c r="L50" t="inlineStr">
        <is>
          <t>-</t>
        </is>
      </c>
      <c r="O50" t="inlineStr">
        <is>
          <t>-</t>
        </is>
      </c>
      <c r="P50" t="inlineStr">
        <is>
          <t>未使用</t>
        </is>
      </c>
    </row>
    <row r="51" ht="30" customHeight="1">
      <c r="B51" s="3" t="inlineStr">
        <is>
          <t>■ 集計（自動計算）</t>
        </is>
      </c>
      <c r="C51" s="4" t="n"/>
      <c r="D51" s="4" t="inlineStr">
        <is>
          <t>ＰＢ商品区分</t>
        </is>
      </c>
      <c r="E51" s="4" t="n"/>
      <c r="F51" s="4" t="inlineStr">
        <is>
          <t>VARCHAR2(1)</t>
        </is>
      </c>
      <c r="G51" s="4" t="n"/>
      <c r="I51" t="inlineStr">
        <is>
          <t>-</t>
        </is>
      </c>
      <c r="J51" t="inlineStr">
        <is>
          <t>-</t>
        </is>
      </c>
      <c r="L51" t="inlineStr">
        <is>
          <t>-</t>
        </is>
      </c>
      <c r="O51" t="inlineStr">
        <is>
          <t>-</t>
        </is>
      </c>
      <c r="P51" t="inlineStr">
        <is>
          <t>未使用</t>
        </is>
      </c>
    </row>
    <row r="52">
      <c r="B52" s="7" t="inlineStr">
        <is>
          <t>項目数</t>
        </is>
      </c>
      <c r="C52" s="7" t="inlineStr">
        <is>
          <t>直連携</t>
        </is>
      </c>
      <c r="D52" s="7" t="inlineStr">
        <is>
          <t>売価送信区分</t>
        </is>
      </c>
      <c r="E52" s="7" t="inlineStr">
        <is>
          <t>固定値・編集</t>
        </is>
      </c>
      <c r="F52" s="7" t="inlineStr">
        <is>
          <t>VARCHAR2(1)</t>
        </is>
      </c>
      <c r="G52" s="12" t="inlineStr">
        <is>
          <t>TBD</t>
        </is>
      </c>
      <c r="I52" t="inlineStr">
        <is>
          <t>-</t>
        </is>
      </c>
      <c r="J52" t="inlineStr">
        <is>
          <t>-</t>
        </is>
      </c>
      <c r="L52" t="inlineStr">
        <is>
          <t>-</t>
        </is>
      </c>
      <c r="O52" t="inlineStr">
        <is>
          <t>-</t>
        </is>
      </c>
      <c r="P52" t="inlineStr">
        <is>
          <t>未使用</t>
        </is>
      </c>
    </row>
    <row r="53">
      <c r="B53" s="13">
        <f>COUNTA(C9:C48)</f>
        <v/>
      </c>
      <c r="C53" s="13">
        <f>COUNTIF(O9:O48,"直連携")</f>
        <v/>
      </c>
      <c r="D53" s="13" t="inlineStr">
        <is>
          <t>商品区分</t>
        </is>
      </c>
      <c r="E53" s="13">
        <f>COUNTIF(O9:O48,"固定値")+COUNTIF(O9:O48,"編集")</f>
        <v/>
      </c>
      <c r="F53" s="13" t="inlineStr">
        <is>
          <t>VARCHAR2(1)</t>
        </is>
      </c>
      <c r="G53" s="13">
        <f>COUNTIF(O9:O48,"TBD")</f>
        <v/>
      </c>
      <c r="I53" t="inlineStr">
        <is>
          <t>-</t>
        </is>
      </c>
      <c r="J53" t="inlineStr">
        <is>
          <t>-</t>
        </is>
      </c>
      <c r="L53" t="inlineStr">
        <is>
          <t>-</t>
        </is>
      </c>
      <c r="O53" t="inlineStr">
        <is>
          <t>-</t>
        </is>
      </c>
      <c r="P53" t="inlineStr">
        <is>
          <t>未使用</t>
        </is>
      </c>
    </row>
    <row r="54">
      <c r="D54" t="inlineStr">
        <is>
          <t>廃番日</t>
        </is>
      </c>
      <c r="F54" t="inlineStr">
        <is>
          <t>VARCHAR2(8)</t>
        </is>
      </c>
      <c r="I54" t="inlineStr">
        <is>
          <t>-</t>
        </is>
      </c>
      <c r="J54" t="inlineStr">
        <is>
          <t>-</t>
        </is>
      </c>
      <c r="L54" t="inlineStr">
        <is>
          <t>-</t>
        </is>
      </c>
      <c r="O54" t="inlineStr">
        <is>
          <t>-</t>
        </is>
      </c>
      <c r="P54" t="inlineStr">
        <is>
          <t>未使用</t>
        </is>
      </c>
    </row>
    <row r="55">
      <c r="B55" s="2" t="n"/>
      <c r="D55" t="inlineStr">
        <is>
          <t>酒類区分１</t>
        </is>
      </c>
      <c r="F55" t="inlineStr">
        <is>
          <t>VARCHAR2(2)</t>
        </is>
      </c>
      <c r="I55" t="inlineStr">
        <is>
          <t>-</t>
        </is>
      </c>
      <c r="J55" t="inlineStr">
        <is>
          <t>-</t>
        </is>
      </c>
      <c r="L55" t="inlineStr">
        <is>
          <t>-</t>
        </is>
      </c>
      <c r="O55" t="inlineStr">
        <is>
          <t>-</t>
        </is>
      </c>
      <c r="P55" t="inlineStr">
        <is>
          <t>未使用</t>
        </is>
      </c>
    </row>
    <row r="56">
      <c r="B56" s="2" t="n"/>
      <c r="D56" t="inlineStr">
        <is>
          <t>度数１</t>
        </is>
      </c>
      <c r="F56" t="inlineStr">
        <is>
          <t>NUMBER(3, 1)</t>
        </is>
      </c>
      <c r="I56" t="inlineStr">
        <is>
          <t>-</t>
        </is>
      </c>
      <c r="J56" t="inlineStr">
        <is>
          <t>-</t>
        </is>
      </c>
      <c r="L56" t="inlineStr">
        <is>
          <t>-</t>
        </is>
      </c>
      <c r="O56" t="inlineStr">
        <is>
          <t>-</t>
        </is>
      </c>
      <c r="P56" t="inlineStr">
        <is>
          <t>未使用</t>
        </is>
      </c>
    </row>
    <row r="57">
      <c r="B57" s="11" t="n"/>
      <c r="D57" t="inlineStr">
        <is>
          <t>発泡区分１</t>
        </is>
      </c>
      <c r="F57" t="inlineStr">
        <is>
          <t>VARCHAR2(2)</t>
        </is>
      </c>
      <c r="I57" t="inlineStr">
        <is>
          <t>-</t>
        </is>
      </c>
      <c r="J57" t="inlineStr">
        <is>
          <t>-</t>
        </is>
      </c>
      <c r="L57" t="inlineStr">
        <is>
          <t>-</t>
        </is>
      </c>
      <c r="O57" t="inlineStr">
        <is>
          <t>-</t>
        </is>
      </c>
      <c r="P57" t="inlineStr">
        <is>
          <t>未使用</t>
        </is>
      </c>
    </row>
    <row r="58">
      <c r="B58" s="11" t="n"/>
      <c r="D58" t="inlineStr">
        <is>
          <t>容量１</t>
        </is>
      </c>
      <c r="F58" t="inlineStr">
        <is>
          <t>NUMBER(8, 0)</t>
        </is>
      </c>
      <c r="I58" t="inlineStr">
        <is>
          <t>-</t>
        </is>
      </c>
      <c r="J58" t="inlineStr">
        <is>
          <t>-</t>
        </is>
      </c>
      <c r="L58" t="inlineStr">
        <is>
          <t>-</t>
        </is>
      </c>
      <c r="O58" t="inlineStr">
        <is>
          <t>-</t>
        </is>
      </c>
      <c r="P58" t="inlineStr">
        <is>
          <t>未使用</t>
        </is>
      </c>
    </row>
    <row r="59">
      <c r="D59" t="inlineStr">
        <is>
          <t>酒類区分２</t>
        </is>
      </c>
      <c r="F59" t="inlineStr">
        <is>
          <t>VARCHAR2(2)</t>
        </is>
      </c>
      <c r="I59" t="inlineStr">
        <is>
          <t>-</t>
        </is>
      </c>
      <c r="J59" t="inlineStr">
        <is>
          <t>-</t>
        </is>
      </c>
      <c r="L59" t="inlineStr">
        <is>
          <t>-</t>
        </is>
      </c>
      <c r="O59" t="inlineStr">
        <is>
          <t>-</t>
        </is>
      </c>
      <c r="P59" t="inlineStr">
        <is>
          <t>未使用</t>
        </is>
      </c>
    </row>
    <row r="60">
      <c r="D60" t="inlineStr">
        <is>
          <t>度数２</t>
        </is>
      </c>
      <c r="F60" t="inlineStr">
        <is>
          <t>NUMBER(3, 1)</t>
        </is>
      </c>
      <c r="I60" t="inlineStr">
        <is>
          <t>-</t>
        </is>
      </c>
      <c r="J60" t="inlineStr">
        <is>
          <t>-</t>
        </is>
      </c>
      <c r="L60" t="inlineStr">
        <is>
          <t>-</t>
        </is>
      </c>
      <c r="O60" t="inlineStr">
        <is>
          <t>-</t>
        </is>
      </c>
      <c r="P60" t="inlineStr">
        <is>
          <t>未使用</t>
        </is>
      </c>
    </row>
    <row r="61">
      <c r="D61" t="inlineStr">
        <is>
          <t>発泡区分２</t>
        </is>
      </c>
      <c r="F61" t="inlineStr">
        <is>
          <t>VARCHAR2(2)</t>
        </is>
      </c>
      <c r="I61" t="inlineStr">
        <is>
          <t>-</t>
        </is>
      </c>
      <c r="J61" t="inlineStr">
        <is>
          <t>-</t>
        </is>
      </c>
      <c r="L61" t="inlineStr">
        <is>
          <t>-</t>
        </is>
      </c>
      <c r="O61" t="inlineStr">
        <is>
          <t>-</t>
        </is>
      </c>
      <c r="P61" t="inlineStr">
        <is>
          <t>未使用</t>
        </is>
      </c>
    </row>
    <row r="62">
      <c r="D62" t="inlineStr">
        <is>
          <t>容量２</t>
        </is>
      </c>
      <c r="F62" t="inlineStr">
        <is>
          <t>NUMBER(8, 0)</t>
        </is>
      </c>
      <c r="I62" t="inlineStr">
        <is>
          <t>-</t>
        </is>
      </c>
      <c r="J62" t="inlineStr">
        <is>
          <t>-</t>
        </is>
      </c>
      <c r="L62" t="inlineStr">
        <is>
          <t>-</t>
        </is>
      </c>
      <c r="O62" t="inlineStr">
        <is>
          <t>-</t>
        </is>
      </c>
      <c r="P62" t="inlineStr">
        <is>
          <t>未使用</t>
        </is>
      </c>
    </row>
    <row r="63">
      <c r="D63" t="inlineStr">
        <is>
          <t>酒類区分３</t>
        </is>
      </c>
      <c r="F63" t="inlineStr">
        <is>
          <t>VARCHAR2(2)</t>
        </is>
      </c>
      <c r="I63" t="inlineStr">
        <is>
          <t>-</t>
        </is>
      </c>
      <c r="J63" t="inlineStr">
        <is>
          <t>-</t>
        </is>
      </c>
      <c r="L63" t="inlineStr">
        <is>
          <t>-</t>
        </is>
      </c>
      <c r="O63" t="inlineStr">
        <is>
          <t>-</t>
        </is>
      </c>
      <c r="P63" t="inlineStr">
        <is>
          <t>未使用</t>
        </is>
      </c>
    </row>
    <row r="64">
      <c r="D64" t="inlineStr">
        <is>
          <t>度数３</t>
        </is>
      </c>
      <c r="F64" t="inlineStr">
        <is>
          <t>NUMBER(3, 1)</t>
        </is>
      </c>
      <c r="I64" t="inlineStr">
        <is>
          <t>-</t>
        </is>
      </c>
      <c r="J64" t="inlineStr">
        <is>
          <t>-</t>
        </is>
      </c>
      <c r="L64" t="inlineStr">
        <is>
          <t>-</t>
        </is>
      </c>
      <c r="O64" t="inlineStr">
        <is>
          <t>-</t>
        </is>
      </c>
      <c r="P64" t="inlineStr">
        <is>
          <t>未使用</t>
        </is>
      </c>
    </row>
    <row r="65">
      <c r="D65" t="inlineStr">
        <is>
          <t>発泡区分３</t>
        </is>
      </c>
      <c r="F65" t="inlineStr">
        <is>
          <t>VARCHAR2(2)</t>
        </is>
      </c>
      <c r="I65" t="inlineStr">
        <is>
          <t>-</t>
        </is>
      </c>
      <c r="J65" t="inlineStr">
        <is>
          <t>-</t>
        </is>
      </c>
      <c r="L65" t="inlineStr">
        <is>
          <t>-</t>
        </is>
      </c>
      <c r="O65" t="inlineStr">
        <is>
          <t>-</t>
        </is>
      </c>
      <c r="P65" t="inlineStr">
        <is>
          <t>未使用</t>
        </is>
      </c>
    </row>
    <row r="66">
      <c r="D66" t="inlineStr">
        <is>
          <t>容量３</t>
        </is>
      </c>
      <c r="F66" t="inlineStr">
        <is>
          <t>NUMBER(8, 0)</t>
        </is>
      </c>
      <c r="I66" t="inlineStr">
        <is>
          <t>-</t>
        </is>
      </c>
      <c r="J66" t="inlineStr">
        <is>
          <t>-</t>
        </is>
      </c>
      <c r="L66" t="inlineStr">
        <is>
          <t>-</t>
        </is>
      </c>
      <c r="O66" t="inlineStr">
        <is>
          <t>-</t>
        </is>
      </c>
      <c r="P66" t="inlineStr">
        <is>
          <t>未使用</t>
        </is>
      </c>
    </row>
    <row r="67">
      <c r="D67" t="inlineStr">
        <is>
          <t>PCコメント</t>
        </is>
      </c>
      <c r="F67" t="inlineStr">
        <is>
          <t>VARCHAR2(50)</t>
        </is>
      </c>
      <c r="I67" t="inlineStr">
        <is>
          <t>-</t>
        </is>
      </c>
      <c r="J67" t="inlineStr">
        <is>
          <t>-</t>
        </is>
      </c>
      <c r="L67" t="inlineStr">
        <is>
          <t>-</t>
        </is>
      </c>
      <c r="O67" t="inlineStr">
        <is>
          <t>-</t>
        </is>
      </c>
      <c r="P67" t="inlineStr">
        <is>
          <t>未使用</t>
        </is>
      </c>
    </row>
    <row r="68">
      <c r="D68" t="inlineStr">
        <is>
          <t>作成ユーザＩＤ</t>
        </is>
      </c>
      <c r="F68" t="inlineStr">
        <is>
          <t>VARCHAR2(20)</t>
        </is>
      </c>
      <c r="I68" t="inlineStr">
        <is>
          <t>-</t>
        </is>
      </c>
      <c r="J68" t="inlineStr">
        <is>
          <t>-</t>
        </is>
      </c>
      <c r="L68" t="inlineStr">
        <is>
          <t>-</t>
        </is>
      </c>
      <c r="O68" t="inlineStr">
        <is>
          <t>-</t>
        </is>
      </c>
      <c r="P68" t="inlineStr">
        <is>
          <t>未使用</t>
        </is>
      </c>
    </row>
    <row r="69">
      <c r="D69" t="inlineStr">
        <is>
          <t>作成プログラムＩＤ</t>
        </is>
      </c>
      <c r="F69" t="inlineStr">
        <is>
          <t>VARCHAR2(20)</t>
        </is>
      </c>
      <c r="I69" t="inlineStr">
        <is>
          <t>-</t>
        </is>
      </c>
      <c r="J69" t="inlineStr">
        <is>
          <t>-</t>
        </is>
      </c>
      <c r="L69" t="inlineStr">
        <is>
          <t>-</t>
        </is>
      </c>
      <c r="O69" t="inlineStr">
        <is>
          <t>-</t>
        </is>
      </c>
      <c r="P69" t="inlineStr">
        <is>
          <t>未使用</t>
        </is>
      </c>
    </row>
    <row r="70">
      <c r="D70" t="inlineStr">
        <is>
          <t>作成日時</t>
        </is>
      </c>
      <c r="F70" t="inlineStr">
        <is>
          <t>DATE</t>
        </is>
      </c>
      <c r="I70" t="inlineStr">
        <is>
          <t>-</t>
        </is>
      </c>
      <c r="J70" t="inlineStr">
        <is>
          <t>-</t>
        </is>
      </c>
      <c r="L70" t="inlineStr">
        <is>
          <t>-</t>
        </is>
      </c>
      <c r="O70" t="inlineStr">
        <is>
          <t>?</t>
        </is>
      </c>
    </row>
    <row r="71">
      <c r="D71" t="inlineStr">
        <is>
          <t>更新ユーザＩＤ</t>
        </is>
      </c>
      <c r="F71" t="inlineStr">
        <is>
          <t>VARCHAR2(20)</t>
        </is>
      </c>
      <c r="I71" t="inlineStr">
        <is>
          <t>-</t>
        </is>
      </c>
      <c r="J71" t="inlineStr">
        <is>
          <t>-</t>
        </is>
      </c>
      <c r="L71" t="inlineStr">
        <is>
          <t>-</t>
        </is>
      </c>
      <c r="O71" t="inlineStr">
        <is>
          <t>-</t>
        </is>
      </c>
      <c r="P71" t="inlineStr">
        <is>
          <t>未使用</t>
        </is>
      </c>
    </row>
    <row r="72" ht="409.6" customHeight="1">
      <c r="D72" t="inlineStr">
        <is>
          <t>更新プログラムＩＤ</t>
        </is>
      </c>
      <c r="F72" t="inlineStr">
        <is>
          <t>VARCHAR2(20)</t>
        </is>
      </c>
      <c r="I72" t="inlineStr">
        <is>
          <t>-</t>
        </is>
      </c>
      <c r="J72" t="inlineStr">
        <is>
          <t>-</t>
        </is>
      </c>
      <c r="L72" t="inlineStr">
        <is>
          <t>-</t>
        </is>
      </c>
      <c r="O72" t="inlineStr">
        <is>
          <t>-</t>
        </is>
      </c>
      <c r="P72" t="inlineStr">
        <is>
          <t>未使用</t>
        </is>
      </c>
    </row>
    <row r="73">
      <c r="D73" t="inlineStr">
        <is>
          <t>更新日時</t>
        </is>
      </c>
      <c r="F73" t="inlineStr">
        <is>
          <t>DATE</t>
        </is>
      </c>
      <c r="I73" t="inlineStr">
        <is>
          <t>-</t>
        </is>
      </c>
      <c r="J73" t="inlineStr">
        <is>
          <t>-</t>
        </is>
      </c>
      <c r="L73" t="inlineStr">
        <is>
          <t>-</t>
        </is>
      </c>
      <c r="O73" t="inlineStr">
        <is>
          <t>?</t>
        </is>
      </c>
      <c r="T73" s="57" t="inlineStr">
        <is>
          <t>データが更新されたときの更新日があればプロキュアとしてOK
集計サーバにある日付が、上位側の作成日付なのかどうか判別が出来ていないため？としている
下記項目名でテーブルが作られていることが多い
registered：登録
update modify :更新</t>
        </is>
      </c>
    </row>
    <row r="74">
      <c r="D74" t="inlineStr">
        <is>
          <t>削除フラグ</t>
        </is>
      </c>
      <c r="F74" t="inlineStr">
        <is>
          <t>NUMBER(1, 0)</t>
        </is>
      </c>
      <c r="I74" t="inlineStr">
        <is>
          <t>-</t>
        </is>
      </c>
      <c r="J74" t="inlineStr">
        <is>
          <t>-</t>
        </is>
      </c>
      <c r="L74" t="inlineStr">
        <is>
          <t>-</t>
        </is>
      </c>
      <c r="O74" t="inlineStr">
        <is>
          <t>-</t>
        </is>
      </c>
      <c r="P74" t="inlineStr">
        <is>
          <t>未使用</t>
        </is>
      </c>
    </row>
    <row r="75">
      <c r="D75" t="inlineStr">
        <is>
          <t>更新回数</t>
        </is>
      </c>
      <c r="F75" t="inlineStr">
        <is>
          <t>NUMBER(6, 0)</t>
        </is>
      </c>
      <c r="I75" t="inlineStr">
        <is>
          <t>-</t>
        </is>
      </c>
      <c r="J75" t="inlineStr">
        <is>
          <t>-</t>
        </is>
      </c>
      <c r="L75" t="inlineStr">
        <is>
          <t>-</t>
        </is>
      </c>
      <c r="O75" t="inlineStr">
        <is>
          <t>-</t>
        </is>
      </c>
      <c r="P75" t="inlineStr">
        <is>
          <t>未使用</t>
        </is>
      </c>
    </row>
    <row r="76">
      <c r="D76" t="inlineStr">
        <is>
          <t>単価訂正フラグ</t>
        </is>
      </c>
      <c r="F76" t="inlineStr">
        <is>
          <t>VARCHAR2(1)</t>
        </is>
      </c>
      <c r="I76" t="inlineStr">
        <is>
          <t>-</t>
        </is>
      </c>
      <c r="J76" t="inlineStr">
        <is>
          <t>-</t>
        </is>
      </c>
      <c r="L76" t="inlineStr">
        <is>
          <t>-</t>
        </is>
      </c>
      <c r="O76" t="inlineStr">
        <is>
          <t>-</t>
        </is>
      </c>
      <c r="P76" t="inlineStr">
        <is>
          <t>未使用</t>
        </is>
      </c>
    </row>
    <row r="77">
      <c r="D77" t="inlineStr">
        <is>
          <t>レジ現金フラグ</t>
        </is>
      </c>
      <c r="F77" t="inlineStr">
        <is>
          <t>VARCHAR2(1)</t>
        </is>
      </c>
      <c r="I77" t="inlineStr">
        <is>
          <t>-</t>
        </is>
      </c>
      <c r="J77" t="inlineStr">
        <is>
          <t>-</t>
        </is>
      </c>
      <c r="L77" t="inlineStr">
        <is>
          <t>-</t>
        </is>
      </c>
      <c r="O77" t="inlineStr">
        <is>
          <t>-</t>
        </is>
      </c>
      <c r="P77" t="inlineStr">
        <is>
          <t>未使用</t>
        </is>
      </c>
    </row>
    <row r="78">
      <c r="D78" t="inlineStr">
        <is>
          <t>クレジット不可区分</t>
        </is>
      </c>
      <c r="F78" t="inlineStr">
        <is>
          <t>VARCHAR2(1)</t>
        </is>
      </c>
      <c r="I78" t="inlineStr">
        <is>
          <t>-</t>
        </is>
      </c>
      <c r="J78" t="inlineStr">
        <is>
          <t>-</t>
        </is>
      </c>
      <c r="L78" t="inlineStr">
        <is>
          <t>-</t>
        </is>
      </c>
      <c r="O78" t="inlineStr">
        <is>
          <t>-</t>
        </is>
      </c>
      <c r="P78" t="inlineStr">
        <is>
          <t>未使用</t>
        </is>
      </c>
    </row>
    <row r="79">
      <c r="D79" t="inlineStr">
        <is>
          <t>掛不可区分</t>
        </is>
      </c>
      <c r="F79" t="inlineStr">
        <is>
          <t>VARCHAR2(1)</t>
        </is>
      </c>
      <c r="I79" t="inlineStr">
        <is>
          <t>-</t>
        </is>
      </c>
      <c r="J79" t="inlineStr">
        <is>
          <t>-</t>
        </is>
      </c>
      <c r="L79" t="inlineStr">
        <is>
          <t>-</t>
        </is>
      </c>
      <c r="O79" t="inlineStr">
        <is>
          <t>-</t>
        </is>
      </c>
      <c r="P79" t="inlineStr">
        <is>
          <t>未使用</t>
        </is>
      </c>
    </row>
    <row r="80">
      <c r="D80" t="inlineStr">
        <is>
          <t>値引不可区分</t>
        </is>
      </c>
      <c r="F80" t="inlineStr">
        <is>
          <t>VARCHAR2(1)</t>
        </is>
      </c>
      <c r="I80" t="inlineStr">
        <is>
          <t>-</t>
        </is>
      </c>
      <c r="J80" t="inlineStr">
        <is>
          <t>-</t>
        </is>
      </c>
      <c r="L80" t="inlineStr">
        <is>
          <t>-</t>
        </is>
      </c>
      <c r="O80" t="inlineStr">
        <is>
          <t>-</t>
        </is>
      </c>
      <c r="P80" t="inlineStr">
        <is>
          <t>未使用</t>
        </is>
      </c>
    </row>
    <row r="81">
      <c r="D81" t="inlineStr">
        <is>
          <t>電子マネー不可区分</t>
        </is>
      </c>
      <c r="F81" t="inlineStr">
        <is>
          <t>VARCHAR2(1)</t>
        </is>
      </c>
      <c r="I81" t="inlineStr">
        <is>
          <t>-</t>
        </is>
      </c>
      <c r="J81" t="inlineStr">
        <is>
          <t>-</t>
        </is>
      </c>
      <c r="L81" t="inlineStr">
        <is>
          <t>-</t>
        </is>
      </c>
      <c r="O81" t="inlineStr">
        <is>
          <t>-</t>
        </is>
      </c>
      <c r="P81" t="inlineStr">
        <is>
          <t>未使用</t>
        </is>
      </c>
    </row>
    <row r="82">
      <c r="D82" t="inlineStr">
        <is>
          <t>ＱＲ決済不可区分</t>
        </is>
      </c>
      <c r="F82" t="inlineStr">
        <is>
          <t>VARCHAR2(1)</t>
        </is>
      </c>
      <c r="I82" t="inlineStr">
        <is>
          <t>-</t>
        </is>
      </c>
      <c r="J82" t="inlineStr">
        <is>
          <t>-</t>
        </is>
      </c>
      <c r="L82" t="inlineStr">
        <is>
          <t>-</t>
        </is>
      </c>
      <c r="O82" t="inlineStr">
        <is>
          <t>-</t>
        </is>
      </c>
      <c r="P82" t="inlineStr">
        <is>
          <t>未使用</t>
        </is>
      </c>
    </row>
    <row r="83" ht="28.8" customHeight="1">
      <c r="D83" t="inlineStr">
        <is>
          <t>特殊アラート商品区分</t>
        </is>
      </c>
      <c r="F83" t="inlineStr">
        <is>
          <t>VARCHAR2(1)</t>
        </is>
      </c>
      <c r="I83" t="inlineStr">
        <is>
          <t>-</t>
        </is>
      </c>
      <c r="J83" t="inlineStr">
        <is>
          <t>-</t>
        </is>
      </c>
      <c r="L83" t="inlineStr">
        <is>
          <t>-</t>
        </is>
      </c>
      <c r="O83" t="inlineStr">
        <is>
          <t>-</t>
        </is>
      </c>
      <c r="P83" t="inlineStr">
        <is>
          <t>未使用</t>
        </is>
      </c>
    </row>
    <row r="84">
      <c r="D84" t="inlineStr">
        <is>
          <t>スタイルNo</t>
        </is>
      </c>
      <c r="F84" t="inlineStr">
        <is>
          <t>VARCHAR2(8)</t>
        </is>
      </c>
      <c r="I84" t="inlineStr">
        <is>
          <t>-</t>
        </is>
      </c>
      <c r="J84" t="inlineStr">
        <is>
          <t>-</t>
        </is>
      </c>
      <c r="L84" t="inlineStr">
        <is>
          <t>-</t>
        </is>
      </c>
      <c r="O84" t="inlineStr">
        <is>
          <t>-</t>
        </is>
      </c>
      <c r="P84" s="57" t="inlineStr">
        <is>
          <t>未使用
衣料品の分類：色・サイズでJANが異なる</t>
        </is>
      </c>
    </row>
    <row r="85">
      <c r="D85" t="inlineStr">
        <is>
          <t>週販予測数量</t>
        </is>
      </c>
      <c r="F85" t="inlineStr">
        <is>
          <t>NUMBER(3, 0)</t>
        </is>
      </c>
      <c r="I85" t="inlineStr">
        <is>
          <t>-</t>
        </is>
      </c>
      <c r="J85" t="inlineStr">
        <is>
          <t>-</t>
        </is>
      </c>
      <c r="L85" t="inlineStr">
        <is>
          <t>-</t>
        </is>
      </c>
      <c r="O85" t="inlineStr">
        <is>
          <t>-</t>
        </is>
      </c>
      <c r="P85" t="inlineStr">
        <is>
          <t>未使用</t>
        </is>
      </c>
    </row>
    <row r="86">
      <c r="D86" t="inlineStr">
        <is>
          <t>アソシエイト割引フラグ</t>
        </is>
      </c>
      <c r="F86" t="inlineStr">
        <is>
          <t>VARCHAR2(1)</t>
        </is>
      </c>
      <c r="I86" t="inlineStr">
        <is>
          <t>-</t>
        </is>
      </c>
      <c r="J86" t="inlineStr">
        <is>
          <t>-</t>
        </is>
      </c>
      <c r="L86" t="inlineStr">
        <is>
          <t>-</t>
        </is>
      </c>
      <c r="O86" t="inlineStr">
        <is>
          <t>-</t>
        </is>
      </c>
      <c r="P86" t="inlineStr">
        <is>
          <t>未使用</t>
        </is>
      </c>
    </row>
    <row r="87">
      <c r="D87" t="inlineStr">
        <is>
          <t>価格プロンプトフラグ</t>
        </is>
      </c>
      <c r="F87" t="inlineStr">
        <is>
          <t>VARCHAR2(1)</t>
        </is>
      </c>
      <c r="I87" t="inlineStr">
        <is>
          <t>-</t>
        </is>
      </c>
      <c r="J87" t="inlineStr">
        <is>
          <t>-</t>
        </is>
      </c>
      <c r="L87" t="inlineStr">
        <is>
          <t>-</t>
        </is>
      </c>
      <c r="O87" t="inlineStr">
        <is>
          <t>-</t>
        </is>
      </c>
      <c r="P87" t="inlineStr">
        <is>
          <t>未使用</t>
        </is>
      </c>
    </row>
    <row r="88">
      <c r="D88" t="inlineStr">
        <is>
          <t>楽天ポイント対象外フラグ</t>
        </is>
      </c>
      <c r="F88" t="inlineStr">
        <is>
          <t>VARCHAR2(1)</t>
        </is>
      </c>
      <c r="I88" t="inlineStr">
        <is>
          <t>-</t>
        </is>
      </c>
      <c r="J88" t="inlineStr">
        <is>
          <t>-</t>
        </is>
      </c>
      <c r="L88" t="inlineStr">
        <is>
          <t>-</t>
        </is>
      </c>
      <c r="O88" t="inlineStr">
        <is>
          <t>-</t>
        </is>
      </c>
      <c r="P88" t="inlineStr">
        <is>
          <t>未使用</t>
        </is>
      </c>
    </row>
    <row r="89">
      <c r="D89" t="inlineStr">
        <is>
          <t>レジ年齢確認フラグ</t>
        </is>
      </c>
      <c r="F89" t="inlineStr">
        <is>
          <t>VARCHAR2(1)</t>
        </is>
      </c>
      <c r="I89" t="inlineStr">
        <is>
          <t>-</t>
        </is>
      </c>
      <c r="J89" t="inlineStr">
        <is>
          <t>-</t>
        </is>
      </c>
      <c r="L89" t="inlineStr">
        <is>
          <t>-</t>
        </is>
      </c>
      <c r="O89" t="inlineStr">
        <is>
          <t>-</t>
        </is>
      </c>
      <c r="P89" t="inlineStr">
        <is>
          <t>未使用</t>
        </is>
      </c>
    </row>
    <row r="90">
      <c r="D90" t="inlineStr">
        <is>
          <t>医薬品レジフラグ</t>
        </is>
      </c>
      <c r="F90" t="inlineStr">
        <is>
          <t>VARCHAR2(1)</t>
        </is>
      </c>
      <c r="I90" t="inlineStr">
        <is>
          <t>-</t>
        </is>
      </c>
      <c r="J90" t="inlineStr">
        <is>
          <t>-</t>
        </is>
      </c>
      <c r="L90" t="inlineStr">
        <is>
          <t>-</t>
        </is>
      </c>
      <c r="O90" t="inlineStr">
        <is>
          <t>-</t>
        </is>
      </c>
      <c r="P90" t="inlineStr">
        <is>
          <t>未使用</t>
        </is>
      </c>
    </row>
    <row r="91">
      <c r="D91" t="inlineStr">
        <is>
          <t>販売制限フラグ</t>
        </is>
      </c>
      <c r="F91" t="inlineStr">
        <is>
          <t>VARCHAR2(1)</t>
        </is>
      </c>
      <c r="I91" t="inlineStr">
        <is>
          <t>-</t>
        </is>
      </c>
      <c r="J91" t="inlineStr">
        <is>
          <t>-</t>
        </is>
      </c>
      <c r="L91" t="inlineStr">
        <is>
          <t>-</t>
        </is>
      </c>
      <c r="O91" t="inlineStr">
        <is>
          <t>-</t>
        </is>
      </c>
      <c r="P91" t="inlineStr">
        <is>
          <t>未使用</t>
        </is>
      </c>
    </row>
    <row r="92">
      <c r="D92" t="inlineStr">
        <is>
          <t>口座No.</t>
        </is>
      </c>
      <c r="F92" t="inlineStr">
        <is>
          <t>NUMBER(10, 0)</t>
        </is>
      </c>
      <c r="I92" t="inlineStr">
        <is>
          <t>-</t>
        </is>
      </c>
      <c r="J92" t="inlineStr">
        <is>
          <t>-</t>
        </is>
      </c>
      <c r="L92" t="inlineStr">
        <is>
          <t>-</t>
        </is>
      </c>
      <c r="O92" t="inlineStr">
        <is>
          <t>-</t>
        </is>
      </c>
      <c r="P92" t="inlineStr">
        <is>
          <t>未使用</t>
        </is>
      </c>
    </row>
    <row r="93" ht="72" customHeight="1">
      <c r="D93" t="inlineStr">
        <is>
          <t>サイズ</t>
        </is>
      </c>
      <c r="F93" t="inlineStr">
        <is>
          <t>VARCHAR2(10)</t>
        </is>
      </c>
      <c r="I93" t="inlineStr">
        <is>
          <t>-</t>
        </is>
      </c>
      <c r="J93" t="inlineStr">
        <is>
          <t>-</t>
        </is>
      </c>
      <c r="L93" t="inlineStr">
        <is>
          <t>-</t>
        </is>
      </c>
      <c r="O93" t="inlineStr">
        <is>
          <t>?</t>
        </is>
      </c>
      <c r="P93" t="inlineStr">
        <is>
          <t>WMS側に該当項目がないか確認</t>
        </is>
      </c>
      <c r="T93" t="inlineStr">
        <is>
          <t>１個単位のサイズは商品マスタに登録しているが、精度が低そう</t>
        </is>
      </c>
    </row>
    <row r="94">
      <c r="D94" t="inlineStr">
        <is>
          <t>カラー</t>
        </is>
      </c>
      <c r="F94" t="inlineStr">
        <is>
          <t>VARCHAR2(10)</t>
        </is>
      </c>
      <c r="I94" s="57" t="inlineStr">
        <is>
          <t>集計6
DIFPRODUCTS　マスタ3次商品マスタ
PRODUCTS　マスタ４次商品マスタ</t>
        </is>
      </c>
      <c r="J94" t="inlineStr">
        <is>
          <t>カラー</t>
        </is>
      </c>
      <c r="L94" t="inlineStr">
        <is>
          <t>固定長4</t>
        </is>
      </c>
      <c r="O94" t="inlineStr">
        <is>
          <t>△1</t>
        </is>
      </c>
      <c r="P94" t="inlineStr">
        <is>
          <t>衣料品の分類：色でJANが異なる</t>
        </is>
      </c>
    </row>
    <row r="95" ht="316.8" customHeight="1">
      <c r="D95" t="inlineStr">
        <is>
          <t>コンベア可否フラグ</t>
        </is>
      </c>
      <c r="F95" t="inlineStr">
        <is>
          <t>VARCHAR2(1)</t>
        </is>
      </c>
      <c r="I95" t="inlineStr">
        <is>
          <t>-</t>
        </is>
      </c>
      <c r="J95" t="inlineStr">
        <is>
          <t>-</t>
        </is>
      </c>
      <c r="L95" t="inlineStr">
        <is>
          <t>-</t>
        </is>
      </c>
      <c r="O95" t="inlineStr">
        <is>
          <t>-</t>
        </is>
      </c>
      <c r="P95" t="inlineStr">
        <is>
          <t>未使用</t>
        </is>
      </c>
    </row>
    <row r="96">
      <c r="D96" t="inlineStr">
        <is>
          <t>ケースJAN(ITFコード)</t>
        </is>
      </c>
      <c r="F96" t="inlineStr">
        <is>
          <t>VARCHAR2(14)</t>
        </is>
      </c>
      <c r="I96" t="inlineStr">
        <is>
          <t>-</t>
        </is>
      </c>
      <c r="J96" t="inlineStr">
        <is>
          <t>-</t>
        </is>
      </c>
      <c r="L96" t="inlineStr">
        <is>
          <t>-</t>
        </is>
      </c>
      <c r="O96" t="inlineStr">
        <is>
          <t>?</t>
        </is>
      </c>
      <c r="P96" t="inlineStr">
        <is>
          <t>WMS側に該当項目がないか確認</t>
        </is>
      </c>
      <c r="T96" s="57" t="inlineStr">
        <is>
          <t>基幹システム側にはITFコードの登録がない
例）085722518 サントリー　オランジーナ
スンジャオさんに確認★
ITFコードの運用を聞いてみる</t>
        </is>
      </c>
    </row>
    <row r="97">
      <c r="D97" t="inlineStr">
        <is>
          <t>DCロケーション</t>
        </is>
      </c>
      <c r="F97" t="inlineStr">
        <is>
          <t>NUMBER(10, 0)</t>
        </is>
      </c>
      <c r="I97" t="inlineStr">
        <is>
          <t>-</t>
        </is>
      </c>
      <c r="J97" t="inlineStr">
        <is>
          <t>-</t>
        </is>
      </c>
      <c r="L97" t="inlineStr">
        <is>
          <t>-</t>
        </is>
      </c>
      <c r="O97" t="inlineStr">
        <is>
          <t>-</t>
        </is>
      </c>
      <c r="P97" t="inlineStr">
        <is>
          <t>未使用</t>
        </is>
      </c>
    </row>
    <row r="98">
      <c r="D98" t="inlineStr">
        <is>
          <t>ロット管理区分</t>
        </is>
      </c>
      <c r="F98" t="inlineStr">
        <is>
          <t>VARCHAR2(2)</t>
        </is>
      </c>
      <c r="I98" t="inlineStr">
        <is>
          <t>-</t>
        </is>
      </c>
      <c r="J98" t="inlineStr">
        <is>
          <t>-</t>
        </is>
      </c>
      <c r="L98" t="inlineStr">
        <is>
          <t>-</t>
        </is>
      </c>
      <c r="O98" t="inlineStr">
        <is>
          <t>-</t>
        </is>
      </c>
      <c r="P98" t="inlineStr">
        <is>
          <t>未使用</t>
        </is>
      </c>
    </row>
    <row r="99">
      <c r="D99" t="inlineStr">
        <is>
          <t>パレット平置可能箱数</t>
        </is>
      </c>
      <c r="F99" t="inlineStr">
        <is>
          <t>NUMBER(5, 0)</t>
        </is>
      </c>
      <c r="I99" t="inlineStr">
        <is>
          <t>-</t>
        </is>
      </c>
      <c r="J99" t="inlineStr">
        <is>
          <t>-</t>
        </is>
      </c>
      <c r="L99" t="inlineStr">
        <is>
          <t>-</t>
        </is>
      </c>
      <c r="O99" t="inlineStr">
        <is>
          <t>?</t>
        </is>
      </c>
      <c r="P99" t="inlineStr">
        <is>
          <t>WMS側に該当項目がないか確認</t>
        </is>
      </c>
      <c r="T99" t="inlineStr">
        <is>
          <t>スンジャオさんに確認★</t>
        </is>
      </c>
    </row>
    <row r="100">
      <c r="D100" t="inlineStr">
        <is>
          <t>パレット積載可能段数</t>
        </is>
      </c>
      <c r="F100" t="inlineStr">
        <is>
          <t>NUMBER(5, 0)</t>
        </is>
      </c>
      <c r="I100" t="inlineStr">
        <is>
          <t>-</t>
        </is>
      </c>
      <c r="J100" t="inlineStr">
        <is>
          <t>-</t>
        </is>
      </c>
      <c r="L100" t="inlineStr">
        <is>
          <t>-</t>
        </is>
      </c>
      <c r="O100" t="inlineStr">
        <is>
          <t>?</t>
        </is>
      </c>
      <c r="P100" t="inlineStr">
        <is>
          <t>WMS側に該当項目がないか確認</t>
        </is>
      </c>
      <c r="T100" t="inlineStr">
        <is>
          <t>スンジャオさんに確認★</t>
        </is>
      </c>
    </row>
    <row r="101">
      <c r="D101" t="inlineStr">
        <is>
          <t>賞味期間基準日区分</t>
        </is>
      </c>
      <c r="F101" t="inlineStr">
        <is>
          <t>VARCHAR2(2)</t>
        </is>
      </c>
      <c r="I101" t="inlineStr">
        <is>
          <t>-</t>
        </is>
      </c>
      <c r="J101" t="inlineStr">
        <is>
          <t>-</t>
        </is>
      </c>
      <c r="L101" t="inlineStr">
        <is>
          <t>-</t>
        </is>
      </c>
      <c r="O101" t="inlineStr">
        <is>
          <t>-</t>
        </is>
      </c>
      <c r="P101" t="inlineStr">
        <is>
          <t>未使用</t>
        </is>
      </c>
    </row>
    <row r="102">
      <c r="D102" t="inlineStr">
        <is>
          <t>賞味期間単位区分</t>
        </is>
      </c>
      <c r="F102" t="inlineStr">
        <is>
          <t>VARCHAR2(2)</t>
        </is>
      </c>
      <c r="I102" t="inlineStr">
        <is>
          <t>-</t>
        </is>
      </c>
      <c r="J102" t="inlineStr">
        <is>
          <t>-</t>
        </is>
      </c>
      <c r="L102" t="inlineStr">
        <is>
          <t>-</t>
        </is>
      </c>
      <c r="O102" t="inlineStr">
        <is>
          <t>-</t>
        </is>
      </c>
      <c r="P102" t="inlineStr">
        <is>
          <t>未使用</t>
        </is>
      </c>
    </row>
    <row r="103">
      <c r="D103" t="inlineStr">
        <is>
          <t>賞味期間</t>
        </is>
      </c>
      <c r="F103" t="inlineStr">
        <is>
          <t>NUMBER(4, 0)</t>
        </is>
      </c>
      <c r="I103" t="inlineStr">
        <is>
          <t>-</t>
        </is>
      </c>
      <c r="J103" t="inlineStr">
        <is>
          <t>-</t>
        </is>
      </c>
      <c r="L103" t="inlineStr">
        <is>
          <t>-</t>
        </is>
      </c>
      <c r="O103" t="inlineStr">
        <is>
          <t>-</t>
        </is>
      </c>
      <c r="P103" t="inlineStr">
        <is>
          <t>未使用</t>
        </is>
      </c>
    </row>
    <row r="104">
      <c r="D104" t="inlineStr">
        <is>
          <t>賞味期限</t>
        </is>
      </c>
      <c r="F104" t="inlineStr">
        <is>
          <t>VARCHAR2(8)</t>
        </is>
      </c>
      <c r="I104" t="inlineStr">
        <is>
          <t>-</t>
        </is>
      </c>
      <c r="J104" t="inlineStr">
        <is>
          <t>-</t>
        </is>
      </c>
      <c r="L104" t="inlineStr">
        <is>
          <t>-</t>
        </is>
      </c>
      <c r="O104" t="inlineStr">
        <is>
          <t>-</t>
        </is>
      </c>
      <c r="P104" t="inlineStr">
        <is>
          <t>未使用</t>
        </is>
      </c>
    </row>
    <row r="105">
      <c r="D105" t="inlineStr">
        <is>
          <t>倉庫賞味期限管理</t>
        </is>
      </c>
      <c r="F105" t="inlineStr">
        <is>
          <t>NUMBER(5, 0)</t>
        </is>
      </c>
      <c r="I105" t="inlineStr">
        <is>
          <t>-</t>
        </is>
      </c>
      <c r="J105" t="inlineStr">
        <is>
          <t>-</t>
        </is>
      </c>
      <c r="L105" t="inlineStr">
        <is>
          <t>-</t>
        </is>
      </c>
      <c r="O105" t="inlineStr">
        <is>
          <t>-</t>
        </is>
      </c>
      <c r="P105" t="inlineStr">
        <is>
          <t>未使用</t>
        </is>
      </c>
    </row>
    <row r="106">
      <c r="D106" t="inlineStr">
        <is>
          <t>入荷限界期間</t>
        </is>
      </c>
      <c r="F106" t="inlineStr">
        <is>
          <t>NUMBER(3, 0)</t>
        </is>
      </c>
      <c r="I106" t="inlineStr">
        <is>
          <t>-</t>
        </is>
      </c>
      <c r="J106" t="inlineStr">
        <is>
          <t>-</t>
        </is>
      </c>
      <c r="L106" t="inlineStr">
        <is>
          <t>-</t>
        </is>
      </c>
      <c r="O106" t="inlineStr">
        <is>
          <t>-</t>
        </is>
      </c>
      <c r="P106" t="inlineStr">
        <is>
          <t>未使用</t>
        </is>
      </c>
    </row>
    <row r="107">
      <c r="D107" t="inlineStr">
        <is>
          <t>出荷限界期間</t>
        </is>
      </c>
      <c r="F107" t="inlineStr">
        <is>
          <t>NUMBER(3, 0)</t>
        </is>
      </c>
      <c r="I107" t="inlineStr">
        <is>
          <t>-</t>
        </is>
      </c>
      <c r="J107" t="inlineStr">
        <is>
          <t>-</t>
        </is>
      </c>
      <c r="L107" t="inlineStr">
        <is>
          <t>-</t>
        </is>
      </c>
      <c r="O107" t="inlineStr">
        <is>
          <t>-</t>
        </is>
      </c>
      <c r="P107" t="inlineStr">
        <is>
          <t>未使用</t>
        </is>
      </c>
    </row>
    <row r="108">
      <c r="D108" t="inlineStr">
        <is>
          <t>ピースサイズ（縦）（ｃｍ）</t>
        </is>
      </c>
      <c r="F108" t="inlineStr">
        <is>
          <t>NUMBER(13, 3)</t>
        </is>
      </c>
      <c r="I108" t="inlineStr">
        <is>
          <t>-</t>
        </is>
      </c>
      <c r="J108" t="inlineStr">
        <is>
          <t>-</t>
        </is>
      </c>
      <c r="L108" t="inlineStr">
        <is>
          <t>-</t>
        </is>
      </c>
      <c r="O108" t="inlineStr">
        <is>
          <t>-</t>
        </is>
      </c>
      <c r="P108" t="inlineStr">
        <is>
          <t>未使用</t>
        </is>
      </c>
    </row>
    <row r="109">
      <c r="D109" t="inlineStr">
        <is>
          <t>ピースサイズ（横）（ｃｍ）</t>
        </is>
      </c>
      <c r="F109" t="inlineStr">
        <is>
          <t>NUMBER(13, 3)</t>
        </is>
      </c>
      <c r="I109" t="inlineStr">
        <is>
          <t>-</t>
        </is>
      </c>
      <c r="J109" t="inlineStr">
        <is>
          <t>-</t>
        </is>
      </c>
      <c r="L109" t="inlineStr">
        <is>
          <t>-</t>
        </is>
      </c>
      <c r="O109" t="inlineStr">
        <is>
          <t>-</t>
        </is>
      </c>
      <c r="P109" t="inlineStr">
        <is>
          <t>未使用</t>
        </is>
      </c>
    </row>
    <row r="110">
      <c r="D110" t="inlineStr">
        <is>
          <t>ピースサイズ（高）（ｃｍ）</t>
        </is>
      </c>
      <c r="F110" t="inlineStr">
        <is>
          <t>NUMBER(13, 3)</t>
        </is>
      </c>
      <c r="I110" t="inlineStr">
        <is>
          <t>-</t>
        </is>
      </c>
      <c r="J110" t="inlineStr">
        <is>
          <t>-</t>
        </is>
      </c>
      <c r="L110" t="inlineStr">
        <is>
          <t>-</t>
        </is>
      </c>
      <c r="O110" t="inlineStr">
        <is>
          <t>-</t>
        </is>
      </c>
      <c r="P110" t="inlineStr">
        <is>
          <t>未使用</t>
        </is>
      </c>
    </row>
    <row r="111">
      <c r="D111" t="inlineStr">
        <is>
          <t>ピースサイズ（重量）（ｋｇ）</t>
        </is>
      </c>
      <c r="F111" t="inlineStr">
        <is>
          <t>NUMBER(15, 4)</t>
        </is>
      </c>
      <c r="I111" t="inlineStr">
        <is>
          <t>-</t>
        </is>
      </c>
      <c r="J111" t="inlineStr">
        <is>
          <t>-</t>
        </is>
      </c>
      <c r="L111" t="inlineStr">
        <is>
          <t>-</t>
        </is>
      </c>
      <c r="O111" t="inlineStr">
        <is>
          <t>?</t>
        </is>
      </c>
      <c r="P111" t="inlineStr">
        <is>
          <t>WMS側に該当項目がないか確認</t>
        </is>
      </c>
      <c r="T111" t="inlineStr">
        <is>
          <t>スンジャオさんに確認★</t>
        </is>
      </c>
    </row>
    <row r="112">
      <c r="D112" t="inlineStr">
        <is>
          <t>メーカー発売日</t>
        </is>
      </c>
      <c r="F112" t="inlineStr">
        <is>
          <t>VARCHAR2(8)</t>
        </is>
      </c>
      <c r="I112" t="inlineStr">
        <is>
          <t>-</t>
        </is>
      </c>
      <c r="J112" t="inlineStr">
        <is>
          <t>-</t>
        </is>
      </c>
      <c r="L112" t="inlineStr">
        <is>
          <t>-</t>
        </is>
      </c>
      <c r="O112" t="inlineStr">
        <is>
          <t>-</t>
        </is>
      </c>
      <c r="P112" t="inlineStr">
        <is>
          <t>未使用</t>
        </is>
      </c>
    </row>
    <row r="113">
      <c r="D113" t="inlineStr">
        <is>
          <t>情報解禁日</t>
        </is>
      </c>
      <c r="F113" t="inlineStr">
        <is>
          <t>VARCHAR2(8)</t>
        </is>
      </c>
      <c r="I113" t="inlineStr">
        <is>
          <t>-</t>
        </is>
      </c>
      <c r="J113" t="inlineStr">
        <is>
          <t>-</t>
        </is>
      </c>
      <c r="L113" t="inlineStr">
        <is>
          <t>-</t>
        </is>
      </c>
      <c r="O113" t="inlineStr">
        <is>
          <t>-</t>
        </is>
      </c>
      <c r="P113" t="inlineStr">
        <is>
          <t>未使用</t>
        </is>
      </c>
    </row>
    <row r="114">
      <c r="D114" t="inlineStr">
        <is>
          <t>価格印字商品フラグ</t>
        </is>
      </c>
      <c r="F114" t="inlineStr">
        <is>
          <t>VARCHAR2(1)</t>
        </is>
      </c>
      <c r="I114" t="inlineStr">
        <is>
          <t>-</t>
        </is>
      </c>
      <c r="J114" t="inlineStr">
        <is>
          <t>-</t>
        </is>
      </c>
      <c r="L114" t="inlineStr">
        <is>
          <t>-</t>
        </is>
      </c>
      <c r="O114" t="inlineStr">
        <is>
          <t>-</t>
        </is>
      </c>
      <c r="P114" t="inlineStr">
        <is>
          <t>未使用</t>
        </is>
      </c>
    </row>
    <row r="115">
      <c r="D115" t="inlineStr">
        <is>
          <t>商品サブコード</t>
        </is>
      </c>
      <c r="F115" t="inlineStr">
        <is>
          <t>VARCHAR2(10)</t>
        </is>
      </c>
      <c r="I115" t="inlineStr">
        <is>
          <t>-</t>
        </is>
      </c>
      <c r="J115" t="inlineStr">
        <is>
          <t>-</t>
        </is>
      </c>
      <c r="L115" t="inlineStr">
        <is>
          <t>-</t>
        </is>
      </c>
      <c r="O115" t="inlineStr">
        <is>
          <t>-</t>
        </is>
      </c>
      <c r="P115" t="inlineStr">
        <is>
          <t>未使用</t>
        </is>
      </c>
    </row>
    <row r="116">
      <c r="D116" t="inlineStr">
        <is>
          <t>温度管理/保管方法</t>
        </is>
      </c>
      <c r="F116" t="inlineStr">
        <is>
          <t>VARCHAR2(1)</t>
        </is>
      </c>
      <c r="I116" t="inlineStr">
        <is>
          <t>-</t>
        </is>
      </c>
      <c r="J116" t="inlineStr">
        <is>
          <t>-</t>
        </is>
      </c>
      <c r="L116" t="inlineStr">
        <is>
          <t>-</t>
        </is>
      </c>
      <c r="O116" t="inlineStr">
        <is>
          <t>-</t>
        </is>
      </c>
      <c r="P116" t="inlineStr">
        <is>
          <t>未使用</t>
        </is>
      </c>
    </row>
    <row r="117">
      <c r="D117" t="inlineStr">
        <is>
          <t>温度帯変更不可フラグ</t>
        </is>
      </c>
      <c r="F117" t="inlineStr">
        <is>
          <t>VARCHAR2(1)</t>
        </is>
      </c>
      <c r="I117" t="inlineStr">
        <is>
          <t>-</t>
        </is>
      </c>
      <c r="J117" t="inlineStr">
        <is>
          <t>-</t>
        </is>
      </c>
      <c r="L117" t="inlineStr">
        <is>
          <t>-</t>
        </is>
      </c>
      <c r="O117" t="inlineStr">
        <is>
          <t>-</t>
        </is>
      </c>
      <c r="P117" t="inlineStr">
        <is>
          <t>未使用</t>
        </is>
      </c>
    </row>
    <row r="118">
      <c r="D118" t="inlineStr">
        <is>
          <t>販売可能期間フラグ</t>
        </is>
      </c>
      <c r="F118" t="inlineStr">
        <is>
          <t>VARCHAR2(1)</t>
        </is>
      </c>
      <c r="I118" t="inlineStr">
        <is>
          <t>-</t>
        </is>
      </c>
      <c r="J118" t="inlineStr">
        <is>
          <t>-</t>
        </is>
      </c>
      <c r="L118" t="inlineStr">
        <is>
          <t>-</t>
        </is>
      </c>
      <c r="O118" t="inlineStr">
        <is>
          <t>-</t>
        </is>
      </c>
      <c r="P118" t="inlineStr">
        <is>
          <t>未使用</t>
        </is>
      </c>
    </row>
    <row r="119">
      <c r="D119" t="inlineStr">
        <is>
          <t>割れ物（瓶）フラグ</t>
        </is>
      </c>
      <c r="F119" t="inlineStr">
        <is>
          <t>VARCHAR2(1)</t>
        </is>
      </c>
      <c r="I119" t="inlineStr">
        <is>
          <t>-</t>
        </is>
      </c>
      <c r="J119" t="inlineStr">
        <is>
          <t>-</t>
        </is>
      </c>
      <c r="L119" t="inlineStr">
        <is>
          <t>-</t>
        </is>
      </c>
      <c r="O119" t="inlineStr">
        <is>
          <t>-</t>
        </is>
      </c>
      <c r="P119" t="inlineStr">
        <is>
          <t>未使用</t>
        </is>
      </c>
    </row>
    <row r="120">
      <c r="D120" t="inlineStr">
        <is>
          <t>販売可能日数</t>
        </is>
      </c>
      <c r="F120" t="inlineStr">
        <is>
          <t>NUMBER(3, 0)</t>
        </is>
      </c>
      <c r="I120" t="inlineStr">
        <is>
          <t>-</t>
        </is>
      </c>
      <c r="J120" t="inlineStr">
        <is>
          <t>-</t>
        </is>
      </c>
      <c r="L120" t="inlineStr">
        <is>
          <t>-</t>
        </is>
      </c>
      <c r="O120" t="inlineStr">
        <is>
          <t>-</t>
        </is>
      </c>
      <c r="P120" t="inlineStr">
        <is>
          <t>未使用</t>
        </is>
      </c>
    </row>
    <row r="121">
      <c r="D121" t="inlineStr">
        <is>
          <t>ＭＢＭコード区分</t>
        </is>
      </c>
      <c r="F121" t="inlineStr">
        <is>
          <t>VARCHAR2(1)</t>
        </is>
      </c>
      <c r="I121" t="inlineStr">
        <is>
          <t>-</t>
        </is>
      </c>
      <c r="J121" t="inlineStr">
        <is>
          <t>-</t>
        </is>
      </c>
      <c r="L121" t="inlineStr">
        <is>
          <t>-</t>
        </is>
      </c>
      <c r="O121" t="inlineStr">
        <is>
          <t>-</t>
        </is>
      </c>
      <c r="P121" t="inlineStr">
        <is>
          <t>未使用</t>
        </is>
      </c>
    </row>
    <row r="122">
      <c r="D122" t="inlineStr">
        <is>
          <t>ベンダー在庫No</t>
        </is>
      </c>
      <c r="F122" t="inlineStr">
        <is>
          <t>VARCHAR2(20)</t>
        </is>
      </c>
      <c r="I122" t="inlineStr">
        <is>
          <t>-</t>
        </is>
      </c>
      <c r="J122" t="inlineStr">
        <is>
          <t>-</t>
        </is>
      </c>
      <c r="L122" t="inlineStr">
        <is>
          <t>-</t>
        </is>
      </c>
      <c r="O122" t="inlineStr">
        <is>
          <t>-</t>
        </is>
      </c>
      <c r="P122" t="inlineStr">
        <is>
          <t>未使用</t>
        </is>
      </c>
    </row>
    <row r="123">
      <c r="D123" t="inlineStr">
        <is>
          <t>原産国コード</t>
        </is>
      </c>
      <c r="F123" t="inlineStr">
        <is>
          <t>VARCHAR2(256)</t>
        </is>
      </c>
      <c r="I123" t="inlineStr">
        <is>
          <t>-</t>
        </is>
      </c>
      <c r="J123" t="inlineStr">
        <is>
          <t>-</t>
        </is>
      </c>
      <c r="L123" t="inlineStr">
        <is>
          <t>-</t>
        </is>
      </c>
      <c r="O123" t="inlineStr">
        <is>
          <t>-</t>
        </is>
      </c>
      <c r="P123" t="inlineStr">
        <is>
          <t>未使用</t>
        </is>
      </c>
    </row>
    <row r="124" ht="403.2" customHeight="1">
      <c r="D124" t="inlineStr">
        <is>
          <t>西友アイテムNo</t>
        </is>
      </c>
      <c r="F124" t="inlineStr">
        <is>
          <t>VARCHAR2(8)</t>
        </is>
      </c>
      <c r="I124" t="inlineStr">
        <is>
          <t>-</t>
        </is>
      </c>
      <c r="J124" t="inlineStr">
        <is>
          <t>-</t>
        </is>
      </c>
      <c r="L124" t="inlineStr">
        <is>
          <t>-</t>
        </is>
      </c>
      <c r="O124" t="inlineStr">
        <is>
          <t>-</t>
        </is>
      </c>
      <c r="P124" t="inlineStr">
        <is>
          <t>未使用</t>
        </is>
      </c>
    </row>
    <row r="125">
      <c r="D125" t="inlineStr">
        <is>
          <t>ブランドID</t>
        </is>
      </c>
      <c r="F125" t="inlineStr">
        <is>
          <t>NUMBER(10, 0)</t>
        </is>
      </c>
      <c r="I125" s="57" t="inlineStr">
        <is>
          <t>集計6
PRODUCTS　マスタ４次商品マスタ</t>
        </is>
      </c>
      <c r="J125" t="inlineStr">
        <is>
          <t>ブランド区分</t>
        </is>
      </c>
      <c r="L125" t="inlineStr">
        <is>
          <t>可変長</t>
        </is>
      </c>
      <c r="O125" t="inlineStr">
        <is>
          <t>△2</t>
        </is>
      </c>
      <c r="T125" s="57" t="inlineStr">
        <is>
          <t>商談システムでPB区分は登録できるようにしたが、集計サーバには連携されていない。→正式なマスタではなさそう
預り金集計有無、売上・仕入データなどの集計単位として使用している</t>
        </is>
      </c>
    </row>
    <row r="126">
      <c r="D126" t="inlineStr">
        <is>
          <t>サイズID</t>
        </is>
      </c>
      <c r="F126" t="inlineStr">
        <is>
          <t>VARCHAR2(10)</t>
        </is>
      </c>
      <c r="I126" t="inlineStr">
        <is>
          <t>-</t>
        </is>
      </c>
      <c r="J126" t="inlineStr">
        <is>
          <t>-</t>
        </is>
      </c>
      <c r="L126" t="inlineStr">
        <is>
          <t>-</t>
        </is>
      </c>
      <c r="O126" t="inlineStr">
        <is>
          <t>-</t>
        </is>
      </c>
      <c r="P126" t="inlineStr">
        <is>
          <t>未使用</t>
        </is>
      </c>
    </row>
    <row r="127">
      <c r="D127" t="inlineStr">
        <is>
          <t>ファミリーID</t>
        </is>
      </c>
      <c r="F127" t="inlineStr">
        <is>
          <t>VARCHAR2(10)</t>
        </is>
      </c>
      <c r="I127" t="inlineStr">
        <is>
          <t>-</t>
        </is>
      </c>
      <c r="J127" t="inlineStr">
        <is>
          <t>-</t>
        </is>
      </c>
      <c r="L127" t="inlineStr">
        <is>
          <t>-</t>
        </is>
      </c>
      <c r="O127" t="inlineStr">
        <is>
          <t>-</t>
        </is>
      </c>
      <c r="P127" t="inlineStr">
        <is>
          <t>未使用</t>
        </is>
      </c>
    </row>
    <row r="128">
      <c r="D128" t="inlineStr">
        <is>
          <t>KVI分類</t>
        </is>
      </c>
      <c r="F128" t="inlineStr">
        <is>
          <t>VARCHAR2(10)</t>
        </is>
      </c>
      <c r="I128" t="inlineStr">
        <is>
          <t>-</t>
        </is>
      </c>
      <c r="J128" t="inlineStr">
        <is>
          <t>-</t>
        </is>
      </c>
      <c r="L128" t="inlineStr">
        <is>
          <t>-</t>
        </is>
      </c>
      <c r="O128" t="inlineStr">
        <is>
          <t>-</t>
        </is>
      </c>
      <c r="P128" t="inlineStr">
        <is>
          <t>未使用</t>
        </is>
      </c>
    </row>
    <row r="129">
      <c r="D129" t="inlineStr">
        <is>
          <t>定価販売フラグ</t>
        </is>
      </c>
      <c r="F129" t="inlineStr">
        <is>
          <t>VARCHAR2(1)</t>
        </is>
      </c>
      <c r="I129" t="inlineStr">
        <is>
          <t>-</t>
        </is>
      </c>
      <c r="J129" t="inlineStr">
        <is>
          <t>-</t>
        </is>
      </c>
      <c r="L129" t="inlineStr">
        <is>
          <t>-</t>
        </is>
      </c>
      <c r="O129" t="inlineStr">
        <is>
          <t>-</t>
        </is>
      </c>
      <c r="P129" t="inlineStr">
        <is>
          <t>未使用</t>
        </is>
      </c>
    </row>
    <row r="130">
      <c r="D130" t="inlineStr">
        <is>
          <t>SABCランク区分</t>
        </is>
      </c>
      <c r="F130" t="inlineStr">
        <is>
          <t>VARCHAR2(1)</t>
        </is>
      </c>
      <c r="I130" t="inlineStr">
        <is>
          <t>-</t>
        </is>
      </c>
      <c r="J130" t="inlineStr">
        <is>
          <t>-</t>
        </is>
      </c>
      <c r="L130" t="inlineStr">
        <is>
          <t>-</t>
        </is>
      </c>
      <c r="O130" t="inlineStr">
        <is>
          <t>-</t>
        </is>
      </c>
      <c r="P130" t="inlineStr">
        <is>
          <t>未使用</t>
        </is>
      </c>
    </row>
    <row r="131">
      <c r="D131" t="inlineStr">
        <is>
          <t>MDsys連携済みフラグ</t>
        </is>
      </c>
      <c r="F131" t="inlineStr">
        <is>
          <t>VARCHAR2(1)</t>
        </is>
      </c>
      <c r="I131" t="inlineStr">
        <is>
          <t>-</t>
        </is>
      </c>
      <c r="J131" t="inlineStr">
        <is>
          <t>-</t>
        </is>
      </c>
      <c r="L131" t="inlineStr">
        <is>
          <t>-</t>
        </is>
      </c>
      <c r="O131" t="inlineStr">
        <is>
          <t>-</t>
        </is>
      </c>
      <c r="P131" t="inlineStr">
        <is>
          <t>未使用</t>
        </is>
      </c>
    </row>
    <row r="132">
      <c r="D132" t="inlineStr">
        <is>
          <t>アイテム作成日</t>
        </is>
      </c>
      <c r="F132" t="inlineStr">
        <is>
          <t>VARCHAR2(8)</t>
        </is>
      </c>
      <c r="I132" t="inlineStr">
        <is>
          <t>-</t>
        </is>
      </c>
      <c r="J132" t="inlineStr">
        <is>
          <t>-</t>
        </is>
      </c>
      <c r="L132" t="inlineStr">
        <is>
          <t>-</t>
        </is>
      </c>
      <c r="O132" t="inlineStr">
        <is>
          <t>?</t>
        </is>
      </c>
      <c r="P132" t="inlineStr">
        <is>
          <t>上流システム（MDsys / TC側）で該当アイテムが最初に新規作成された原本登録日（YYYYMMDD）。商品ライフサイクル管理の参照値として保持</t>
        </is>
      </c>
    </row>
  </sheetData>
  <mergeCells count="1">
    <mergeCell ref="B3:P3"/>
  </mergeCells>
  <dataValidations disablePrompts="1" count="3">
    <dataValidation sqref="O9:O49" showDropDown="0" showInputMessage="0" showErrorMessage="0" allowBlank="1" type="list">
      <formula1>"直連携,変換,固定値,編集,対象外,TBD"</formula1>
      <formula2>0</formula2>
    </dataValidation>
    <dataValidation sqref="S9:S49" showDropDown="0" showInputMessage="0" showErrorMessage="0" allowBlank="1" type="list">
      <formula1>"確定,確認中,未確定"</formula1>
      <formula2>0</formula2>
    </dataValidation>
    <dataValidation sqref="H9:I49 N9:N49" showDropDown="0" showInputMessage="0" showErrorMessage="0" allowBlank="1" type="list">
      <formula1>"○,－"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7"/>
  <sheetViews>
    <sheetView workbookViewId="0">
      <selection activeCell="A1" sqref="A1"/>
    </sheetView>
  </sheetViews>
  <sheetFormatPr baseColWidth="8" defaultRowHeight="15"/>
  <cols>
    <col width="5" customWidth="1" min="2" max="2"/>
    <col width="28" customWidth="1" min="3" max="3"/>
    <col width="18" customWidth="1" min="4" max="4"/>
    <col width="16" customWidth="1" min="5" max="5"/>
    <col width="12" customWidth="1" min="6" max="6"/>
    <col width="8" customWidth="1" min="7" max="7"/>
    <col width="6" customWidth="1" min="8" max="8"/>
    <col width="28" customWidth="1" min="9" max="9"/>
    <col width="18" customWidth="1" min="10" max="10"/>
    <col width="14" customWidth="1" min="11" max="11"/>
    <col width="12" customWidth="1" min="12" max="12"/>
    <col width="8" customWidth="1" min="13" max="13"/>
    <col width="6" customWidth="1" min="14" max="14"/>
    <col width="14" customWidth="1" min="15" max="15"/>
    <col width="36" customWidth="1" min="16" max="16"/>
  </cols>
  <sheetData>
    <row r="1">
      <c r="B1" s="69" t="inlineStr">
        <is>
          <t>5. 項目マッピング — Layer②（GCS→DWH Intake）</t>
        </is>
      </c>
    </row>
    <row r="2" ht="36" customHeight="1">
      <c r="B2" s="57" t="inlineStr">
        <is>
          <t>方針: DataSpider Layer② は **全フィールド Intake**。型変換・フィールド選別はしない。本IFで Layer② が無い場合は「対象外」と明記する。</t>
        </is>
      </c>
    </row>
    <row r="4">
      <c r="B4" t="inlineStr">
        <is>
          <t>■ 適用</t>
        </is>
      </c>
    </row>
    <row r="5">
      <c r="B5" t="inlineStr">
        <is>
          <t>（マスタIFのとき）受信先＝DWH Intake テーブル／送信元＝連携用GCSファイル。区分はすべて「直連携（全項目通過）」。</t>
        </is>
      </c>
    </row>
    <row r="7">
      <c r="B7" s="71" t="inlineStr">
        <is>
          <t>No</t>
        </is>
      </c>
      <c r="C7" s="71" t="inlineStr">
        <is>
          <t>【受信先】テーブル</t>
        </is>
      </c>
      <c r="D7" s="71" t="inlineStr">
        <is>
          <t>【受信先】項目名</t>
        </is>
      </c>
      <c r="E7" s="71" t="inlineStr">
        <is>
          <t>物理名</t>
        </is>
      </c>
      <c r="F7" s="71" t="inlineStr">
        <is>
          <t>型</t>
        </is>
      </c>
      <c r="G7" s="71" t="inlineStr">
        <is>
          <t>桁</t>
        </is>
      </c>
      <c r="H7" s="71" t="inlineStr">
        <is>
          <t>必須</t>
        </is>
      </c>
      <c r="I7" s="71" t="inlineStr">
        <is>
          <t>【送信元】テーブル</t>
        </is>
      </c>
      <c r="J7" s="71" t="inlineStr">
        <is>
          <t>【送信元】項目名</t>
        </is>
      </c>
      <c r="K7" s="71" t="inlineStr">
        <is>
          <t>物理名</t>
        </is>
      </c>
      <c r="L7" s="71" t="inlineStr">
        <is>
          <t>型</t>
        </is>
      </c>
      <c r="M7" s="71" t="inlineStr">
        <is>
          <t>桁</t>
        </is>
      </c>
      <c r="N7" s="71" t="inlineStr">
        <is>
          <t>必須</t>
        </is>
      </c>
      <c r="O7" s="71" t="inlineStr">
        <is>
          <t>マッピング区分</t>
        </is>
      </c>
      <c r="P7" s="71" t="inlineStr">
        <is>
          <t>備考</t>
        </is>
      </c>
    </row>
  </sheetData>
  <mergeCells count="1">
    <mergeCell ref="B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P9"/>
  <sheetViews>
    <sheetView workbookViewId="0">
      <selection activeCell="A1" sqref="A1"/>
    </sheetView>
  </sheetViews>
  <sheetFormatPr baseColWidth="8" defaultRowHeight="15"/>
  <cols>
    <col width="5" customWidth="1" min="2" max="2"/>
    <col width="28" customWidth="1" min="3" max="3"/>
    <col width="18" customWidth="1" min="4" max="4"/>
    <col width="16" customWidth="1" min="5" max="5"/>
    <col width="12" customWidth="1" min="6" max="6"/>
    <col width="8" customWidth="1" min="7" max="7"/>
    <col width="6" customWidth="1" min="8" max="8"/>
    <col width="28" customWidth="1" min="9" max="9"/>
    <col width="18" customWidth="1" min="10" max="10"/>
    <col width="14" customWidth="1" min="11" max="11"/>
    <col width="12" customWidth="1" min="12" max="12"/>
    <col width="8" customWidth="1" min="13" max="13"/>
    <col width="6" customWidth="1" min="14" max="14"/>
    <col width="14" customWidth="1" min="15" max="15"/>
    <col width="36" customWidth="1" min="16" max="16"/>
  </cols>
  <sheetData>
    <row r="1">
      <c r="B1" s="69" t="inlineStr">
        <is>
          <t>5. 項目マッピング — Layer③（業務システム ↔ GCS／DWH）</t>
        </is>
      </c>
    </row>
    <row r="2" ht="40" customHeight="1">
      <c r="B2" s="57" t="inlineStr">
        <is>
          <t>方針: DataSpider Layer③ は **全フィールド転送／配置**。型変換・フィールド選別・コード編集は書かない（Layer①へ）。送信元と受信先は同一項目を「直連携（全項目通過）」で列挙する。</t>
        </is>
      </c>
    </row>
    <row r="5">
      <c r="B5" s="71" t="inlineStr">
        <is>
          <t>No</t>
        </is>
      </c>
      <c r="C5" s="71" t="inlineStr">
        <is>
          <t>【受信先】テーブル</t>
        </is>
      </c>
      <c r="D5" s="71" t="inlineStr">
        <is>
          <t>【受信先】項目名</t>
        </is>
      </c>
      <c r="E5" s="71" t="inlineStr">
        <is>
          <t>物理名</t>
        </is>
      </c>
      <c r="F5" s="71" t="inlineStr">
        <is>
          <t>型</t>
        </is>
      </c>
      <c r="G5" s="71" t="inlineStr">
        <is>
          <t>桁</t>
        </is>
      </c>
      <c r="H5" s="71" t="inlineStr">
        <is>
          <t>必須</t>
        </is>
      </c>
      <c r="I5" s="71" t="inlineStr">
        <is>
          <t>【送信元】テーブル</t>
        </is>
      </c>
      <c r="J5" s="71" t="inlineStr">
        <is>
          <t>【送信元】項目名</t>
        </is>
      </c>
      <c r="K5" s="71" t="inlineStr">
        <is>
          <t>物理名</t>
        </is>
      </c>
      <c r="L5" s="71" t="inlineStr">
        <is>
          <t>型</t>
        </is>
      </c>
      <c r="M5" s="71" t="inlineStr">
        <is>
          <t>桁</t>
        </is>
      </c>
      <c r="N5" s="71" t="inlineStr">
        <is>
          <t>必須</t>
        </is>
      </c>
      <c r="O5" s="71" t="inlineStr">
        <is>
          <t>マッピング区分</t>
        </is>
      </c>
      <c r="P5" s="71" t="inlineStr">
        <is>
          <t>備考</t>
        </is>
      </c>
    </row>
    <row r="6">
      <c r="B6" s="72" t="n"/>
      <c r="C6" s="72" t="n"/>
      <c r="D6" s="72" t="n"/>
      <c r="E6" s="72" t="n"/>
      <c r="F6" s="72" t="n"/>
      <c r="G6" s="72" t="n"/>
      <c r="H6" s="72" t="n"/>
      <c r="I6" s="72" t="n"/>
      <c r="J6" s="72" t="n"/>
      <c r="K6" s="72" t="n"/>
      <c r="L6" s="72" t="n"/>
      <c r="M6" s="72" t="n"/>
      <c r="N6" s="72" t="n"/>
      <c r="O6" s="72" t="n"/>
      <c r="P6" s="72" t="n"/>
    </row>
    <row r="7">
      <c r="B7" s="72" t="n"/>
      <c r="C7" s="72" t="n"/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</row>
    <row r="8">
      <c r="B8" s="72" t="n"/>
      <c r="C8" s="72" t="n"/>
      <c r="D8" s="72" t="n"/>
      <c r="E8" s="72" t="n"/>
      <c r="F8" s="72" t="n"/>
      <c r="G8" s="72" t="n"/>
      <c r="H8" s="72" t="n"/>
      <c r="I8" s="72" t="n"/>
      <c r="J8" s="72" t="n"/>
      <c r="K8" s="72" t="n"/>
      <c r="L8" s="72" t="n"/>
      <c r="M8" s="72" t="n"/>
      <c r="N8" s="72" t="n"/>
      <c r="O8" s="72" t="n"/>
      <c r="P8" s="72" t="n"/>
    </row>
    <row r="9">
      <c r="B9" s="72" t="n"/>
      <c r="C9" s="72" t="n"/>
      <c r="D9" s="72" t="n"/>
      <c r="E9" s="72" t="n"/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</row>
  </sheetData>
  <mergeCells count="1">
    <mergeCell ref="B2:P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143"/>
  <sheetViews>
    <sheetView showGridLines="0" topLeftCell="A6" zoomScaleNormal="100" workbookViewId="0">
      <selection activeCell="J25" sqref="J25"/>
    </sheetView>
  </sheetViews>
  <sheetFormatPr baseColWidth="8" defaultColWidth="8.6640625" defaultRowHeight="14.4"/>
  <cols>
    <col width="2" customWidth="1" min="1" max="1"/>
    <col width="6" customWidth="1" min="2" max="2"/>
    <col width="22" customWidth="1" min="3" max="3"/>
    <col width="18" customWidth="1" min="4" max="4"/>
    <col width="10" customWidth="1" min="5" max="5"/>
    <col width="8" customWidth="1" min="6" max="7"/>
    <col width="7" customWidth="1" min="8" max="8"/>
    <col width="14" customWidth="1" min="9" max="9"/>
    <col width="24" customWidth="1" min="10" max="10"/>
    <col width="20" customWidth="1" min="11" max="11"/>
  </cols>
  <sheetData>
    <row r="1" ht="17.4" customHeight="1">
      <c r="B1" s="1" t="inlineStr">
        <is>
          <t>7. ファイルレイアウト（成果物No. A-3）</t>
        </is>
      </c>
    </row>
    <row r="2">
      <c r="B2" s="2" t="inlineStr">
        <is>
          <t>連携ファイルの物理仕様。送信・受信の双方向がある場合は本シートを複製してください</t>
        </is>
      </c>
    </row>
    <row r="4">
      <c r="I4" t="inlineStr">
        <is>
          <t>Layer①　IN</t>
        </is>
      </c>
    </row>
    <row r="5" ht="21.75" customHeight="1">
      <c r="B5" s="3" t="inlineStr">
        <is>
          <t>■ ファイル仕様</t>
        </is>
      </c>
      <c r="C5" s="4" t="n"/>
      <c r="D5" s="4" t="n"/>
      <c r="E5" s="4" t="n"/>
      <c r="F5" s="4" t="n"/>
      <c r="G5" s="4" t="n"/>
      <c r="I5" t="inlineStr">
        <is>
          <t>Layer①　OUT、Layer②　IN</t>
        </is>
      </c>
    </row>
    <row r="6" ht="19.5" customHeight="1">
      <c r="B6" s="60" t="inlineStr">
        <is>
          <t>ファイル論理名</t>
        </is>
      </c>
      <c r="C6" s="61" t="n"/>
      <c r="D6" s="38" t="inlineStr">
        <is>
          <t>例：店舗商品マスタ連携ファイル</t>
        </is>
      </c>
      <c r="E6" s="62" t="n"/>
      <c r="F6" s="62" t="n"/>
      <c r="G6" s="62" t="n"/>
      <c r="I6" t="inlineStr">
        <is>
          <t>Layer②　OUT、Layer③　IN</t>
        </is>
      </c>
    </row>
    <row r="7" ht="19.5" customHeight="1">
      <c r="B7" s="63" t="inlineStr">
        <is>
          <t>ファイル物理名</t>
        </is>
      </c>
      <c r="C7" s="64" t="n"/>
      <c r="D7" s="40" t="inlineStr">
        <is>
          <t>例：SINOPS02_TENPO_SHOHIN_YYYYMMDD.csv</t>
        </is>
      </c>
    </row>
    <row r="8" ht="19.5" customHeight="1">
      <c r="B8" s="63" t="inlineStr">
        <is>
          <t>レコード種別</t>
        </is>
      </c>
      <c r="C8" s="64" t="n"/>
      <c r="D8" s="40" t="inlineStr">
        <is>
          <t>単一 ／ ヘッダ＋明細＋トレーラ</t>
        </is>
      </c>
    </row>
    <row r="9" ht="19.5" customHeight="1">
      <c r="B9" s="63" t="inlineStr">
        <is>
          <t>文字コード</t>
        </is>
      </c>
      <c r="C9" s="64" t="n"/>
      <c r="D9" s="40" t="inlineStr">
        <is>
          <t>例：UTF-8（BOMなし）</t>
        </is>
      </c>
    </row>
    <row r="10" ht="19.5" customHeight="1">
      <c r="B10" s="63" t="inlineStr">
        <is>
          <t>改行コード</t>
        </is>
      </c>
      <c r="C10" s="64" t="n"/>
      <c r="D10" s="42" t="inlineStr">
        <is>
          <t>CRLF ／ LF</t>
        </is>
      </c>
    </row>
    <row r="11" ht="19.5" customHeight="1">
      <c r="B11" s="63" t="inlineStr">
        <is>
          <t>区切り文字</t>
        </is>
      </c>
      <c r="C11" s="64" t="n"/>
      <c r="D11" s="40" t="inlineStr">
        <is>
          <t>カンマ ／ タブ ／ 固定長</t>
        </is>
      </c>
    </row>
    <row r="12" ht="19.5" customHeight="1">
      <c r="B12" s="63" t="inlineStr">
        <is>
          <t>囲み文字</t>
        </is>
      </c>
      <c r="C12" s="64" t="n"/>
      <c r="D12" s="40" t="inlineStr">
        <is>
          <t>なし ／ ダブルクォート</t>
        </is>
      </c>
    </row>
    <row r="13" ht="19.5" customHeight="1">
      <c r="B13" s="63" t="inlineStr">
        <is>
          <t>ヘッダ行</t>
        </is>
      </c>
      <c r="C13" s="64" t="n"/>
      <c r="D13" s="40" t="inlineStr">
        <is>
          <t>有（1行目に項目名） ／ 無</t>
        </is>
      </c>
    </row>
    <row r="14" ht="19.5" customHeight="1">
      <c r="B14" s="63" t="inlineStr">
        <is>
          <t>圧縮</t>
        </is>
      </c>
      <c r="C14" s="64" t="n"/>
      <c r="D14" s="40" t="inlineStr">
        <is>
          <t>なし ／ gzip</t>
        </is>
      </c>
    </row>
    <row r="15">
      <c r="J15" s="29" t="inlineStr">
        <is>
          <t>×</t>
        </is>
      </c>
    </row>
    <row r="16" ht="21.75" customHeight="1">
      <c r="B16" s="3" t="inlineStr">
        <is>
          <t>■ 項目明細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36" customHeight="1">
      <c r="B17" s="12" t="inlineStr">
        <is>
          <t>No</t>
        </is>
      </c>
      <c r="C17" s="7" t="inlineStr">
        <is>
          <t>項目名</t>
        </is>
      </c>
      <c r="D17" s="7" t="inlineStr">
        <is>
          <t>物理名</t>
        </is>
      </c>
      <c r="E17" s="7" t="inlineStr">
        <is>
          <t>型</t>
        </is>
      </c>
      <c r="F17" s="7" t="inlineStr">
        <is>
          <t>桁</t>
        </is>
      </c>
      <c r="G17" s="7" t="inlineStr">
        <is>
          <t>小数</t>
        </is>
      </c>
      <c r="H17" s="7" t="inlineStr">
        <is>
          <t>必須</t>
        </is>
      </c>
      <c r="I17" s="7" t="inlineStr">
        <is>
          <t>初期値・固定値</t>
        </is>
      </c>
      <c r="J17" s="7" t="inlineStr">
        <is>
          <t>編集仕様</t>
        </is>
      </c>
      <c r="K17" s="7" t="inlineStr">
        <is>
          <t>備考</t>
        </is>
      </c>
    </row>
    <row r="18" ht="31.5" customHeight="1">
      <c r="B18" s="8" t="inlineStr">
        <is>
          <t>1</t>
        </is>
      </c>
      <c r="C18" s="9" t="inlineStr">
        <is>
          <t>メンテ区分</t>
        </is>
      </c>
      <c r="D18" s="8" t="inlineStr">
        <is>
          <t>STORE_CD</t>
        </is>
      </c>
      <c r="E18" s="8" t="inlineStr">
        <is>
          <t>VARCHAR2(1)</t>
        </is>
      </c>
      <c r="F18" s="8" t="inlineStr">
        <is>
          <t>7</t>
        </is>
      </c>
      <c r="G18" s="9" t="inlineStr">
        <is>
          <t>－</t>
        </is>
      </c>
      <c r="H18" s="8" t="inlineStr">
        <is>
          <t>○</t>
        </is>
      </c>
      <c r="I18" s="9" t="inlineStr">
        <is>
          <t>－</t>
        </is>
      </c>
      <c r="J18" s="9" t="inlineStr">
        <is>
          <t>左詰め・スペース埋め</t>
        </is>
      </c>
      <c r="K18" s="9" t="n"/>
    </row>
    <row r="19" ht="31.5" customHeight="1">
      <c r="B19" s="8" t="inlineStr">
        <is>
          <t>2</t>
        </is>
      </c>
      <c r="C19" s="9" t="inlineStr">
        <is>
          <t>商品コード</t>
        </is>
      </c>
      <c r="D19" s="8" t="inlineStr">
        <is>
          <t>STD_COST</t>
        </is>
      </c>
      <c r="E19" s="8" t="inlineStr">
        <is>
          <t>VARCHAR2(13)</t>
        </is>
      </c>
      <c r="F19" s="8" t="inlineStr">
        <is>
          <t>9</t>
        </is>
      </c>
      <c r="G19" s="8" t="inlineStr">
        <is>
          <t>2</t>
        </is>
      </c>
      <c r="H19" s="8" t="inlineStr">
        <is>
          <t>○</t>
        </is>
      </c>
      <c r="I19" s="8" t="inlineStr">
        <is>
          <t>0</t>
        </is>
      </c>
      <c r="J19" s="9" t="inlineStr">
        <is>
          <t>小数点あり・符号なし</t>
        </is>
      </c>
      <c r="K19" s="9" t="inlineStr">
        <is>
          <t>税抜</t>
        </is>
      </c>
    </row>
    <row r="20" ht="21.75" customHeight="1">
      <c r="B20" s="10" t="n"/>
      <c r="C20" s="10" t="inlineStr">
        <is>
          <t>分類コード１（大分類）</t>
        </is>
      </c>
      <c r="D20" s="10" t="n"/>
      <c r="E20" s="10" t="inlineStr">
        <is>
          <t>VARCHAR2(5)</t>
        </is>
      </c>
      <c r="F20" s="10" t="n"/>
      <c r="G20" s="10" t="n"/>
      <c r="H20" s="10" t="n"/>
      <c r="I20" s="10" t="n"/>
      <c r="J20" s="10" t="n"/>
      <c r="K20" s="10" t="n"/>
    </row>
    <row r="21" ht="21.75" customHeight="1">
      <c r="B21" s="10" t="n"/>
      <c r="C21" s="10" t="inlineStr">
        <is>
          <t>分類コード２（集計部門）</t>
        </is>
      </c>
      <c r="D21" s="10" t="n"/>
      <c r="E21" s="10" t="inlineStr">
        <is>
          <t>VARCHAR2(5)</t>
        </is>
      </c>
      <c r="F21" s="10" t="n"/>
      <c r="G21" s="10" t="n"/>
      <c r="H21" s="10" t="n"/>
      <c r="I21" s="10" t="n"/>
      <c r="J21" s="10" t="n"/>
      <c r="K21" s="10" t="n"/>
    </row>
    <row r="22" ht="21.75" customHeight="1">
      <c r="B22" s="10" t="n"/>
      <c r="C22" s="10" t="inlineStr">
        <is>
          <t>分類コード３（部門）</t>
        </is>
      </c>
      <c r="D22" s="10" t="n"/>
      <c r="E22" s="10" t="inlineStr">
        <is>
          <t>VARCHAR2(5)</t>
        </is>
      </c>
      <c r="F22" s="10" t="n"/>
      <c r="G22" s="10" t="n"/>
      <c r="H22" s="10" t="n"/>
      <c r="I22" s="10" t="n"/>
      <c r="J22" s="10" t="n"/>
      <c r="K22" s="10" t="n"/>
    </row>
    <row r="23" ht="21.75" customHeight="1">
      <c r="B23" s="10" t="n"/>
      <c r="C23" s="10" t="inlineStr">
        <is>
          <t>分類コード４（中分類）</t>
        </is>
      </c>
      <c r="D23" s="10" t="n"/>
      <c r="E23" s="10" t="inlineStr">
        <is>
          <t>VARCHAR2(5)</t>
        </is>
      </c>
      <c r="F23" s="10" t="n"/>
      <c r="G23" s="10" t="n"/>
      <c r="H23" s="10" t="n"/>
      <c r="I23" s="10" t="n"/>
      <c r="J23" s="10" t="n"/>
      <c r="K23" s="10" t="n"/>
    </row>
    <row r="24" ht="21.75" customHeight="1">
      <c r="B24" s="10" t="n"/>
      <c r="C24" s="10" t="inlineStr">
        <is>
          <t>分類コード５（小分類）</t>
        </is>
      </c>
      <c r="D24" s="10" t="n"/>
      <c r="E24" s="10" t="inlineStr">
        <is>
          <t>VARCHAR2(5)</t>
        </is>
      </c>
      <c r="F24" s="10" t="n"/>
      <c r="G24" s="10" t="n"/>
      <c r="H24" s="10" t="n"/>
      <c r="I24" s="10" t="n"/>
      <c r="J24" s="10" t="n"/>
      <c r="K24" s="10" t="n"/>
    </row>
    <row r="25" ht="21.75" customHeight="1">
      <c r="B25" s="10" t="n"/>
      <c r="C25" s="10" t="inlineStr">
        <is>
          <t>分類コード６（未使用）</t>
        </is>
      </c>
      <c r="D25" s="10" t="n"/>
      <c r="E25" s="10" t="inlineStr">
        <is>
          <t>VARCHAR2(5)</t>
        </is>
      </c>
      <c r="F25" s="10" t="n"/>
      <c r="G25" s="10" t="n"/>
      <c r="H25" s="10" t="n"/>
      <c r="I25" s="10" t="n"/>
      <c r="J25" s="10" t="n"/>
      <c r="K25" s="10" t="n"/>
    </row>
    <row r="26" ht="21.75" customHeight="1">
      <c r="B26" s="10" t="n"/>
      <c r="C26" s="10" t="inlineStr">
        <is>
          <t>バーコード区分</t>
        </is>
      </c>
      <c r="D26" s="10" t="n"/>
      <c r="E26" s="10" t="inlineStr">
        <is>
          <t>VARCHAR2(1)</t>
        </is>
      </c>
      <c r="F26" s="10" t="n"/>
      <c r="G26" s="10" t="n"/>
      <c r="H26" s="10" t="n"/>
      <c r="I26" s="10" t="n"/>
      <c r="J26" s="10" t="n"/>
      <c r="K26" s="10" t="n"/>
    </row>
    <row r="27" ht="21.75" customHeight="1">
      <c r="B27" s="10" t="n"/>
      <c r="C27" s="10" t="inlineStr">
        <is>
          <t>商品名（カナ上段）</t>
        </is>
      </c>
      <c r="D27" s="10" t="n"/>
      <c r="E27" s="10" t="inlineStr">
        <is>
          <t>VARCHAR2(28)</t>
        </is>
      </c>
      <c r="F27" s="10" t="n"/>
      <c r="G27" s="10" t="n"/>
      <c r="H27" s="10" t="n"/>
      <c r="I27" s="10" t="n"/>
      <c r="J27" s="10" t="n"/>
      <c r="K27" s="10" t="n"/>
    </row>
    <row r="28" ht="21.75" customHeight="1">
      <c r="B28" s="10" t="n"/>
      <c r="C28" s="10" t="inlineStr">
        <is>
          <t>商品名（カナ下段）</t>
        </is>
      </c>
      <c r="D28" s="10" t="n"/>
      <c r="E28" s="10" t="inlineStr">
        <is>
          <t>VARCHAR2(22)</t>
        </is>
      </c>
      <c r="F28" s="10" t="n"/>
      <c r="G28" s="10" t="n"/>
      <c r="H28" s="10" t="n"/>
      <c r="I28" s="10" t="n"/>
      <c r="J28" s="10" t="n"/>
      <c r="K28" s="10" t="n"/>
    </row>
    <row r="29" ht="21.75" customHeight="1">
      <c r="B29" s="10" t="n"/>
      <c r="C29" s="10" t="inlineStr">
        <is>
          <t>商品名（上段）</t>
        </is>
      </c>
      <c r="D29" s="10" t="n"/>
      <c r="E29" s="10" t="inlineStr">
        <is>
          <t>VARCHAR2(40)</t>
        </is>
      </c>
      <c r="F29" s="10" t="n"/>
      <c r="G29" s="10" t="n"/>
      <c r="H29" s="10" t="n"/>
      <c r="I29" s="10" t="n"/>
      <c r="J29" s="10" t="n"/>
      <c r="K29" s="10" t="n"/>
    </row>
    <row r="30" ht="21.75" customHeight="1">
      <c r="B30" s="10" t="n"/>
      <c r="C30" s="10" t="inlineStr">
        <is>
          <t>商品名（下段）</t>
        </is>
      </c>
      <c r="D30" s="10" t="n"/>
      <c r="E30" s="10" t="inlineStr">
        <is>
          <t>VARCHAR2(22)</t>
        </is>
      </c>
      <c r="F30" s="10" t="n"/>
      <c r="G30" s="10" t="n"/>
      <c r="H30" s="10" t="n"/>
      <c r="I30" s="10" t="n"/>
      <c r="J30" s="10" t="n"/>
      <c r="K30" s="10" t="n"/>
    </row>
    <row r="31" ht="21.75" customHeight="1">
      <c r="B31" s="10" t="n"/>
      <c r="C31" s="10" t="inlineStr">
        <is>
          <t>レシート名（カナ）</t>
        </is>
      </c>
      <c r="D31" s="10" t="n"/>
      <c r="E31" s="10" t="inlineStr">
        <is>
          <t>VARCHAR2(28)</t>
        </is>
      </c>
      <c r="F31" s="10" t="n"/>
      <c r="G31" s="10" t="n"/>
      <c r="H31" s="10" t="n"/>
      <c r="I31" s="10" t="n"/>
      <c r="J31" s="10" t="n"/>
      <c r="K31" s="10" t="n"/>
    </row>
    <row r="32" ht="21.75" customHeight="1">
      <c r="B32" s="10" t="n"/>
      <c r="C32" s="10" t="inlineStr">
        <is>
          <t>レシート名</t>
        </is>
      </c>
      <c r="D32" s="10" t="n"/>
      <c r="E32" s="10" t="inlineStr">
        <is>
          <t>VARCHAR2(28)</t>
        </is>
      </c>
      <c r="F32" s="10" t="n"/>
      <c r="G32" s="10" t="n"/>
      <c r="H32" s="10" t="n"/>
      <c r="I32" s="10" t="n"/>
      <c r="J32" s="10" t="n"/>
      <c r="K32" s="10" t="n"/>
    </row>
    <row r="33" ht="21.75" customHeight="1">
      <c r="B33" s="10" t="n"/>
      <c r="C33" s="10" t="inlineStr">
        <is>
          <t>規格（カナ）</t>
        </is>
      </c>
      <c r="D33" s="10" t="n"/>
      <c r="E33" s="10" t="inlineStr">
        <is>
          <t>VARCHAR2(16)</t>
        </is>
      </c>
      <c r="F33" s="10" t="n"/>
      <c r="G33" s="10" t="n"/>
      <c r="H33" s="10" t="n"/>
      <c r="I33" s="10" t="n"/>
      <c r="J33" s="10" t="n"/>
      <c r="K33" s="10" t="n"/>
    </row>
    <row r="34" ht="21.75" customHeight="1">
      <c r="B34" s="10" t="n"/>
      <c r="C34" s="10" t="inlineStr">
        <is>
          <t>規格</t>
        </is>
      </c>
      <c r="D34" s="10" t="n"/>
      <c r="E34" s="10" t="inlineStr">
        <is>
          <t>VARCHAR2(16)</t>
        </is>
      </c>
      <c r="F34" s="10" t="n"/>
      <c r="G34" s="10" t="n"/>
      <c r="H34" s="10" t="n"/>
      <c r="I34" s="10" t="n"/>
      <c r="J34" s="10" t="n"/>
      <c r="K34" s="10" t="n"/>
    </row>
    <row r="35" ht="21.75" customHeight="1">
      <c r="B35" s="10" t="n"/>
      <c r="C35" s="10" t="inlineStr">
        <is>
          <t>ケース入数</t>
        </is>
      </c>
      <c r="D35" s="10" t="n"/>
      <c r="E35" s="10" t="inlineStr">
        <is>
          <t>NUMBER(4, 0)</t>
        </is>
      </c>
      <c r="F35" s="10" t="n"/>
      <c r="G35" s="10" t="n"/>
      <c r="H35" s="10" t="n"/>
      <c r="I35" s="10" t="n"/>
      <c r="J35" s="10" t="n"/>
      <c r="K35" s="10" t="n"/>
    </row>
    <row r="36" ht="21.75" customHeight="1">
      <c r="B36" s="10" t="n"/>
      <c r="C36" s="10" t="inlineStr">
        <is>
          <t>ボール入数</t>
        </is>
      </c>
      <c r="D36" s="10" t="n"/>
      <c r="E36" s="10" t="inlineStr">
        <is>
          <t>NUMBER(4, 0)</t>
        </is>
      </c>
      <c r="F36" s="10" t="n"/>
      <c r="G36" s="10" t="n"/>
      <c r="H36" s="10" t="n"/>
      <c r="I36" s="10" t="n"/>
      <c r="J36" s="10" t="n"/>
      <c r="K36" s="10" t="n"/>
    </row>
    <row r="37" ht="21.75" customHeight="1">
      <c r="B37" s="10" t="n"/>
      <c r="C37" s="10" t="inlineStr">
        <is>
          <t>単位コード</t>
        </is>
      </c>
      <c r="D37" s="10" t="n"/>
      <c r="E37" s="10" t="inlineStr">
        <is>
          <t>VARCHAR2(2)</t>
        </is>
      </c>
      <c r="F37" s="10" t="n"/>
      <c r="G37" s="10" t="n"/>
      <c r="H37" s="10" t="n"/>
      <c r="I37" s="10" t="n"/>
      <c r="J37" s="10" t="n"/>
      <c r="K37" s="10" t="n"/>
    </row>
    <row r="38" ht="21.75" customHeight="1">
      <c r="B38" s="10" t="n"/>
      <c r="C38" s="10" t="inlineStr">
        <is>
          <t>発注単位コード</t>
        </is>
      </c>
      <c r="D38" s="10" t="n"/>
      <c r="E38" s="10" t="inlineStr">
        <is>
          <t>VARCHAR2(2)</t>
        </is>
      </c>
      <c r="F38" s="10" t="n"/>
      <c r="G38" s="10" t="n"/>
      <c r="H38" s="10" t="n"/>
      <c r="I38" s="10" t="n"/>
      <c r="J38" s="10" t="n"/>
      <c r="K38" s="10" t="n"/>
    </row>
    <row r="39" ht="21.75" customHeight="1">
      <c r="B39" s="10" t="n"/>
      <c r="C39" s="10" t="inlineStr">
        <is>
          <t>販売単位数</t>
        </is>
      </c>
      <c r="D39" s="10" t="n"/>
      <c r="E39" s="10" t="inlineStr">
        <is>
          <t>NUMBER(3, 0)</t>
        </is>
      </c>
      <c r="F39" s="10" t="n"/>
      <c r="G39" s="10" t="n"/>
      <c r="H39" s="10" t="n"/>
      <c r="I39" s="10" t="n"/>
      <c r="J39" s="10" t="n"/>
      <c r="K39" s="10" t="n"/>
    </row>
    <row r="40" ht="21.75" customHeight="1">
      <c r="B40" s="10" t="n"/>
      <c r="C40" s="10" t="inlineStr">
        <is>
          <t>発注点</t>
        </is>
      </c>
      <c r="D40" s="10" t="n"/>
      <c r="E40" s="10" t="inlineStr">
        <is>
          <t>NUMBER(3, 0)</t>
        </is>
      </c>
      <c r="F40" s="10" t="n"/>
      <c r="G40" s="10" t="n"/>
      <c r="H40" s="10" t="n"/>
      <c r="I40" s="10" t="n"/>
      <c r="J40" s="10" t="n"/>
      <c r="K40" s="10" t="n"/>
    </row>
    <row r="41" ht="21.75" customHeight="1">
      <c r="B41" s="10" t="n"/>
      <c r="C41" s="10" t="inlineStr">
        <is>
          <t>ユニット総量</t>
        </is>
      </c>
      <c r="D41" s="10" t="n"/>
      <c r="E41" s="10" t="inlineStr">
        <is>
          <t>NUMBER(5, 0)</t>
        </is>
      </c>
      <c r="F41" s="10" t="n"/>
      <c r="G41" s="10" t="n"/>
      <c r="H41" s="10" t="n"/>
      <c r="I41" s="10" t="n"/>
      <c r="J41" s="10" t="n"/>
      <c r="K41" s="10" t="n"/>
    </row>
    <row r="42" ht="21.75" customHeight="1">
      <c r="B42" s="10" t="n"/>
      <c r="C42" s="10" t="inlineStr">
        <is>
          <t>ユニット単位数量</t>
        </is>
      </c>
      <c r="D42" s="10" t="n"/>
      <c r="E42" s="10" t="inlineStr">
        <is>
          <t>NUMBER(3, 0)</t>
        </is>
      </c>
      <c r="F42" s="10" t="n"/>
      <c r="G42" s="10" t="n"/>
      <c r="H42" s="10" t="n"/>
      <c r="I42" s="10" t="n"/>
      <c r="J42" s="10" t="n"/>
      <c r="K42" s="10" t="n"/>
    </row>
    <row r="43" ht="21.75" customHeight="1">
      <c r="B43" s="10" t="n"/>
      <c r="C43" s="10" t="inlineStr">
        <is>
          <t>ユニット単位コード</t>
        </is>
      </c>
      <c r="D43" s="10" t="n"/>
      <c r="E43" s="10" t="inlineStr">
        <is>
          <t>VARCHAR2(2)</t>
        </is>
      </c>
      <c r="F43" s="10" t="n"/>
      <c r="G43" s="10" t="n"/>
      <c r="H43" s="10" t="n"/>
      <c r="I43" s="10" t="n"/>
      <c r="J43" s="10" t="n"/>
      <c r="K43" s="10" t="n"/>
    </row>
    <row r="44" ht="21.75" customHeight="1">
      <c r="B44" s="10" t="n"/>
      <c r="C44" s="10" t="inlineStr">
        <is>
          <t>サイズ横</t>
        </is>
      </c>
      <c r="D44" s="10" t="n"/>
      <c r="E44" s="10" t="inlineStr">
        <is>
          <t>NUMBER(5, 0)</t>
        </is>
      </c>
      <c r="F44" s="10" t="n"/>
      <c r="G44" s="10" t="n"/>
      <c r="H44" s="10" t="n"/>
      <c r="I44" s="10" t="n"/>
      <c r="J44" s="10" t="n"/>
      <c r="K44" s="10" t="n"/>
    </row>
    <row r="45" ht="21.75" customHeight="1">
      <c r="B45" s="10" t="n"/>
      <c r="C45" s="10" t="inlineStr">
        <is>
          <t>サイズ縦</t>
        </is>
      </c>
      <c r="D45" s="10" t="n"/>
      <c r="E45" s="10" t="inlineStr">
        <is>
          <t>NUMBER(5, 0)</t>
        </is>
      </c>
      <c r="F45" s="10" t="n"/>
      <c r="G45" s="10" t="n"/>
      <c r="H45" s="10" t="n"/>
      <c r="I45" s="10" t="n"/>
      <c r="J45" s="10" t="n"/>
      <c r="K45" s="10" t="n"/>
    </row>
    <row r="46" ht="21.75" customHeight="1">
      <c r="B46" s="10" t="n"/>
      <c r="C46" s="10" t="inlineStr">
        <is>
          <t>サイズ高さ</t>
        </is>
      </c>
      <c r="D46" s="10" t="n"/>
      <c r="E46" s="10" t="inlineStr">
        <is>
          <t>NUMBER(5, 0)</t>
        </is>
      </c>
      <c r="F46" s="10" t="n"/>
      <c r="G46" s="10" t="n"/>
      <c r="H46" s="10" t="n"/>
      <c r="I46" s="10" t="n"/>
      <c r="J46" s="10" t="n"/>
      <c r="K46" s="10" t="n"/>
    </row>
    <row r="47" ht="21.75" customHeight="1">
      <c r="B47" s="10" t="n"/>
      <c r="C47" s="10" t="inlineStr">
        <is>
          <t>標準小売価格</t>
        </is>
      </c>
      <c r="D47" s="10" t="n"/>
      <c r="E47" s="10" t="inlineStr">
        <is>
          <t>NUMBER(8, 0)</t>
        </is>
      </c>
      <c r="F47" s="10" t="n"/>
      <c r="G47" s="10" t="n"/>
      <c r="H47" s="10" t="n"/>
      <c r="I47" s="10" t="n"/>
      <c r="J47" s="10" t="n"/>
      <c r="K47" s="10" t="n"/>
    </row>
    <row r="48" ht="21.75" customHeight="1">
      <c r="B48" s="10" t="n"/>
      <c r="C48" s="10" t="inlineStr">
        <is>
          <t>課税区分</t>
        </is>
      </c>
      <c r="D48" s="10" t="n"/>
      <c r="E48" s="10" t="inlineStr">
        <is>
          <t>VARCHAR2(2)</t>
        </is>
      </c>
      <c r="F48" s="10" t="n"/>
      <c r="G48" s="10" t="n"/>
      <c r="H48" s="10" t="n"/>
      <c r="I48" s="10" t="n"/>
      <c r="J48" s="10" t="n"/>
      <c r="K48" s="10" t="n"/>
    </row>
    <row r="49" ht="21.75" customHeight="1">
      <c r="B49" s="10" t="n"/>
      <c r="C49" s="10" t="inlineStr">
        <is>
          <t>税率区分</t>
        </is>
      </c>
      <c r="D49" s="10" t="n"/>
      <c r="E49" s="10" t="inlineStr">
        <is>
          <t>VARCHAR2(2)</t>
        </is>
      </c>
      <c r="F49" s="10" t="n"/>
      <c r="G49" s="10" t="n"/>
      <c r="H49" s="10" t="n"/>
      <c r="I49" s="10" t="n"/>
      <c r="J49" s="10" t="n"/>
      <c r="K49" s="10" t="n"/>
    </row>
    <row r="50" ht="21.75" customHeight="1">
      <c r="B50" s="10" t="n"/>
      <c r="C50" s="10" t="inlineStr">
        <is>
          <t>税率</t>
        </is>
      </c>
      <c r="D50" s="10" t="n"/>
      <c r="E50" s="10" t="inlineStr">
        <is>
          <t>NUMBER(5, 2)</t>
        </is>
      </c>
      <c r="F50" s="10" t="n"/>
      <c r="G50" s="10" t="n"/>
      <c r="H50" s="10" t="n"/>
      <c r="I50" s="10" t="n"/>
      <c r="J50" s="10" t="n"/>
      <c r="K50" s="10" t="n"/>
    </row>
    <row r="51" ht="21.75" customHeight="1">
      <c r="B51" s="10" t="n"/>
      <c r="C51" s="10" t="inlineStr">
        <is>
          <t>包材区分</t>
        </is>
      </c>
      <c r="D51" s="10" t="n"/>
      <c r="E51" s="10" t="inlineStr">
        <is>
          <t>VARCHAR2(1)</t>
        </is>
      </c>
      <c r="F51" s="10" t="n"/>
      <c r="G51" s="10" t="n"/>
      <c r="H51" s="10" t="n"/>
      <c r="I51" s="10" t="n"/>
      <c r="J51" s="10" t="n"/>
      <c r="K51" s="10" t="n"/>
    </row>
    <row r="52" ht="21.75" customHeight="1">
      <c r="B52" s="10" t="n"/>
      <c r="C52" s="10" t="inlineStr">
        <is>
          <t>メーカコード</t>
        </is>
      </c>
      <c r="D52" s="10" t="n"/>
      <c r="E52" s="10" t="inlineStr">
        <is>
          <t>VARCHAR2(6)</t>
        </is>
      </c>
      <c r="F52" s="10" t="n"/>
      <c r="G52" s="10" t="n"/>
      <c r="H52" s="10" t="n"/>
      <c r="I52" s="10" t="n"/>
      <c r="J52" s="10" t="n"/>
      <c r="K52" s="10" t="n"/>
    </row>
    <row r="53" ht="21.75" customHeight="1">
      <c r="B53" s="10" t="n"/>
      <c r="C53" s="10" t="inlineStr">
        <is>
          <t>ＣＧＣ単位コード名</t>
        </is>
      </c>
      <c r="D53" s="10" t="n"/>
      <c r="E53" s="10" t="inlineStr">
        <is>
          <t>VARCHAR2(6)</t>
        </is>
      </c>
      <c r="F53" s="10" t="n"/>
      <c r="G53" s="10" t="n"/>
      <c r="H53" s="10" t="n"/>
      <c r="I53" s="10" t="n"/>
      <c r="J53" s="10" t="n"/>
      <c r="K53" s="10" t="n"/>
    </row>
    <row r="54" ht="21.75" customHeight="1">
      <c r="B54" s="10" t="n"/>
      <c r="C54" s="10" t="inlineStr">
        <is>
          <t>消費税区分名</t>
        </is>
      </c>
      <c r="D54" s="10" t="n"/>
      <c r="E54" s="10" t="inlineStr">
        <is>
          <t>VARCHAR2(6)</t>
        </is>
      </c>
      <c r="F54" s="10" t="n"/>
      <c r="G54" s="10" t="n"/>
      <c r="H54" s="10" t="n"/>
      <c r="I54" s="10" t="n"/>
      <c r="J54" s="10" t="n"/>
      <c r="K54" s="10" t="n"/>
    </row>
    <row r="55">
      <c r="C55" t="inlineStr">
        <is>
          <t>ＣＧＣ分類デプトコード</t>
        </is>
      </c>
      <c r="E55" t="inlineStr">
        <is>
          <t>VARCHAR2(3)</t>
        </is>
      </c>
    </row>
    <row r="56">
      <c r="B56" s="2" t="inlineStr">
        <is>
          <t>※ 項目Noはファイル内の並び順です。05_項目マッピングのNoとは一致しない場合があります。</t>
        </is>
      </c>
      <c r="C56" t="inlineStr">
        <is>
          <t>ＣＧＣ分類デプト名</t>
        </is>
      </c>
      <c r="E56" t="inlineStr">
        <is>
          <t>VARCHAR2(24)</t>
        </is>
      </c>
    </row>
    <row r="57">
      <c r="B57" s="2" t="inlineStr">
        <is>
          <t>※ 桁数・型は受信側システムの制約を優先します。送信側で桁があふれる場合は 09_確認事項 へ起票してください。</t>
        </is>
      </c>
      <c r="C57" t="inlineStr">
        <is>
          <t>ＣＧＣ分類ラインコード</t>
        </is>
      </c>
      <c r="E57" t="inlineStr">
        <is>
          <t>VARCHAR2(3)</t>
        </is>
      </c>
    </row>
    <row r="58">
      <c r="C58" t="inlineStr">
        <is>
          <t>ＣＧＣ分類ライン名</t>
        </is>
      </c>
      <c r="E58" t="inlineStr">
        <is>
          <t>VARCHAR2(24)</t>
        </is>
      </c>
    </row>
    <row r="59">
      <c r="C59" t="inlineStr">
        <is>
          <t>ＣＧＣ分類クラスコード</t>
        </is>
      </c>
      <c r="E59" t="inlineStr">
        <is>
          <t>VARCHAR2(4)</t>
        </is>
      </c>
    </row>
    <row r="60">
      <c r="C60" t="inlineStr">
        <is>
          <t>ＣＧＣ分類クラス名</t>
        </is>
      </c>
      <c r="E60" t="inlineStr">
        <is>
          <t>VARCHAR2(24)</t>
        </is>
      </c>
    </row>
    <row r="61">
      <c r="C61" t="inlineStr">
        <is>
          <t>ＣＧＣＪＩＣＦＳ分類コード</t>
        </is>
      </c>
      <c r="E61" t="inlineStr">
        <is>
          <t>VARCHAR2(6)</t>
        </is>
      </c>
    </row>
    <row r="62">
      <c r="C62" t="inlineStr">
        <is>
          <t>ＰＢ商品区分</t>
        </is>
      </c>
      <c r="E62" t="inlineStr">
        <is>
          <t>VARCHAR2(1)</t>
        </is>
      </c>
    </row>
    <row r="63">
      <c r="C63" t="inlineStr">
        <is>
          <t>売価送信区分</t>
        </is>
      </c>
      <c r="E63" t="inlineStr">
        <is>
          <t>VARCHAR2(1)</t>
        </is>
      </c>
    </row>
    <row r="64">
      <c r="C64" t="inlineStr">
        <is>
          <t>商品区分</t>
        </is>
      </c>
      <c r="E64" t="inlineStr">
        <is>
          <t>VARCHAR2(1)</t>
        </is>
      </c>
    </row>
    <row r="65">
      <c r="C65" t="inlineStr">
        <is>
          <t>廃番日</t>
        </is>
      </c>
      <c r="E65" t="inlineStr">
        <is>
          <t>VARCHAR2(8)</t>
        </is>
      </c>
    </row>
    <row r="66">
      <c r="C66" t="inlineStr">
        <is>
          <t>酒類区分１</t>
        </is>
      </c>
      <c r="E66" t="inlineStr">
        <is>
          <t>VARCHAR2(2)</t>
        </is>
      </c>
    </row>
    <row r="67">
      <c r="C67" t="inlineStr">
        <is>
          <t>度数１</t>
        </is>
      </c>
      <c r="E67" t="inlineStr">
        <is>
          <t>NUMBER(3, 1)</t>
        </is>
      </c>
    </row>
    <row r="68">
      <c r="C68" t="inlineStr">
        <is>
          <t>発泡区分１</t>
        </is>
      </c>
      <c r="E68" t="inlineStr">
        <is>
          <t>VARCHAR2(2)</t>
        </is>
      </c>
    </row>
    <row r="69">
      <c r="C69" t="inlineStr">
        <is>
          <t>容量１</t>
        </is>
      </c>
      <c r="E69" t="inlineStr">
        <is>
          <t>NUMBER(8, 0)</t>
        </is>
      </c>
    </row>
    <row r="70">
      <c r="C70" t="inlineStr">
        <is>
          <t>酒類区分２</t>
        </is>
      </c>
      <c r="E70" t="inlineStr">
        <is>
          <t>VARCHAR2(2)</t>
        </is>
      </c>
    </row>
    <row r="71">
      <c r="C71" t="inlineStr">
        <is>
          <t>度数２</t>
        </is>
      </c>
      <c r="E71" t="inlineStr">
        <is>
          <t>NUMBER(3, 1)</t>
        </is>
      </c>
    </row>
    <row r="72">
      <c r="C72" t="inlineStr">
        <is>
          <t>発泡区分２</t>
        </is>
      </c>
      <c r="E72" t="inlineStr">
        <is>
          <t>VARCHAR2(2)</t>
        </is>
      </c>
    </row>
    <row r="73">
      <c r="C73" t="inlineStr">
        <is>
          <t>容量２</t>
        </is>
      </c>
      <c r="E73" t="inlineStr">
        <is>
          <t>NUMBER(8, 0)</t>
        </is>
      </c>
    </row>
    <row r="74">
      <c r="C74" t="inlineStr">
        <is>
          <t>酒類区分３</t>
        </is>
      </c>
      <c r="E74" t="inlineStr">
        <is>
          <t>VARCHAR2(2)</t>
        </is>
      </c>
    </row>
    <row r="75">
      <c r="C75" t="inlineStr">
        <is>
          <t>度数３</t>
        </is>
      </c>
      <c r="E75" t="inlineStr">
        <is>
          <t>NUMBER(3, 1)</t>
        </is>
      </c>
    </row>
    <row r="76">
      <c r="C76" t="inlineStr">
        <is>
          <t>発泡区分３</t>
        </is>
      </c>
      <c r="E76" t="inlineStr">
        <is>
          <t>VARCHAR2(2)</t>
        </is>
      </c>
    </row>
    <row r="77">
      <c r="C77" t="inlineStr">
        <is>
          <t>容量３</t>
        </is>
      </c>
      <c r="E77" t="inlineStr">
        <is>
          <t>NUMBER(8, 0)</t>
        </is>
      </c>
    </row>
    <row r="78">
      <c r="C78" t="inlineStr">
        <is>
          <t>PCコメント</t>
        </is>
      </c>
      <c r="E78" t="inlineStr">
        <is>
          <t>VARCHAR2(50)</t>
        </is>
      </c>
    </row>
    <row r="79">
      <c r="C79" t="inlineStr">
        <is>
          <t>作成ユーザＩＤ</t>
        </is>
      </c>
      <c r="E79" t="inlineStr">
        <is>
          <t>VARCHAR2(20)</t>
        </is>
      </c>
    </row>
    <row r="80">
      <c r="C80" t="inlineStr">
        <is>
          <t>作成プログラムＩＤ</t>
        </is>
      </c>
      <c r="E80" t="inlineStr">
        <is>
          <t>VARCHAR2(20)</t>
        </is>
      </c>
    </row>
    <row r="81">
      <c r="C81" t="inlineStr">
        <is>
          <t>作成日時</t>
        </is>
      </c>
      <c r="E81" t="inlineStr">
        <is>
          <t>DATE</t>
        </is>
      </c>
    </row>
    <row r="82">
      <c r="C82" t="inlineStr">
        <is>
          <t>更新ユーザＩＤ</t>
        </is>
      </c>
      <c r="E82" t="inlineStr">
        <is>
          <t>VARCHAR2(20)</t>
        </is>
      </c>
    </row>
    <row r="83">
      <c r="C83" t="inlineStr">
        <is>
          <t>更新プログラムＩＤ</t>
        </is>
      </c>
      <c r="E83" t="inlineStr">
        <is>
          <t>VARCHAR2(20)</t>
        </is>
      </c>
    </row>
    <row r="84">
      <c r="C84" t="inlineStr">
        <is>
          <t>更新日時</t>
        </is>
      </c>
      <c r="E84" t="inlineStr">
        <is>
          <t>DATE</t>
        </is>
      </c>
    </row>
    <row r="85">
      <c r="C85" t="inlineStr">
        <is>
          <t>削除フラグ</t>
        </is>
      </c>
      <c r="E85" t="inlineStr">
        <is>
          <t>NUMBER(1, 0)</t>
        </is>
      </c>
    </row>
    <row r="86">
      <c r="C86" t="inlineStr">
        <is>
          <t>更新回数</t>
        </is>
      </c>
      <c r="E86" t="inlineStr">
        <is>
          <t>NUMBER(6, 0)</t>
        </is>
      </c>
    </row>
    <row r="87">
      <c r="C87" t="inlineStr">
        <is>
          <t>単価訂正フラグ</t>
        </is>
      </c>
      <c r="E87" t="inlineStr">
        <is>
          <t>VARCHAR2(1)</t>
        </is>
      </c>
    </row>
    <row r="88">
      <c r="C88" t="inlineStr">
        <is>
          <t>レジ現金フラグ</t>
        </is>
      </c>
      <c r="E88" t="inlineStr">
        <is>
          <t>VARCHAR2(1)</t>
        </is>
      </c>
    </row>
    <row r="89">
      <c r="C89" t="inlineStr">
        <is>
          <t>クレジット不可区分</t>
        </is>
      </c>
      <c r="E89" t="inlineStr">
        <is>
          <t>VARCHAR2(1)</t>
        </is>
      </c>
    </row>
    <row r="90">
      <c r="C90" t="inlineStr">
        <is>
          <t>掛不可区分</t>
        </is>
      </c>
      <c r="E90" t="inlineStr">
        <is>
          <t>VARCHAR2(1)</t>
        </is>
      </c>
    </row>
    <row r="91">
      <c r="C91" t="inlineStr">
        <is>
          <t>値引不可区分</t>
        </is>
      </c>
      <c r="E91" t="inlineStr">
        <is>
          <t>VARCHAR2(1)</t>
        </is>
      </c>
    </row>
    <row r="92">
      <c r="C92" t="inlineStr">
        <is>
          <t>電子マネー不可区分</t>
        </is>
      </c>
      <c r="E92" t="inlineStr">
        <is>
          <t>VARCHAR2(1)</t>
        </is>
      </c>
    </row>
    <row r="93">
      <c r="C93" t="inlineStr">
        <is>
          <t>ＱＲ決済不可区分</t>
        </is>
      </c>
      <c r="E93" t="inlineStr">
        <is>
          <t>VARCHAR2(1)</t>
        </is>
      </c>
    </row>
    <row r="94">
      <c r="C94" t="inlineStr">
        <is>
          <t>特殊アラート商品区分</t>
        </is>
      </c>
      <c r="E94" t="inlineStr">
        <is>
          <t>VARCHAR2(1)</t>
        </is>
      </c>
    </row>
    <row r="95">
      <c r="C95" t="inlineStr">
        <is>
          <t>スタイルNo</t>
        </is>
      </c>
      <c r="E95" t="inlineStr">
        <is>
          <t>VARCHAR2(8)</t>
        </is>
      </c>
    </row>
    <row r="96">
      <c r="C96" t="inlineStr">
        <is>
          <t>週販予測数量</t>
        </is>
      </c>
      <c r="E96" t="inlineStr">
        <is>
          <t>NUMBER(3, 0)</t>
        </is>
      </c>
    </row>
    <row r="97">
      <c r="C97" t="inlineStr">
        <is>
          <t>アソシエイト割引フラグ</t>
        </is>
      </c>
      <c r="E97" t="inlineStr">
        <is>
          <t>VARCHAR2(1)</t>
        </is>
      </c>
    </row>
    <row r="98">
      <c r="C98" t="inlineStr">
        <is>
          <t>価格プロンプトフラグ</t>
        </is>
      </c>
      <c r="E98" t="inlineStr">
        <is>
          <t>VARCHAR2(1)</t>
        </is>
      </c>
    </row>
    <row r="99">
      <c r="C99" t="inlineStr">
        <is>
          <t>楽天ポイント対象外フラグ</t>
        </is>
      </c>
      <c r="E99" t="inlineStr">
        <is>
          <t>VARCHAR2(1)</t>
        </is>
      </c>
    </row>
    <row r="100">
      <c r="C100" t="inlineStr">
        <is>
          <t>レジ年齢確認フラグ</t>
        </is>
      </c>
      <c r="E100" t="inlineStr">
        <is>
          <t>VARCHAR2(1)</t>
        </is>
      </c>
    </row>
    <row r="101">
      <c r="C101" t="inlineStr">
        <is>
          <t>医薬品レジフラグ</t>
        </is>
      </c>
      <c r="E101" t="inlineStr">
        <is>
          <t>VARCHAR2(1)</t>
        </is>
      </c>
    </row>
    <row r="102">
      <c r="C102" t="inlineStr">
        <is>
          <t>販売制限フラグ</t>
        </is>
      </c>
      <c r="E102" t="inlineStr">
        <is>
          <t>VARCHAR2(1)</t>
        </is>
      </c>
    </row>
    <row r="103">
      <c r="C103" t="inlineStr">
        <is>
          <t>口座No.</t>
        </is>
      </c>
      <c r="E103" t="inlineStr">
        <is>
          <t>NUMBER(10, 0)</t>
        </is>
      </c>
    </row>
    <row r="104">
      <c r="C104" t="inlineStr">
        <is>
          <t>サイズ</t>
        </is>
      </c>
      <c r="E104" t="inlineStr">
        <is>
          <t>VARCHAR2(10)</t>
        </is>
      </c>
    </row>
    <row r="105">
      <c r="C105" t="inlineStr">
        <is>
          <t>カラー</t>
        </is>
      </c>
      <c r="E105" t="inlineStr">
        <is>
          <t>VARCHAR2(10)</t>
        </is>
      </c>
    </row>
    <row r="106">
      <c r="C106" t="inlineStr">
        <is>
          <t>コンベア可否フラグ</t>
        </is>
      </c>
      <c r="E106" t="inlineStr">
        <is>
          <t>VARCHAR2(1)</t>
        </is>
      </c>
    </row>
    <row r="107">
      <c r="C107" t="inlineStr">
        <is>
          <t>ケースJAN(ITFコード)</t>
        </is>
      </c>
      <c r="E107" t="inlineStr">
        <is>
          <t>VARCHAR2(14)</t>
        </is>
      </c>
    </row>
    <row r="108">
      <c r="C108" t="inlineStr">
        <is>
          <t>DCロケーション</t>
        </is>
      </c>
      <c r="E108" t="inlineStr">
        <is>
          <t>NUMBER(10, 0)</t>
        </is>
      </c>
    </row>
    <row r="109">
      <c r="C109" t="inlineStr">
        <is>
          <t>ロット管理区分</t>
        </is>
      </c>
      <c r="E109" t="inlineStr">
        <is>
          <t>VARCHAR2(2)</t>
        </is>
      </c>
    </row>
    <row r="110">
      <c r="C110" t="inlineStr">
        <is>
          <t>パレット平置可能箱数</t>
        </is>
      </c>
      <c r="E110" t="inlineStr">
        <is>
          <t>NUMBER(5, 0)</t>
        </is>
      </c>
    </row>
    <row r="111">
      <c r="C111" t="inlineStr">
        <is>
          <t>パレット積載可能段数</t>
        </is>
      </c>
      <c r="E111" t="inlineStr">
        <is>
          <t>NUMBER(5, 0)</t>
        </is>
      </c>
    </row>
    <row r="112">
      <c r="C112" t="inlineStr">
        <is>
          <t>賞味期間基準日区分</t>
        </is>
      </c>
      <c r="E112" t="inlineStr">
        <is>
          <t>VARCHAR2(2)</t>
        </is>
      </c>
    </row>
    <row r="113">
      <c r="C113" t="inlineStr">
        <is>
          <t>賞味期間単位区分</t>
        </is>
      </c>
      <c r="E113" t="inlineStr">
        <is>
          <t>VARCHAR2(2)</t>
        </is>
      </c>
    </row>
    <row r="114">
      <c r="C114" t="inlineStr">
        <is>
          <t>賞味期間</t>
        </is>
      </c>
      <c r="E114" t="inlineStr">
        <is>
          <t>NUMBER(4, 0)</t>
        </is>
      </c>
    </row>
    <row r="115">
      <c r="C115" t="inlineStr">
        <is>
          <t>賞味期限</t>
        </is>
      </c>
      <c r="E115" t="inlineStr">
        <is>
          <t>VARCHAR2(8)</t>
        </is>
      </c>
    </row>
    <row r="116">
      <c r="C116" t="inlineStr">
        <is>
          <t>倉庫賞味期限管理</t>
        </is>
      </c>
      <c r="E116" t="inlineStr">
        <is>
          <t>NUMBER(5, 0)</t>
        </is>
      </c>
    </row>
    <row r="117">
      <c r="C117" t="inlineStr">
        <is>
          <t>入荷限界期間</t>
        </is>
      </c>
      <c r="E117" t="inlineStr">
        <is>
          <t>NUMBER(3, 0)</t>
        </is>
      </c>
    </row>
    <row r="118">
      <c r="C118" t="inlineStr">
        <is>
          <t>出荷限界期間</t>
        </is>
      </c>
      <c r="E118" t="inlineStr">
        <is>
          <t>NUMBER(3, 0)</t>
        </is>
      </c>
    </row>
    <row r="119">
      <c r="C119" t="inlineStr">
        <is>
          <t>ピースサイズ（縦）（ｃｍ）</t>
        </is>
      </c>
      <c r="E119" t="inlineStr">
        <is>
          <t>NUMBER(13, 3)</t>
        </is>
      </c>
    </row>
    <row r="120">
      <c r="C120" t="inlineStr">
        <is>
          <t>ピースサイズ（横）（ｃｍ）</t>
        </is>
      </c>
      <c r="E120" t="inlineStr">
        <is>
          <t>NUMBER(13, 3)</t>
        </is>
      </c>
    </row>
    <row r="121">
      <c r="C121" t="inlineStr">
        <is>
          <t>ピースサイズ（高）（ｃｍ）</t>
        </is>
      </c>
      <c r="E121" t="inlineStr">
        <is>
          <t>NUMBER(13, 3)</t>
        </is>
      </c>
    </row>
    <row r="122">
      <c r="C122" t="inlineStr">
        <is>
          <t>ピースサイズ（重量）（ｋｇ）</t>
        </is>
      </c>
      <c r="E122" t="inlineStr">
        <is>
          <t>NUMBER(15, 4)</t>
        </is>
      </c>
    </row>
    <row r="123">
      <c r="C123" t="inlineStr">
        <is>
          <t>メーカー発売日</t>
        </is>
      </c>
      <c r="E123" t="inlineStr">
        <is>
          <t>VARCHAR2(8)</t>
        </is>
      </c>
    </row>
    <row r="124">
      <c r="C124" t="inlineStr">
        <is>
          <t>情報解禁日</t>
        </is>
      </c>
      <c r="E124" t="inlineStr">
        <is>
          <t>VARCHAR2(8)</t>
        </is>
      </c>
    </row>
    <row r="125">
      <c r="C125" t="inlineStr">
        <is>
          <t>価格印字商品フラグ</t>
        </is>
      </c>
      <c r="E125" t="inlineStr">
        <is>
          <t>VARCHAR2(1)</t>
        </is>
      </c>
    </row>
    <row r="126">
      <c r="C126" t="inlineStr">
        <is>
          <t>商品サブコード</t>
        </is>
      </c>
      <c r="E126" t="inlineStr">
        <is>
          <t>VARCHAR2(10)</t>
        </is>
      </c>
    </row>
    <row r="127">
      <c r="C127" t="inlineStr">
        <is>
          <t>温度管理/保管方法</t>
        </is>
      </c>
      <c r="E127" t="inlineStr">
        <is>
          <t>VARCHAR2(1)</t>
        </is>
      </c>
    </row>
    <row r="128">
      <c r="C128" t="inlineStr">
        <is>
          <t>温度帯変更不可フラグ</t>
        </is>
      </c>
      <c r="E128" t="inlineStr">
        <is>
          <t>VARCHAR2(1)</t>
        </is>
      </c>
    </row>
    <row r="129">
      <c r="C129" t="inlineStr">
        <is>
          <t>販売可能期間フラグ</t>
        </is>
      </c>
      <c r="E129" t="inlineStr">
        <is>
          <t>VARCHAR2(1)</t>
        </is>
      </c>
    </row>
    <row r="130">
      <c r="C130" t="inlineStr">
        <is>
          <t>割れ物（瓶）フラグ</t>
        </is>
      </c>
      <c r="E130" t="inlineStr">
        <is>
          <t>VARCHAR2(1)</t>
        </is>
      </c>
    </row>
    <row r="131">
      <c r="C131" t="inlineStr">
        <is>
          <t>販売可能日数</t>
        </is>
      </c>
      <c r="E131" t="inlineStr">
        <is>
          <t>NUMBER(3, 0)</t>
        </is>
      </c>
    </row>
    <row r="132">
      <c r="C132" t="inlineStr">
        <is>
          <t>ＭＢＭコード区分</t>
        </is>
      </c>
      <c r="E132" t="inlineStr">
        <is>
          <t>VARCHAR2(1)</t>
        </is>
      </c>
    </row>
    <row r="133">
      <c r="C133" t="inlineStr">
        <is>
          <t>ベンダー在庫No</t>
        </is>
      </c>
      <c r="E133" t="inlineStr">
        <is>
          <t>VARCHAR2(20)</t>
        </is>
      </c>
    </row>
    <row r="134">
      <c r="C134" t="inlineStr">
        <is>
          <t>原産国コード</t>
        </is>
      </c>
      <c r="E134" t="inlineStr">
        <is>
          <t>VARCHAR2(256)</t>
        </is>
      </c>
    </row>
    <row r="135">
      <c r="C135" t="inlineStr">
        <is>
          <t>西友アイテムNo</t>
        </is>
      </c>
      <c r="E135" t="inlineStr">
        <is>
          <t>VARCHAR2(8)</t>
        </is>
      </c>
    </row>
    <row r="136">
      <c r="C136" t="inlineStr">
        <is>
          <t>ブランドID</t>
        </is>
      </c>
      <c r="E136" t="inlineStr">
        <is>
          <t>NUMBER(10, 0)</t>
        </is>
      </c>
    </row>
    <row r="137">
      <c r="C137" t="inlineStr">
        <is>
          <t>サイズID</t>
        </is>
      </c>
      <c r="E137" t="inlineStr">
        <is>
          <t>VARCHAR2(10)</t>
        </is>
      </c>
    </row>
    <row r="138">
      <c r="C138" t="inlineStr">
        <is>
          <t>ファミリーID</t>
        </is>
      </c>
      <c r="E138" t="inlineStr">
        <is>
          <t>VARCHAR2(10)</t>
        </is>
      </c>
    </row>
    <row r="139">
      <c r="C139" t="inlineStr">
        <is>
          <t>KVI分類</t>
        </is>
      </c>
      <c r="E139" t="inlineStr">
        <is>
          <t>VARCHAR2(10)</t>
        </is>
      </c>
    </row>
    <row r="140">
      <c r="C140" t="inlineStr">
        <is>
          <t>定価販売フラグ</t>
        </is>
      </c>
      <c r="E140" t="inlineStr">
        <is>
          <t>VARCHAR2(1)</t>
        </is>
      </c>
    </row>
    <row r="141">
      <c r="C141" t="inlineStr">
        <is>
          <t>SABCランク区分</t>
        </is>
      </c>
      <c r="E141" t="inlineStr">
        <is>
          <t>VARCHAR2(1)</t>
        </is>
      </c>
    </row>
    <row r="142">
      <c r="C142" t="inlineStr">
        <is>
          <t>MDsys連携済みフラグ</t>
        </is>
      </c>
      <c r="E142" t="inlineStr">
        <is>
          <t>VARCHAR2(1)</t>
        </is>
      </c>
    </row>
    <row r="143">
      <c r="C143" t="inlineStr">
        <is>
          <t>アイテム作成日</t>
        </is>
      </c>
      <c r="E143" t="inlineStr">
        <is>
          <t>VARCHAR2(8)</t>
        </is>
      </c>
    </row>
  </sheetData>
  <mergeCells count="18">
    <mergeCell ref="B13:C13"/>
    <mergeCell ref="B6:C6"/>
    <mergeCell ref="D9:G9"/>
    <mergeCell ref="B7:C7"/>
    <mergeCell ref="B11:C11"/>
    <mergeCell ref="D12:G12"/>
    <mergeCell ref="D8:G8"/>
    <mergeCell ref="D6:G6"/>
    <mergeCell ref="B10:C10"/>
    <mergeCell ref="D7:G7"/>
    <mergeCell ref="B14:C14"/>
    <mergeCell ref="B9:C9"/>
    <mergeCell ref="D11:G11"/>
    <mergeCell ref="D13:G13"/>
    <mergeCell ref="D10:G10"/>
    <mergeCell ref="B8:C8"/>
    <mergeCell ref="D14:G14"/>
    <mergeCell ref="B12:C12"/>
  </mergeCells>
  <dataValidations count="2">
    <dataValidation sqref="E20:E55" showDropDown="0" showInputMessage="0" showErrorMessage="0" allowBlank="1" type="list">
      <formula1>"CHAR,VARCHAR,NUM,DEC,DATE,TIMESTAMP"</formula1>
      <formula2>0</formula2>
    </dataValidation>
    <dataValidation sqref="H20:H55" showDropDown="0" showInputMessage="0" showErrorMessage="0" allowBlank="1" type="list">
      <formula1>"○,－"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H26"/>
  <sheetViews>
    <sheetView showGridLines="0" zoomScale="115" zoomScaleNormal="115" workbookViewId="0">
      <selection activeCell="H19" sqref="H19"/>
    </sheetView>
  </sheetViews>
  <sheetFormatPr baseColWidth="8" defaultColWidth="8.6640625" defaultRowHeight="14.4"/>
  <cols>
    <col width="2" customWidth="1" min="1" max="1"/>
    <col width="10" customWidth="1" min="2" max="2"/>
    <col width="18" customWidth="1" min="3" max="3"/>
    <col width="28" customWidth="1" min="4" max="4"/>
    <col width="14" customWidth="1" min="5" max="5"/>
    <col width="18" customWidth="1" min="6" max="6"/>
    <col width="24" customWidth="1" min="7" max="7"/>
    <col width="18" customWidth="1" min="8" max="8"/>
  </cols>
  <sheetData>
    <row r="1" ht="17.4" customHeight="1">
      <c r="B1" s="1" t="inlineStr">
        <is>
          <t>8. エラー処理</t>
        </is>
      </c>
    </row>
    <row r="2">
      <c r="B2" s="2" t="inlineStr">
        <is>
          <t>本IF固有のエラー処理を記載します。全体共通の方針は A-7 を参照してください</t>
        </is>
      </c>
    </row>
    <row r="5" ht="36" customHeight="1">
      <c r="B5" s="7" t="inlineStr">
        <is>
          <t>エラーID</t>
        </is>
      </c>
      <c r="C5" s="7" t="inlineStr">
        <is>
          <t>発生箇所</t>
        </is>
      </c>
      <c r="D5" s="7" t="inlineStr">
        <is>
          <t>検知条件</t>
        </is>
      </c>
      <c r="E5" s="7" t="inlineStr">
        <is>
          <t>レベル</t>
        </is>
      </c>
      <c r="F5" s="7" t="inlineStr">
        <is>
          <t>処理</t>
        </is>
      </c>
      <c r="G5" s="7" t="inlineStr">
        <is>
          <t>通知先・リラン方法</t>
        </is>
      </c>
      <c r="H5" s="7" t="inlineStr">
        <is>
          <t>備考</t>
        </is>
      </c>
    </row>
    <row r="6" ht="31.5" customHeight="1">
      <c r="B6" s="8" t="inlineStr">
        <is>
          <t>ER-001</t>
        </is>
      </c>
      <c r="C6" s="8" t="inlineStr">
        <is>
          <t>Layer① 抽出</t>
        </is>
      </c>
      <c r="D6" s="9" t="inlineStr">
        <is>
          <t>抽出件数が0件</t>
        </is>
      </c>
      <c r="E6" s="9" t="inlineStr">
        <is>
          <t>警告</t>
        </is>
      </c>
      <c r="F6" s="9" t="inlineStr">
        <is>
          <t>処理継続（空ファイル出力）</t>
        </is>
      </c>
      <c r="G6" s="9" t="inlineStr">
        <is>
          <t>補充部へメール通知。リラン不要</t>
        </is>
      </c>
      <c r="H6" s="9" t="n"/>
    </row>
    <row r="7" ht="31.5" customHeight="1">
      <c r="B7" s="8" t="inlineStr">
        <is>
          <t>ER-002</t>
        </is>
      </c>
      <c r="C7" s="8" t="inlineStr">
        <is>
          <t>Layer② 取込</t>
        </is>
      </c>
      <c r="D7" s="9" t="inlineStr">
        <is>
          <t>ファイル件数とトレーラ件数の不一致</t>
        </is>
      </c>
      <c r="E7" s="9" t="inlineStr">
        <is>
          <t>エラー</t>
        </is>
      </c>
      <c r="F7" s="9" t="inlineStr">
        <is>
          <t>処理中断</t>
        </is>
      </c>
      <c r="G7" s="9" t="inlineStr">
        <is>
          <t>運用担当へHinemos通知。ファイル再配置後に当該ジョブからリラン</t>
        </is>
      </c>
      <c r="H7" s="9" t="n"/>
    </row>
    <row r="8" ht="31.5" customHeight="1">
      <c r="B8" s="8" t="inlineStr">
        <is>
          <t>ER-003</t>
        </is>
      </c>
      <c r="C8" s="8" t="inlineStr">
        <is>
          <t>Layer③ 変換</t>
        </is>
      </c>
      <c r="D8" s="9" t="inlineStr">
        <is>
          <t>店舗コードの変換不能キーを検出</t>
        </is>
      </c>
      <c r="E8" s="9" t="inlineStr">
        <is>
          <t>警告</t>
        </is>
      </c>
      <c r="F8" s="9" t="inlineStr">
        <is>
          <t>当該レコードを退避し処理継続</t>
        </is>
      </c>
      <c r="G8" s="9" t="inlineStr">
        <is>
          <t>退避件数を通知。翌日までにマスタ整備</t>
        </is>
      </c>
      <c r="H8" s="8" t="inlineStr">
        <is>
          <t>A-2 CV-001</t>
        </is>
      </c>
    </row>
    <row r="9" ht="21.75" customHeight="1">
      <c r="B9" s="10" t="n"/>
      <c r="C9" s="10" t="n"/>
      <c r="D9" s="10" t="n"/>
      <c r="E9" s="10" t="n"/>
      <c r="F9" s="10" t="n"/>
      <c r="G9" s="10" t="n"/>
      <c r="H9" s="10" t="n"/>
    </row>
    <row r="10" ht="21.75" customHeight="1">
      <c r="B10" s="10" t="n"/>
      <c r="C10" s="10" t="n"/>
      <c r="D10" s="10" t="n"/>
      <c r="E10" s="10" t="n"/>
      <c r="F10" s="10" t="n"/>
      <c r="G10" s="10" t="n"/>
      <c r="H10" s="10" t="n"/>
    </row>
    <row r="11" ht="21.75" customHeight="1">
      <c r="B11" s="10" t="n"/>
      <c r="C11" s="10" t="n"/>
      <c r="D11" s="10" t="n"/>
      <c r="E11" s="10" t="n"/>
      <c r="F11" s="10" t="n"/>
      <c r="G11" s="10" t="n"/>
      <c r="H11" s="10" t="n"/>
    </row>
    <row r="12" ht="21.75" customHeight="1">
      <c r="B12" s="10" t="n"/>
      <c r="C12" s="10" t="n"/>
      <c r="D12" s="10" t="n"/>
      <c r="E12" s="10" t="n"/>
      <c r="F12" s="10" t="n"/>
      <c r="G12" s="10" t="n"/>
      <c r="H12" s="10" t="n"/>
    </row>
    <row r="13" ht="21.75" customHeight="1">
      <c r="B13" s="10" t="n"/>
      <c r="C13" s="10" t="n"/>
      <c r="D13" s="10" t="n"/>
      <c r="E13" s="10" t="n"/>
      <c r="F13" s="10" t="n"/>
      <c r="G13" s="10" t="n"/>
      <c r="H13" s="10" t="n"/>
    </row>
    <row r="14" ht="21.75" customHeight="1">
      <c r="B14" s="10" t="n"/>
      <c r="C14" s="10" t="n"/>
      <c r="D14" s="10" t="n"/>
      <c r="E14" s="10" t="n"/>
      <c r="F14" s="10" t="n"/>
      <c r="G14" s="10" t="n"/>
      <c r="H14" s="10" t="n"/>
    </row>
    <row r="15" ht="21.75" customHeight="1">
      <c r="B15" s="10" t="n"/>
      <c r="C15" s="10" t="n"/>
      <c r="D15" s="10" t="n"/>
      <c r="E15" s="10" t="n"/>
      <c r="F15" s="10" t="n"/>
      <c r="G15" s="10" t="n"/>
      <c r="H15" s="10" t="n"/>
    </row>
    <row r="16" ht="21.75" customHeight="1">
      <c r="B16" s="10" t="n"/>
      <c r="C16" s="10" t="n"/>
      <c r="D16" s="10" t="n"/>
      <c r="E16" s="10" t="n"/>
      <c r="F16" s="10" t="n"/>
      <c r="G16" s="10" t="n"/>
      <c r="H16" s="10" t="n"/>
    </row>
    <row r="17" ht="21.75" customHeight="1">
      <c r="B17" s="10" t="n"/>
      <c r="C17" s="10" t="n"/>
      <c r="D17" s="10" t="n"/>
      <c r="E17" s="10" t="n"/>
      <c r="F17" s="10" t="n"/>
      <c r="G17" s="10" t="n"/>
      <c r="H17" s="10" t="n"/>
    </row>
    <row r="18" ht="21.75" customHeight="1">
      <c r="B18" s="10" t="n"/>
      <c r="C18" s="10" t="n"/>
      <c r="D18" s="10" t="n"/>
      <c r="E18" s="10" t="n"/>
      <c r="F18" s="10" t="n"/>
      <c r="G18" s="10" t="n"/>
      <c r="H18" s="10" t="n"/>
    </row>
    <row r="19" ht="21.75" customHeight="1">
      <c r="B19" s="10" t="n"/>
      <c r="C19" s="10" t="n"/>
      <c r="D19" s="10" t="n"/>
      <c r="E19" s="10" t="n"/>
      <c r="F19" s="10" t="n"/>
      <c r="G19" s="10" t="n"/>
      <c r="H19" s="10" t="n"/>
    </row>
    <row r="20" ht="21.75" customHeight="1">
      <c r="B20" s="10" t="n"/>
      <c r="C20" s="10" t="n"/>
      <c r="D20" s="10" t="n"/>
      <c r="E20" s="10" t="n"/>
      <c r="F20" s="10" t="n"/>
      <c r="G20" s="10" t="n"/>
      <c r="H20" s="10" t="n"/>
    </row>
    <row r="21" ht="21.75" customHeight="1">
      <c r="B21" s="10" t="n"/>
      <c r="C21" s="10" t="n"/>
      <c r="D21" s="10" t="n"/>
      <c r="E21" s="10" t="n"/>
      <c r="F21" s="10" t="n"/>
      <c r="G21" s="10" t="n"/>
      <c r="H21" s="10" t="n"/>
    </row>
    <row r="22" ht="21.75" customHeight="1">
      <c r="B22" s="10" t="n"/>
      <c r="C22" s="10" t="n"/>
      <c r="D22" s="10" t="n"/>
      <c r="E22" s="10" t="n"/>
      <c r="F22" s="10" t="n"/>
      <c r="G22" s="10" t="n"/>
      <c r="H22" s="10" t="n"/>
    </row>
    <row r="23" ht="21.75" customHeight="1">
      <c r="B23" s="10" t="n"/>
      <c r="C23" s="10" t="n"/>
      <c r="D23" s="10" t="n"/>
      <c r="E23" s="10" t="n"/>
      <c r="F23" s="10" t="n"/>
      <c r="G23" s="10" t="n"/>
      <c r="H23" s="10" t="n"/>
    </row>
    <row r="24" ht="21.75" customHeight="1">
      <c r="B24" s="10" t="n"/>
      <c r="C24" s="10" t="n"/>
      <c r="D24" s="10" t="n"/>
      <c r="E24" s="10" t="n"/>
      <c r="F24" s="10" t="n"/>
      <c r="G24" s="10" t="n"/>
      <c r="H24" s="10" t="n"/>
    </row>
    <row r="26">
      <c r="B26" s="2" t="inlineStr">
        <is>
          <t>※ レベル定義　情報：記録のみ／警告：処理継続＋通知／エラー：処理中断＋通知／致命：即時中断＋緊急連絡</t>
        </is>
      </c>
    </row>
  </sheetData>
  <dataValidations count="1">
    <dataValidation sqref="E9:E25" showDropDown="0" showInputMessage="0" showErrorMessage="0" allowBlank="1" type="list">
      <formula1>"情報,警告,エラー,致命"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J33"/>
  <sheetViews>
    <sheetView showGridLines="0" zoomScale="130" zoomScaleNormal="130" workbookViewId="0">
      <selection activeCell="D6" sqref="D6"/>
    </sheetView>
  </sheetViews>
  <sheetFormatPr baseColWidth="8" defaultColWidth="8.6640625" defaultRowHeight="14.4"/>
  <cols>
    <col width="2" customWidth="1" min="1" max="1"/>
    <col width="8" customWidth="1" min="2" max="2"/>
    <col width="10" customWidth="1" min="3" max="3"/>
    <col width="34" customWidth="1" min="4" max="4"/>
    <col width="20" customWidth="1" min="5" max="5"/>
    <col width="14" customWidth="1" min="6" max="6"/>
    <col width="12" customWidth="1" min="7" max="7"/>
    <col width="10" customWidth="1" min="8" max="8"/>
    <col width="30" customWidth="1" min="9" max="9"/>
    <col width="14" customWidth="1" min="10" max="10"/>
  </cols>
  <sheetData>
    <row r="1" ht="17.4" customHeight="1">
      <c r="B1" s="1" t="inlineStr">
        <is>
          <t>9. 確認事項・前提（TBD管理）</t>
        </is>
      </c>
    </row>
    <row r="2">
      <c r="B2" s="2" t="inlineStr">
        <is>
          <t>設計中に発生した未確定事項をここに集約します。全件クローズが詳細設計完了の条件です</t>
        </is>
      </c>
    </row>
    <row r="5" ht="36" customHeight="1">
      <c r="B5" s="12" t="inlineStr">
        <is>
          <t>TBD-ID</t>
        </is>
      </c>
      <c r="C5" s="7" t="inlineStr">
        <is>
          <t>区分</t>
        </is>
      </c>
      <c r="D5" s="7" t="inlineStr">
        <is>
          <t>内容</t>
        </is>
      </c>
      <c r="E5" s="7" t="inlineStr">
        <is>
          <t>関連項目・箇所</t>
        </is>
      </c>
      <c r="F5" s="7" t="inlineStr">
        <is>
          <t>依頼先</t>
        </is>
      </c>
      <c r="G5" s="7" t="inlineStr">
        <is>
          <t>期限</t>
        </is>
      </c>
      <c r="H5" s="7" t="inlineStr">
        <is>
          <t>状態</t>
        </is>
      </c>
      <c r="I5" s="7" t="inlineStr">
        <is>
          <t>回答・決着内容</t>
        </is>
      </c>
      <c r="J5" s="7" t="inlineStr">
        <is>
          <t>課題管理表No.</t>
        </is>
      </c>
    </row>
    <row r="6" ht="31.5" customHeight="1">
      <c r="B6" s="8" t="inlineStr">
        <is>
          <t>TBD-01</t>
        </is>
      </c>
      <c r="C6" s="9" t="inlineStr">
        <is>
          <t>確認事項</t>
        </is>
      </c>
      <c r="D6" s="9" t="inlineStr">
        <is>
          <t>便区分に対応するTRIAL側項目が存在しない。Shinise側で開発される項目名・桁数・値の意味を確認したい</t>
        </is>
      </c>
      <c r="E6" s="8" t="inlineStr">
        <is>
          <t>05_項目マッピング No.3</t>
        </is>
      </c>
      <c r="F6" s="9" t="inlineStr">
        <is>
          <t>波多野さん／Shiniseチーム</t>
        </is>
      </c>
      <c r="G6" s="8" t="inlineStr">
        <is>
          <t>2026/10/16</t>
        </is>
      </c>
      <c r="H6" s="9" t="inlineStr">
        <is>
          <t>確認中</t>
        </is>
      </c>
      <c r="I6" s="9" t="n"/>
      <c r="J6" s="8" t="inlineStr">
        <is>
          <t>No.18</t>
        </is>
      </c>
    </row>
    <row r="7" ht="25.5" customHeight="1"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25.5" customHeight="1"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25.5" customHeight="1"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</row>
    <row r="10" ht="25.5" customHeight="1"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 ht="25.5" customHeight="1"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 ht="25.5" customHeight="1"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25.5" customHeight="1"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25.5" customHeight="1"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25.5" customHeight="1"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</row>
    <row r="16" ht="25.5" customHeight="1"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25.5" customHeight="1"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 ht="25.5" customHeight="1"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25.5" customHeight="1"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 ht="25.5" customHeight="1"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25.5" customHeight="1"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25.5" customHeight="1"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 ht="25.5" customHeight="1"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</row>
    <row r="24" ht="25.5" customHeight="1"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 ht="25.5" customHeight="1"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25.5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8" ht="21.75" customHeight="1">
      <c r="B28" s="3" t="inlineStr">
        <is>
          <t>■ 集計（自動計算）</t>
        </is>
      </c>
      <c r="C28" s="4" t="n"/>
      <c r="D28" s="4" t="n"/>
      <c r="E28" s="4" t="n"/>
    </row>
    <row r="29" ht="30" customHeight="1">
      <c r="B29" s="7" t="inlineStr">
        <is>
          <t>起票件数</t>
        </is>
      </c>
      <c r="C29" s="7" t="inlineStr">
        <is>
          <t>完了</t>
        </is>
      </c>
      <c r="D29" s="7" t="inlineStr">
        <is>
          <t>未完了</t>
        </is>
      </c>
      <c r="E29" s="7" t="inlineStr">
        <is>
          <t>詳細設計完了可否</t>
        </is>
      </c>
    </row>
    <row r="30">
      <c r="B30" s="13">
        <f>COUNTA(B7:B27)</f>
        <v/>
      </c>
      <c r="C30" s="13">
        <f>COUNTIF(H7:H27,"完了")</f>
        <v/>
      </c>
      <c r="D30" s="13">
        <f>B30-C30</f>
        <v/>
      </c>
      <c r="E30" s="14">
        <f>IF(D30=0,"完了可","未完了 "&amp;D30&amp;"件あり")</f>
        <v/>
      </c>
    </row>
    <row r="32">
      <c r="B32" s="2" t="inlineStr">
        <is>
          <t>※ 起票したTBDは、必ず課題管理表（D-3）にも登録し、番号を相互に記載してください。</t>
        </is>
      </c>
    </row>
    <row r="33">
      <c r="B33" s="2" t="inlineStr">
        <is>
          <t>※ 期限は、前提クリア管理表（D-4）のゲート期限（9/30・10/16）と整合させてください。</t>
        </is>
      </c>
    </row>
  </sheetData>
  <dataValidations count="2">
    <dataValidation sqref="C7:C27" showDropDown="0" showInputMessage="0" showErrorMessage="0" allowBlank="1" type="list">
      <formula1>"前提,確認事項,TBD,リスク"</formula1>
      <formula2>0</formula2>
    </dataValidation>
    <dataValidation sqref="H7:H27" showDropDown="0" showInputMessage="0" showErrorMessage="0" allowBlank="1" type="list">
      <formula1>"未着手,確認中,完了,保留"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2026-09-14T02:50:30Z</dcterms:created>
  <dcterms:modified xmlns:dcterms="http://purl.org/dc/terms/" xmlns:xsi="http://www.w3.org/2001/XMLSchema-instance" xsi:type="dcterms:W3CDTF">2026-09-21T08:15:01Z</dcterms:modified>
  <cp:lastModifiedBy>TRIAL 476</cp:lastModifiedBy>
  <cp:revision>0</cp:revision>
</cp:coreProperties>
</file>