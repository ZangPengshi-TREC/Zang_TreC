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00_表紙・改訂履歴" sheetId="1" state="visible" r:id="rId1"/>
    <sheet xmlns:r="http://schemas.openxmlformats.org/officeDocument/2006/relationships" name="01_IF概要" sheetId="2" state="visible" r:id="rId2"/>
    <sheet xmlns:r="http://schemas.openxmlformats.org/officeDocument/2006/relationships" name="Data Flow" sheetId="3" state="visible" r:id="rId3"/>
    <sheet xmlns:r="http://schemas.openxmlformats.org/officeDocument/2006/relationships" name="02_Layer①設計" sheetId="4" state="visible" r:id="rId4"/>
    <sheet xmlns:r="http://schemas.openxmlformats.org/officeDocument/2006/relationships" name="03_Layer②設計" sheetId="5" state="visible" r:id="rId5"/>
    <sheet xmlns:r="http://schemas.openxmlformats.org/officeDocument/2006/relationships" name="04_Layer③設計" sheetId="6" state="visible" r:id="rId6"/>
    <sheet xmlns:r="http://schemas.openxmlformats.org/officeDocument/2006/relationships" name="05_項目マッピング" sheetId="7" state="visible" r:id="rId7"/>
    <sheet xmlns:r="http://schemas.openxmlformats.org/officeDocument/2006/relationships" name="07_ファイルレイアウト" sheetId="8" state="visible" r:id="rId8"/>
    <sheet xmlns:r="http://schemas.openxmlformats.org/officeDocument/2006/relationships" name="08_エラー処理" sheetId="9" state="visible" r:id="rId9"/>
    <sheet xmlns:r="http://schemas.openxmlformats.org/officeDocument/2006/relationships" name="09_確認事項・前提" sheetId="10" state="visible" r:id="rId10"/>
  </sheets>
  <definedNames>
    <definedName name="_xlnm.Print_Titles" localSheetId="6">'05_項目マッピング'!$1:$5,'05_項目マッピング'!$B:$B</definedName>
    <definedName name="_xlnm.Print_Titles" localSheetId="7">'07_ファイルレイアウト'!$16:$17</definedName>
    <definedName name="_xlnm.Print_Titles" localSheetId="8">'08_エラー処理'!$5:$5</definedName>
    <definedName name="_xlnm.Print_Titles" localSheetId="9">'09_確認事項・前提'!$1:$5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1">
    <font>
      <name val="Calibri"/>
      <charset val="1"/>
      <family val="2"/>
      <color theme="1"/>
      <sz val="11"/>
    </font>
    <font>
      <name val="Arial"/>
      <family val="2"/>
      <b val="1"/>
      <color rgb="FF1F4E79"/>
      <sz val="14"/>
    </font>
    <font>
      <name val="Noto Sans CJK SC"/>
      <family val="2"/>
      <b val="1"/>
      <color rgb="FF1F4E79"/>
      <sz val="14"/>
    </font>
    <font>
      <name val="Noto Sans CJK SC"/>
      <family val="2"/>
      <color rgb="FF595959"/>
      <sz val="8"/>
    </font>
    <font>
      <name val="Arial"/>
      <family val="2"/>
      <color rgb="FF595959"/>
      <sz val="8"/>
    </font>
    <font>
      <name val="Noto Sans CJK SC"/>
      <family val="2"/>
      <b val="1"/>
      <color rgb="FF1F4E79"/>
      <sz val="11"/>
    </font>
    <font>
      <name val="Arial"/>
      <family val="2"/>
      <b val="1"/>
      <sz val="9"/>
    </font>
    <font>
      <name val="Noto Sans CJK SC"/>
      <family val="2"/>
      <i val="1"/>
      <color rgb="FF7F7F7F"/>
      <sz val="8"/>
    </font>
    <font>
      <name val="Arial"/>
      <family val="2"/>
      <i val="1"/>
      <color rgb="FF7F7F7F"/>
      <sz val="8"/>
    </font>
    <font>
      <name val="Noto Sans CJK SC"/>
      <family val="2"/>
      <b val="1"/>
      <sz val="9"/>
    </font>
    <font>
      <name val="Arial"/>
      <family val="2"/>
      <sz val="9"/>
    </font>
    <font>
      <name val="Noto Sans CJK SC"/>
      <family val="2"/>
      <b val="1"/>
      <color rgb="FFFFFFFF"/>
      <sz val="9"/>
    </font>
    <font>
      <name val="Arial"/>
      <family val="2"/>
      <b val="1"/>
      <color rgb="FFFFFFFF"/>
      <sz val="9"/>
    </font>
    <font>
      <name val="Noto Sans CJK SC"/>
      <family val="2"/>
      <b val="1"/>
      <color rgb="FFC00000"/>
      <sz val="9"/>
    </font>
    <font>
      <name val="宋体"/>
      <charset val="134"/>
      <family val="3"/>
      <sz val="9"/>
    </font>
    <font>
      <name val="ＭＳ ゴシック"/>
      <charset val="128"/>
      <family val="3"/>
      <sz val="8"/>
    </font>
    <font>
      <name val="Noto Sans CJK SC"/>
      <family val="2"/>
      <sz val="8"/>
    </font>
    <font>
      <name val="Arial"/>
      <family val="2"/>
      <sz val="8"/>
    </font>
    <font>
      <name val="ＭＳ ゴシック"/>
      <charset val="128"/>
      <family val="3"/>
      <sz val="9"/>
    </font>
    <font>
      <name val="ＭＳ ゴシック"/>
      <charset val="128"/>
      <family val="3"/>
      <b val="1"/>
      <color rgb="FFFFFFFF"/>
      <sz val="9"/>
    </font>
    <font>
      <name val="Noto Sans CJK SC"/>
      <family val="2"/>
      <sz val="9"/>
    </font>
    <font>
      <name val="Noto Sans CJK SC"/>
      <charset val="128"/>
      <family val="1"/>
      <sz val="9"/>
    </font>
    <font>
      <name val="ＭＳ Ｐゴシック"/>
      <charset val="128"/>
      <family val="2"/>
      <color theme="1"/>
      <sz val="11"/>
    </font>
    <font>
      <name val="Calibri"/>
      <charset val="128"/>
      <family val="2"/>
      <color theme="1"/>
      <sz val="11"/>
    </font>
    <font>
      <name val="Noto Sans CJK SC"/>
      <sz val="8"/>
    </font>
    <font>
      <name val="ＭＳ Ｐゴシック"/>
      <charset val="128"/>
      <family val="3"/>
      <color theme="1"/>
      <sz val="11"/>
    </font>
    <font>
      <name val="Noto Sans CJK SC"/>
      <charset val="128"/>
      <family val="3"/>
      <sz val="8"/>
    </font>
    <font>
      <name val="Calibri"/>
      <family val="2"/>
      <color theme="1"/>
      <sz val="11"/>
    </font>
    <font>
      <name val="Segoe UI Symbol"/>
      <family val="2"/>
      <color theme="1"/>
      <sz val="11"/>
    </font>
    <font>
      <name val="ＭＳ ゴシック"/>
      <charset val="128"/>
      <family val="3"/>
      <color theme="1"/>
      <sz val="11"/>
    </font>
    <font>
      <b val="1"/>
      <color rgb="00222222"/>
      <sz val="16"/>
    </font>
    <font>
      <name val="メイリオ"/>
      <b val="1"/>
      <color rgb="FF1F4E79"/>
      <sz val="20"/>
    </font>
    <font>
      <name val="メイリオ"/>
      <b val="1"/>
      <color rgb="FF1F4E79"/>
      <sz val="14"/>
    </font>
    <font>
      <name val="メイリオ"/>
      <b val="1"/>
      <color theme="1"/>
      <sz val="12"/>
    </font>
    <font>
      <name val="メイリオ"/>
      <b val="1"/>
      <sz val="12"/>
    </font>
    <font>
      <name val="メイリオ"/>
      <sz val="12"/>
    </font>
    <font>
      <name val="メイリオ"/>
      <b val="1"/>
      <color rgb="FFFFFFFF"/>
      <sz val="12"/>
    </font>
    <font>
      <name val="メイリオ"/>
      <sz val="11"/>
    </font>
    <font>
      <name val="メイリオ"/>
      <b val="1"/>
      <sz val="22"/>
    </font>
    <font>
      <name val="メイリオ"/>
      <b val="1"/>
      <sz val="20"/>
    </font>
    <font>
      <name val="メイリオ"/>
      <b val="1"/>
      <color rgb="00222222"/>
      <sz val="20"/>
    </font>
    <font>
      <name val="メイリオ"/>
      <color theme="1"/>
      <sz val="12"/>
    </font>
    <font>
      <name val="メイリオ"/>
      <color rgb="FF595959"/>
      <sz val="11"/>
    </font>
    <font>
      <name val="メイリオ"/>
      <i val="1"/>
      <color rgb="FF7F7F7F"/>
      <sz val="12"/>
    </font>
    <font>
      <name val="メイリオ"/>
      <b val="1"/>
      <i val="1"/>
      <color rgb="FF7F7F7F"/>
      <sz val="12"/>
    </font>
    <font>
      <name val="メイリオ"/>
      <b val="1"/>
      <color rgb="FFFFFFFF"/>
      <sz val="11"/>
    </font>
    <font>
      <name val="メイリオ"/>
      <b val="1"/>
      <color rgb="FFC00000"/>
      <sz val="12"/>
    </font>
    <font>
      <name val="メイリオ"/>
      <b val="1"/>
      <sz val="14"/>
    </font>
    <font>
      <name val="メイリオ"/>
      <b val="1"/>
      <color rgb="FF1F4E79"/>
      <sz val="12"/>
    </font>
    <font>
      <name val="メイリオ"/>
      <b val="1"/>
      <color theme="1"/>
      <sz val="11"/>
    </font>
    <font>
      <name val="メイリオ"/>
      <b val="1"/>
      <sz val="11"/>
    </font>
    <font>
      <name val="メイリオ"/>
      <sz val="10"/>
    </font>
    <font>
      <name val="メイリオ"/>
      <b val="1"/>
      <color rgb="00222222"/>
      <sz val="14"/>
    </font>
    <font>
      <name val="メイリオ"/>
      <color theme="1"/>
      <sz val="10"/>
    </font>
    <font>
      <name val="メイリオ"/>
      <color theme="1"/>
      <sz val="11"/>
    </font>
    <font>
      <name val="メイリオ"/>
      <i val="1"/>
      <color rgb="FF7F7F7F"/>
      <sz val="11"/>
    </font>
    <font>
      <name val="メイリオ"/>
      <b val="1"/>
      <i val="1"/>
      <color rgb="FF7F7F7F"/>
      <sz val="11"/>
    </font>
    <font>
      <name val="メイリオ"/>
      <color rgb="FF595959"/>
      <sz val="10"/>
    </font>
    <font>
      <name val="メイリオ"/>
      <b val="1"/>
      <color rgb="FFC00000"/>
      <sz val="11"/>
    </font>
    <font>
      <name val="メイリオ"/>
      <b val="1"/>
      <sz val="16"/>
    </font>
    <font>
      <name val="メイリオ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F2F2F2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7" fillId="0" borderId="1" applyAlignment="1" pivotButton="0" quotePrefix="0" xfId="0">
      <alignment vertical="top" wrapText="1"/>
    </xf>
    <xf numFmtId="14" fontId="17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9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top" wrapText="1"/>
    </xf>
    <xf numFmtId="0" fontId="22" fillId="0" borderId="0" pivotButton="0" quotePrefix="0" xfId="0"/>
    <xf numFmtId="0" fontId="18" fillId="4" borderId="1" pivotButton="0" quotePrefix="0" xfId="0"/>
    <xf numFmtId="0" fontId="20" fillId="4" borderId="1" pivotButton="0" quotePrefix="0" xfId="0"/>
    <xf numFmtId="0" fontId="10" fillId="0" borderId="1" pivotButton="0" quotePrefix="0" xfId="0"/>
    <xf numFmtId="0" fontId="18" fillId="4" borderId="10" pivotButton="0" quotePrefix="0" xfId="0"/>
    <xf numFmtId="0" fontId="18" fillId="4" borderId="11" pivotButton="0" quotePrefix="0" xfId="0"/>
    <xf numFmtId="0" fontId="18" fillId="4" borderId="12" pivotButton="0" quotePrefix="0" xfId="0"/>
    <xf numFmtId="0" fontId="9" fillId="3" borderId="15" applyAlignment="1" pivotButton="0" quotePrefix="0" xfId="0">
      <alignment vertical="center"/>
    </xf>
    <xf numFmtId="0" fontId="9" fillId="3" borderId="16" applyAlignment="1" pivotButton="0" quotePrefix="0" xfId="0">
      <alignment vertical="center"/>
    </xf>
    <xf numFmtId="0" fontId="7" fillId="4" borderId="13" pivotButton="0" quotePrefix="0" xfId="0"/>
    <xf numFmtId="0" fontId="7" fillId="4" borderId="17" pivotButton="0" quotePrefix="0" xfId="0"/>
    <xf numFmtId="0" fontId="7" fillId="4" borderId="15" pivotButton="0" quotePrefix="0" xfId="0"/>
    <xf numFmtId="0" fontId="7" fillId="4" borderId="0" pivotButton="0" quotePrefix="0" xfId="0"/>
    <xf numFmtId="0" fontId="8" fillId="4" borderId="15" pivotButton="0" quotePrefix="0" xfId="0"/>
    <xf numFmtId="0" fontId="8" fillId="4" borderId="0" pivotButton="0" quotePrefix="0" xfId="0"/>
    <xf numFmtId="0" fontId="9" fillId="3" borderId="13" applyAlignment="1" pivotButton="0" quotePrefix="0" xfId="0">
      <alignment vertical="center"/>
    </xf>
    <xf numFmtId="0" fontId="9" fillId="3" borderId="14" applyAlignment="1" pivotButton="0" quotePrefix="0" xfId="0">
      <alignment vertical="center"/>
    </xf>
    <xf numFmtId="0" fontId="24" fillId="4" borderId="1" pivotButton="0" quotePrefix="0" xfId="0"/>
    <xf numFmtId="0" fontId="16" fillId="4" borderId="1" pivotButton="0" quotePrefix="0" xfId="0"/>
    <xf numFmtId="0" fontId="26" fillId="4" borderId="1" pivotButton="0" quotePrefix="0" xfId="0"/>
    <xf numFmtId="0" fontId="17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26" fillId="4" borderId="1" applyAlignment="1" pivotButton="0" quotePrefix="0" xfId="0">
      <alignment vertical="top" wrapText="1"/>
    </xf>
    <xf numFmtId="0" fontId="23" fillId="0" borderId="0" pivotButton="0" quotePrefix="0" xfId="0"/>
    <xf numFmtId="0" fontId="15" fillId="4" borderId="1" pivotButton="0" quotePrefix="0" xfId="0"/>
    <xf numFmtId="0" fontId="15" fillId="4" borderId="11" pivotButton="0" quotePrefix="0" xfId="0"/>
    <xf numFmtId="0" fontId="15" fillId="4" borderId="12" pivotButton="0" quotePrefix="0" xfId="0"/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9" fillId="3" borderId="19" applyAlignment="1" pivotButton="0" quotePrefix="0" xfId="0">
      <alignment vertical="center"/>
    </xf>
    <xf numFmtId="0" fontId="0" fillId="0" borderId="14" pivotButton="0" quotePrefix="0" xfId="0"/>
    <xf numFmtId="0" fontId="0" fillId="0" borderId="17" pivotButton="0" quotePrefix="0" xfId="0"/>
    <xf numFmtId="0" fontId="9" fillId="3" borderId="18" applyAlignment="1" pivotButton="0" quotePrefix="0" xfId="0">
      <alignment vertical="center"/>
    </xf>
    <xf numFmtId="0" fontId="0" fillId="0" borderId="16" pivotButton="0" quotePrefix="0" xfId="0"/>
    <xf numFmtId="164" fontId="10" fillId="0" borderId="1" applyAlignment="1" pivotButton="0" quotePrefix="0" xfId="0">
      <alignment vertical="top" wrapText="1"/>
    </xf>
    <xf numFmtId="0" fontId="30" fillId="0" borderId="0" pivotButton="0" quotePrefix="0" xfId="0"/>
    <xf numFmtId="0" fontId="38" fillId="0" borderId="0" applyAlignment="1" pivotButton="0" quotePrefix="0" xfId="0">
      <alignment vertical="center" wrapText="1"/>
    </xf>
    <xf numFmtId="0" fontId="32" fillId="2" borderId="1" applyAlignment="1" pivotButton="0" quotePrefix="0" xfId="0">
      <alignment vertical="center" wrapText="1"/>
    </xf>
    <xf numFmtId="0" fontId="33" fillId="2" borderId="1" applyAlignment="1" pivotButton="0" quotePrefix="0" xfId="0">
      <alignment vertical="center" wrapText="1"/>
    </xf>
    <xf numFmtId="0" fontId="34" fillId="3" borderId="1" applyAlignment="1" pivotButton="0" quotePrefix="0" xfId="0">
      <alignment vertical="center" wrapText="1"/>
    </xf>
    <xf numFmtId="0" fontId="35" fillId="4" borderId="1" applyAlignment="1" pivotButton="0" quotePrefix="0" xfId="0">
      <alignment vertical="center" wrapText="1"/>
    </xf>
    <xf numFmtId="0" fontId="36" fillId="5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vertical="center" wrapText="1"/>
    </xf>
    <xf numFmtId="14" fontId="35" fillId="0" borderId="1" applyAlignment="1" pivotButton="0" quotePrefix="0" xfId="0">
      <alignment vertical="center" wrapText="1"/>
    </xf>
    <xf numFmtId="164" fontId="35" fillId="0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34" fillId="4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0" fontId="45" fillId="5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vertical="center" wrapText="1"/>
    </xf>
    <xf numFmtId="0" fontId="44" fillId="4" borderId="1" applyAlignment="1" pivotButton="0" quotePrefix="0" xfId="0">
      <alignment vertical="center" wrapText="1"/>
    </xf>
    <xf numFmtId="0" fontId="34" fillId="6" borderId="1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 wrapText="1"/>
    </xf>
    <xf numFmtId="0" fontId="34" fillId="3" borderId="19" applyAlignment="1" pivotButton="0" quotePrefix="0" xfId="0">
      <alignment vertical="center" wrapText="1"/>
    </xf>
    <xf numFmtId="0" fontId="43" fillId="4" borderId="13" applyAlignment="1" pivotButton="0" quotePrefix="0" xfId="0">
      <alignment vertical="center" wrapText="1"/>
    </xf>
    <xf numFmtId="0" fontId="34" fillId="3" borderId="18" applyAlignment="1" pivotButton="0" quotePrefix="0" xfId="0">
      <alignment vertical="center" wrapText="1"/>
    </xf>
    <xf numFmtId="0" fontId="43" fillId="4" borderId="15" applyAlignment="1" pivotButton="0" quotePrefix="0" xfId="0">
      <alignment vertical="center" wrapText="1"/>
    </xf>
    <xf numFmtId="0" fontId="46" fillId="6" borderId="1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 wrapText="1"/>
    </xf>
    <xf numFmtId="0" fontId="48" fillId="2" borderId="1" applyAlignment="1" pivotButton="0" quotePrefix="0" xfId="0">
      <alignment vertical="center" wrapText="1"/>
    </xf>
    <xf numFmtId="0" fontId="49" fillId="2" borderId="1" applyAlignment="1" pivotButton="0" quotePrefix="0" xfId="0">
      <alignment vertical="center" wrapText="1"/>
    </xf>
    <xf numFmtId="0" fontId="50" fillId="3" borderId="1" applyAlignment="1" pivotButton="0" quotePrefix="0" xfId="0">
      <alignment vertical="center" wrapText="1"/>
    </xf>
    <xf numFmtId="0" fontId="37" fillId="4" borderId="1" applyAlignment="1" pivotButton="0" quotePrefix="0" xfId="0">
      <alignment vertical="center" wrapText="1"/>
    </xf>
    <xf numFmtId="14" fontId="37" fillId="0" borderId="1" applyAlignment="1" pivotButton="0" quotePrefix="0" xfId="0">
      <alignment vertical="center" wrapText="1"/>
    </xf>
    <xf numFmtId="164" fontId="37" fillId="0" borderId="1" applyAlignment="1" pivotButton="0" quotePrefix="0" xfId="0">
      <alignment vertical="center" wrapText="1"/>
    </xf>
    <xf numFmtId="0" fontId="51" fillId="0" borderId="1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vertical="center" wrapText="1"/>
    </xf>
    <xf numFmtId="0" fontId="37" fillId="4" borderId="1" applyAlignment="1" pivotButton="0" quotePrefix="0" xfId="0">
      <alignment vertical="top" wrapText="1"/>
    </xf>
    <xf numFmtId="0" fontId="54" fillId="0" borderId="0" applyAlignment="1" pivotButton="0" quotePrefix="0" xfId="0">
      <alignment vertical="center" wrapText="1"/>
    </xf>
    <xf numFmtId="0" fontId="50" fillId="4" borderId="1" applyAlignment="1" pivotButton="0" quotePrefix="0" xfId="0">
      <alignment vertical="center" wrapText="1"/>
    </xf>
    <xf numFmtId="0" fontId="60" fillId="5" borderId="1" applyAlignment="1" pivotButton="0" quotePrefix="0" xfId="0">
      <alignment horizontal="center" vertical="center" wrapText="1"/>
    </xf>
    <xf numFmtId="0" fontId="55" fillId="4" borderId="1" applyAlignment="1" pivotButton="0" quotePrefix="0" xfId="0">
      <alignment vertical="top" wrapText="1"/>
    </xf>
    <xf numFmtId="0" fontId="56" fillId="4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top" wrapText="1"/>
    </xf>
    <xf numFmtId="0" fontId="50" fillId="6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0" fontId="50" fillId="3" borderId="19" applyAlignment="1" pivotButton="0" quotePrefix="0" xfId="0">
      <alignment vertical="center" wrapText="1"/>
    </xf>
    <xf numFmtId="0" fontId="55" fillId="4" borderId="13" applyAlignment="1" pivotButton="0" quotePrefix="0" xfId="0">
      <alignment vertical="center" wrapText="1"/>
    </xf>
    <xf numFmtId="0" fontId="50" fillId="3" borderId="18" applyAlignment="1" pivotButton="0" quotePrefix="0" xfId="0">
      <alignment vertical="center" wrapText="1"/>
    </xf>
    <xf numFmtId="0" fontId="55" fillId="4" borderId="15" applyAlignment="1" pivotButton="0" quotePrefix="0" xfId="0">
      <alignment vertical="center" wrapText="1"/>
    </xf>
    <xf numFmtId="0" fontId="55" fillId="4" borderId="1" applyAlignment="1" pivotButton="0" quotePrefix="0" xfId="0">
      <alignment vertical="center" wrapText="1"/>
    </xf>
    <xf numFmtId="0" fontId="58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0668000" cy="7086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zoomScaleNormal="100" zoomScalePageLayoutView="80" workbookViewId="0">
      <selection activeCell="H18" sqref="H18"/>
    </sheetView>
  </sheetViews>
  <sheetFormatPr baseColWidth="8" defaultColWidth="8.6640625" defaultRowHeight="14.4"/>
  <cols>
    <col width="2" customWidth="1" min="1" max="1"/>
    <col width="18" customWidth="1" min="2" max="2"/>
    <col width="22" customWidth="1" min="3" max="3"/>
    <col width="16" customWidth="1" min="4" max="5"/>
    <col width="22" customWidth="1" min="6" max="6"/>
    <col width="14" customWidth="1" min="7" max="8"/>
  </cols>
  <sheetData>
    <row r="1" ht="17.4" customHeight="1">
      <c r="B1" s="1" t="inlineStr">
        <is>
          <t>IF詳細設計書</t>
        </is>
      </c>
    </row>
    <row r="4" ht="21.75" customHeight="1">
      <c r="B4" s="3" t="inlineStr">
        <is>
          <t>■ 基本情報</t>
        </is>
      </c>
      <c r="C4" s="4" t="n"/>
      <c r="D4" s="4" t="n"/>
      <c r="E4" s="4" t="n"/>
      <c r="F4" s="4" t="n"/>
    </row>
    <row r="5" ht="19.5" customHeight="1">
      <c r="B5" s="5" t="inlineStr">
        <is>
          <t>IF No.</t>
        </is>
      </c>
      <c r="C5" s="30" t="inlineStr">
        <is>
          <t>Sinops-24</t>
        </is>
      </c>
      <c r="D5" s="58" t="n"/>
      <c r="E5" s="58" t="n"/>
      <c r="F5" s="59" t="n"/>
    </row>
    <row r="6" ht="19.5" customHeight="1">
      <c r="B6" s="5" t="inlineStr">
        <is>
          <t>IF名称</t>
        </is>
      </c>
      <c r="C6" s="30" t="inlineStr">
        <is>
          <t>発注勧告(当日分)</t>
        </is>
      </c>
      <c r="D6" s="58" t="n"/>
      <c r="E6" s="58" t="n"/>
      <c r="F6" s="59" t="n"/>
    </row>
    <row r="7" ht="19.5" customHeight="1">
      <c r="B7" s="6" t="inlineStr">
        <is>
          <t>対象課題</t>
        </is>
      </c>
      <c r="C7" s="30" t="inlineStr">
        <is>
          <t>自動補充Sinops系</t>
        </is>
      </c>
      <c r="D7" s="58" t="n"/>
      <c r="E7" s="58" t="n"/>
      <c r="F7" s="59" t="n"/>
    </row>
    <row r="8" ht="19.5" customHeight="1">
      <c r="B8" s="6" t="inlineStr">
        <is>
          <t>連携方向</t>
        </is>
      </c>
      <c r="C8" s="30" t="inlineStr">
        <is>
          <t>Sinops → TRIAL（連携用GCS経由。着地は自動発注GCS→既存転送→OrdreSV）</t>
        </is>
      </c>
      <c r="D8" s="58" t="n"/>
      <c r="E8" s="58" t="n"/>
      <c r="F8" s="59" t="n"/>
    </row>
    <row r="9" ht="19.5" customHeight="1">
      <c r="B9" s="6" t="inlineStr">
        <is>
          <t>対象レイヤー</t>
        </is>
      </c>
      <c r="C9" s="30" t="inlineStr">
        <is>
          <t>Layer① / Layer③（Layer② 対象外）</t>
        </is>
      </c>
      <c r="D9" s="58" t="n"/>
      <c r="E9" s="58" t="n"/>
      <c r="F9" s="59" t="n"/>
    </row>
    <row r="10" ht="19.5" customHeight="1">
      <c r="B10" s="6" t="inlineStr">
        <is>
          <t>担当者</t>
        </is>
      </c>
      <c r="C10" s="30" t="inlineStr">
        <is>
          <t>臧鵬仕</t>
        </is>
      </c>
      <c r="D10" s="58" t="n"/>
      <c r="E10" s="58" t="n"/>
      <c r="F10" s="59" t="n"/>
    </row>
    <row r="11" ht="19.5" customHeight="1">
      <c r="B11" s="6" t="inlineStr">
        <is>
          <t>レビュー者</t>
        </is>
      </c>
      <c r="C11" s="32" t="inlineStr"/>
      <c r="D11" s="58" t="n"/>
      <c r="E11" s="58" t="n"/>
      <c r="F11" s="59" t="n"/>
    </row>
    <row r="12" ht="19.5" customHeight="1">
      <c r="B12" s="6" t="inlineStr">
        <is>
          <t>承認者</t>
        </is>
      </c>
      <c r="C12" s="32" t="inlineStr"/>
      <c r="D12" s="58" t="n"/>
      <c r="E12" s="58" t="n"/>
      <c r="F12" s="59" t="n"/>
    </row>
    <row r="14" ht="21.75" customHeight="1">
      <c r="B14" s="3" t="inlineStr">
        <is>
          <t>■ 改訂履歴</t>
        </is>
      </c>
      <c r="C14" s="4" t="n"/>
      <c r="D14" s="4" t="n"/>
      <c r="E14" s="4" t="n"/>
      <c r="F14" s="4" t="n"/>
      <c r="G14" s="4" t="n"/>
    </row>
    <row r="15" ht="30" customHeight="1">
      <c r="B15" s="7" t="inlineStr">
        <is>
          <t>版数</t>
        </is>
      </c>
      <c r="C15" s="7" t="inlineStr">
        <is>
          <t>改訂日</t>
        </is>
      </c>
      <c r="D15" s="7" t="inlineStr">
        <is>
          <t>改訂者</t>
        </is>
      </c>
      <c r="E15" s="7" t="inlineStr">
        <is>
          <t>改訂内容</t>
        </is>
      </c>
      <c r="F15" s="7" t="inlineStr">
        <is>
          <t>承認者</t>
        </is>
      </c>
      <c r="G15" s="7" t="inlineStr">
        <is>
          <t>承認日</t>
        </is>
      </c>
    </row>
    <row r="16" ht="21.6" customHeight="1">
      <c r="B16" s="23" t="inlineStr">
        <is>
          <t>0.1</t>
        </is>
      </c>
      <c r="C16" s="24" t="n">
        <v>46283</v>
      </c>
      <c r="D16" s="25" t="inlineStr">
        <is>
          <t>臧鵬仕</t>
        </is>
      </c>
      <c r="E16" s="26" t="inlineStr">
        <is>
          <t>テンプレ適用。発注IF SIREJAN_RCMDORDER_LAST を初稿反映。未レビュー</t>
        </is>
      </c>
      <c r="F16" s="26" t="inlineStr"/>
      <c r="G16" s="23" t="n"/>
    </row>
    <row r="17" ht="21.75" customHeight="1">
      <c r="B17" s="10" t="inlineStr">
        <is>
          <t>0.2</t>
        </is>
      </c>
      <c r="C17" s="10" t="n">
        <v>46283</v>
      </c>
      <c r="D17" s="10" t="inlineStr">
        <is>
          <t>臧鵬仕</t>
        </is>
      </c>
      <c r="E17" s="10" t="inlineStr">
        <is>
          <t>Ordertype 確定：0非日配／1日配。部門→JIHA.BUMON_ZONE→JIHA.ZONE_LOGIC。03生鮮は TBD-18</t>
        </is>
      </c>
      <c r="F17" s="10" t="n"/>
      <c r="G17" s="10" t="n"/>
    </row>
    <row r="18" ht="21.75" customHeight="1">
      <c r="B18" s="10" t="inlineStr">
        <is>
          <t>0.3</t>
        </is>
      </c>
      <c r="C18" s="10" t="n">
        <v>46283</v>
      </c>
      <c r="D18" s="10" t="inlineStr">
        <is>
          <t>臧鵬仕</t>
        </is>
      </c>
      <c r="E18" s="10" t="inlineStr">
        <is>
          <t>Ordertype：論理区分03生鮮も1（日配と同じ）</t>
        </is>
      </c>
      <c r="F18" s="10" t="n"/>
      <c r="G18" s="10" t="n"/>
    </row>
    <row r="19" ht="21.75" customHeight="1">
      <c r="B19" s="10" t="inlineStr">
        <is>
          <t>0.4</t>
        </is>
      </c>
      <c r="C19" s="10" t="n">
        <v>46283</v>
      </c>
      <c r="D19" s="10" t="inlineStr">
        <is>
          <t>臧鵬仕</t>
        </is>
      </c>
      <c r="E19" s="10" t="inlineStr">
        <is>
          <t>Data Flow 追加（Layer③→①、Ordertype 参照を図示）</t>
        </is>
      </c>
      <c r="F19" s="10" t="n"/>
      <c r="G19" s="10" t="n"/>
    </row>
    <row r="20" ht="21.75" customHeight="1">
      <c r="B20" s="23" t="inlineStr">
        <is>
          <t>0.5</t>
        </is>
      </c>
      <c r="C20" s="24" t="n">
        <v>46283</v>
      </c>
      <c r="D20" s="25" t="inlineStr">
        <is>
          <t>臧鵬仕</t>
        </is>
      </c>
      <c r="E20" s="26" t="inlineStr">
        <is>
          <t>体裁をテンプレートに戻す（内容は維持）</t>
        </is>
      </c>
      <c r="F20" s="26" t="n"/>
      <c r="G20" s="23" t="n"/>
    </row>
    <row r="21" ht="21.75" customHeight="1">
      <c r="B21" s="23" t="inlineStr">
        <is>
          <t>0.6</t>
        </is>
      </c>
      <c r="C21" s="24" t="n">
        <v>46283</v>
      </c>
      <c r="D21" s="25" t="inlineStr">
        <is>
          <t>臧鵬仕</t>
        </is>
      </c>
      <c r="E21" s="26" t="inlineStr">
        <is>
          <t>24/25使用区分：通常は当日(24)。障害または当日未作成時は昨日の25で代替。後勝ちしない</t>
        </is>
      </c>
      <c r="F21" s="26" t="n"/>
      <c r="G21" s="23" t="n"/>
    </row>
    <row r="22" ht="21.75" customHeight="1">
      <c r="B22" s="23" t="inlineStr">
        <is>
          <t>0.7</t>
        </is>
      </c>
      <c r="C22" s="24" t="n">
        <v>46283</v>
      </c>
      <c r="D22" s="25" t="inlineStr">
        <is>
          <t>臧鵬仕</t>
        </is>
      </c>
      <c r="E22" s="26" t="inlineStr">
        <is>
          <t>Layer① は 24/25 共通 1 ジョブ。STEP20 で当日／昨日の翌日以降を判定。Data Flow を更新</t>
        </is>
      </c>
      <c r="F22" s="26" t="n"/>
      <c r="G22" s="23" t="n"/>
    </row>
    <row r="23" ht="21.75" customHeight="1">
      <c r="B23" s="23" t="inlineStr">
        <is>
          <t>0.8</t>
        </is>
      </c>
      <c r="C23" s="24" t="n">
        <v>46283</v>
      </c>
      <c r="D23" s="25" t="inlineStr">
        <is>
          <t>臧鵬仕</t>
        </is>
      </c>
      <c r="E23" s="26" t="inlineStr">
        <is>
          <t>数量：SIREJAN_RCMDORDER_LAST は×1000しない。発注単位の整数倍であれば可（丸めない）</t>
        </is>
      </c>
      <c r="F23" s="26" t="n"/>
      <c r="G23" s="23" t="n"/>
    </row>
    <row r="24" ht="21.75" customHeight="1">
      <c r="B24" s="23" t="inlineStr">
        <is>
          <t>0.9</t>
        </is>
      </c>
      <c r="C24" s="24" t="n">
        <v>46283</v>
      </c>
      <c r="D24" s="25" t="inlineStr">
        <is>
          <t>臧鵬仕</t>
        </is>
      </c>
      <c r="E24" s="26" t="inlineStr">
        <is>
          <t>Data Flow：採用ファイルの選択は Layer① IFクラウド機上のみ。Layer③は毎日2ファイルを出すだけ</t>
        </is>
      </c>
      <c r="F24" s="26" t="n"/>
      <c r="G24" s="23" t="n"/>
    </row>
    <row r="25" ht="21.75" customHeight="1">
      <c r="B25" s="23" t="inlineStr">
        <is>
          <t>0.10</t>
        </is>
      </c>
      <c r="C25" s="24" t="n">
        <v>46285</v>
      </c>
      <c r="D25" s="25" t="inlineStr">
        <is>
          <t>臧鵬仕</t>
        </is>
      </c>
      <c r="E25" s="26" t="inlineStr">
        <is>
          <t>Ordertype：部門CDは勧告ファイルの西友中分類（西友ライン）。TRIAL商品マスタは参照しない</t>
        </is>
      </c>
      <c r="F25" s="26" t="n"/>
      <c r="G25" s="23" t="n"/>
    </row>
    <row r="26" ht="21.75" customHeight="1">
      <c r="B26" s="23" t="inlineStr">
        <is>
          <t>0.11</t>
        </is>
      </c>
      <c r="C26" s="24" t="n">
        <v>46285</v>
      </c>
      <c r="D26" s="25" t="inlineStr">
        <is>
          <t>臧鵬仕</t>
        </is>
      </c>
      <c r="E26" s="26" t="inlineStr">
        <is>
          <t>店CD・商品の紐付けは西友（Sinops）とTRIALのマスタ統合で解決。本IFは独自変換しない</t>
        </is>
      </c>
      <c r="F26" s="26" t="n"/>
      <c r="G26" s="23" t="n"/>
    </row>
    <row r="27">
      <c r="B27" s="23" t="inlineStr">
        <is>
          <t>0.12</t>
        </is>
      </c>
      <c r="C27" s="24" t="n">
        <v>46285</v>
      </c>
      <c r="D27" s="25" t="inlineStr">
        <is>
          <t>臧鵬仕</t>
        </is>
      </c>
      <c r="E27" s="26" t="inlineStr">
        <is>
          <t>仕入先マスタも統合作業。本IFは9→8の独自変換をしない</t>
        </is>
      </c>
      <c r="F27" s="26" t="n"/>
      <c r="G27" s="23" t="n"/>
    </row>
    <row r="28">
      <c r="B28" s="2" t="inlineStr">
        <is>
          <t>※ 版数は 初版1.0、レビュー反映ごとに 1.1、1.2 と採番します。仕様変更による改訂は 2.0 として、変更管理表（D-5）に記録してください。</t>
        </is>
      </c>
    </row>
    <row r="29">
      <c r="B29" s="2" t="inlineStr">
        <is>
          <t>※ 未確定事項は空欄にせず、「09_確認事項・前提」シートに起票のうえ、該当箇所に「TBD-01」等の識別子を記載してください。</t>
        </is>
      </c>
    </row>
  </sheetData>
  <mergeCells count="8">
    <mergeCell ref="C9:F9"/>
    <mergeCell ref="C8:F8"/>
    <mergeCell ref="C12:F12"/>
    <mergeCell ref="C6:F6"/>
    <mergeCell ref="C7:F7"/>
    <mergeCell ref="C11:F11"/>
    <mergeCell ref="C10:F10"/>
    <mergeCell ref="C5:F5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B1:F25"/>
  <sheetViews>
    <sheetView showGridLines="0" tabSelected="1" zoomScaleNormal="100" zoomScalePageLayoutView="80" workbookViewId="0">
      <selection activeCell="C22" sqref="C22"/>
    </sheetView>
  </sheetViews>
  <sheetFormatPr baseColWidth="8" defaultColWidth="8.6640625" defaultRowHeight="14.4"/>
  <cols>
    <col width="2" customWidth="1" min="1" max="1"/>
    <col width="20" customWidth="1" min="2" max="2"/>
    <col width="2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 ht="17.4" customHeight="1">
      <c r="B1" s="1" t="inlineStr">
        <is>
          <t>1. IF概要</t>
        </is>
      </c>
    </row>
    <row r="2" ht="42" customHeight="1">
      <c r="B2" s="2" t="inlineStr">
        <is>
          <t>Layer③ は当日・翌日以降を毎日出す。Layer① は 24/25 共通 1 ジョブで採用を判定する：当日が指定時刻までに作成済なら当日、障害または未作成なら昨日の翌日以降。発注IFへは 1 本だけ。</t>
        </is>
      </c>
    </row>
    <row r="4" ht="21.75" customHeight="1">
      <c r="B4" s="3" t="inlineStr">
        <is>
          <t>■ 連携条件</t>
        </is>
      </c>
      <c r="C4" s="4" t="n"/>
      <c r="D4" s="4" t="n"/>
      <c r="E4" s="4" t="n"/>
    </row>
    <row r="5" ht="19.5" customHeight="1">
      <c r="B5" s="6" t="inlineStr">
        <is>
          <t>送信元システム</t>
        </is>
      </c>
      <c r="C5" s="30" t="inlineStr">
        <is>
          <t>Sinops（西友自動補充）</t>
        </is>
      </c>
      <c r="D5" s="58" t="n"/>
      <c r="E5" s="59" t="n"/>
    </row>
    <row r="6" ht="19.5" customHeight="1">
      <c r="B6" s="6" t="inlineStr">
        <is>
          <t>受信先システム</t>
        </is>
      </c>
      <c r="C6" s="30" t="inlineStr">
        <is>
          <t>TRIAL 自動発注 GCS（以降の OrdreSV は既存転送。本IFの範囲外）</t>
        </is>
      </c>
      <c r="D6" s="58" t="n"/>
      <c r="E6" s="59" t="n"/>
    </row>
    <row r="7" ht="19.5" customHeight="1">
      <c r="B7" s="6" t="inlineStr">
        <is>
          <t>連携方式</t>
        </is>
      </c>
      <c r="C7" s="30" t="inlineStr">
        <is>
          <t>ファイル連携</t>
        </is>
      </c>
      <c r="D7" s="58" t="n"/>
      <c r="E7" s="59" t="n"/>
    </row>
    <row r="8" ht="19.5" customHeight="1">
      <c r="B8" s="6" t="inlineStr">
        <is>
          <t>連携頻度</t>
        </is>
      </c>
      <c r="C8" s="30" t="inlineStr">
        <is>
          <t>日次</t>
        </is>
      </c>
      <c r="D8" s="58" t="n"/>
      <c r="E8" s="59" t="n"/>
    </row>
    <row r="9" ht="19.5" customHeight="1">
      <c r="B9" s="6" t="inlineStr">
        <is>
          <t>連携タイミング</t>
        </is>
      </c>
      <c r="C9" s="30" t="inlineStr">
        <is>
          <t>勧告計算後（TBD-02）。Layer① の採用判定締切は TBD-19（例 6:00）</t>
        </is>
      </c>
      <c r="D9" s="58" t="n"/>
      <c r="E9" s="59" t="n"/>
    </row>
    <row r="10" ht="19.5" customHeight="1">
      <c r="B10" s="6" t="inlineStr">
        <is>
          <t>処理窓</t>
        </is>
      </c>
      <c r="C10" s="30" t="inlineStr">
        <is>
          <t>TBD-02</t>
        </is>
      </c>
      <c r="D10" s="58" t="n"/>
      <c r="E10" s="59" t="n"/>
    </row>
    <row r="11" ht="19.5" customHeight="1">
      <c r="B11" s="6" t="inlineStr">
        <is>
          <t>想定件数</t>
        </is>
      </c>
      <c r="C11" s="30" t="inlineStr">
        <is>
          <t>TBD-14</t>
        </is>
      </c>
      <c r="D11" s="58" t="n"/>
      <c r="E11" s="59" t="n"/>
    </row>
    <row r="12" ht="19.5" customHeight="1">
      <c r="B12" s="6" t="inlineStr">
        <is>
          <t>想定データ量</t>
        </is>
      </c>
      <c r="C12" s="30" t="inlineStr">
        <is>
          <t>TBD-14</t>
        </is>
      </c>
      <c r="D12" s="58" t="n"/>
      <c r="E12" s="59" t="n"/>
    </row>
    <row r="13" ht="19.5" customHeight="1">
      <c r="B13" s="6" t="inlineStr">
        <is>
          <t>リラン可否</t>
        </is>
      </c>
      <c r="C13" s="30" t="inlineStr">
        <is>
          <t>可（TBD-03）。Layer① は共通 1 ジョブ。当日未作成時は昨日の翌日以降を採用</t>
        </is>
      </c>
      <c r="D13" s="58" t="n"/>
      <c r="E13" s="59" t="n"/>
    </row>
    <row r="15" ht="21.75" customHeight="1">
      <c r="B15" s="3" t="inlineStr">
        <is>
          <t>■ レイヤー別スコープ</t>
        </is>
      </c>
      <c r="C15" s="4" t="n"/>
      <c r="D15" s="4" t="n"/>
      <c r="E15" s="4" t="n"/>
      <c r="F15" s="4" t="n"/>
    </row>
    <row r="16" ht="30" customHeight="1">
      <c r="B16" s="7" t="inlineStr">
        <is>
          <t>レイヤー</t>
        </is>
      </c>
      <c r="C16" s="7" t="inlineStr">
        <is>
          <t>範囲</t>
        </is>
      </c>
      <c r="D16" s="27" t="inlineStr">
        <is>
          <t>変換有無</t>
        </is>
      </c>
      <c r="E16" s="7" t="inlineStr">
        <is>
          <t>処理概要</t>
        </is>
      </c>
      <c r="F16" s="7" t="inlineStr">
        <is>
          <t>使用技術</t>
        </is>
      </c>
    </row>
    <row r="17" ht="31.5" customHeight="1">
      <c r="B17" s="28" t="inlineStr">
        <is>
          <t>Layer①</t>
        </is>
      </c>
      <c r="C17" s="28" t="inlineStr">
        <is>
          <t>連携用GCS → クラウド機（24/25 共通 1 ジョブ）→ 自動発注GCS</t>
        </is>
      </c>
      <c r="D17" s="28" t="inlineStr">
        <is>
          <t>有</t>
        </is>
      </c>
      <c r="E17" s="28" t="inlineStr">
        <is>
          <t>当日と昨日の翌日以降をプルし、判定のうえ 1 本を発注IFへ変換して自動発注GCSへ置く</t>
        </is>
      </c>
      <c r="F17" s="28" t="inlineStr">
        <is>
          <t>外部IFプログラム（SCM連携クラウド機。24/25 共通）</t>
        </is>
      </c>
    </row>
    <row r="18" ht="31.5" customHeight="1">
      <c r="B18" s="28" t="inlineStr">
        <is>
          <t>Layer②</t>
        </is>
      </c>
      <c r="C18" s="28" t="inlineStr">
        <is>
          <t>対象外</t>
        </is>
      </c>
      <c r="D18" s="28" t="inlineStr">
        <is>
          <t>無</t>
        </is>
      </c>
      <c r="E18" s="28" t="inlineStr">
        <is>
          <t>トランのため DWH Intake しない</t>
        </is>
      </c>
      <c r="F18" s="28" t="inlineStr">
        <is>
          <t>－</t>
        </is>
      </c>
    </row>
    <row r="19" ht="31.5" customHeight="1">
      <c r="B19" s="28" t="inlineStr">
        <is>
          <t>Layer③</t>
        </is>
      </c>
      <c r="C19" s="28" t="inlineStr">
        <is>
          <t>Sinops → 連携用GCS</t>
        </is>
      </c>
      <c r="D19" s="28" t="inlineStr">
        <is>
          <t>無</t>
        </is>
      </c>
      <c r="E19" s="28" t="inlineStr">
        <is>
          <t>DataSpider が Sinops から勧告ファイルを処理し連携用GCSへ出す。OrdreSV へは送らない</t>
        </is>
      </c>
      <c r="F19" s="28" t="inlineStr">
        <is>
          <t>DataSpider</t>
        </is>
      </c>
    </row>
    <row r="20" ht="21.75" customHeight="1">
      <c r="B20" s="10" t="n"/>
      <c r="C20" s="10" t="n"/>
      <c r="D20" s="10" t="n"/>
      <c r="E20" s="10" t="n"/>
      <c r="F20" s="10" t="n"/>
    </row>
    <row r="21" ht="21.75" customHeight="1">
      <c r="B21" s="10" t="n"/>
      <c r="C21" s="10" t="n"/>
      <c r="D21" s="10" t="n"/>
      <c r="E21" s="10" t="n"/>
      <c r="F21" s="10" t="n"/>
    </row>
    <row r="22" ht="21.75" customHeight="1">
      <c r="B22" s="10" t="n"/>
      <c r="C22" s="10" t="n"/>
      <c r="D22" s="10" t="n"/>
      <c r="E22" s="10" t="n"/>
      <c r="F22" s="10" t="n"/>
    </row>
    <row r="25">
      <c r="B25" s="11" t="n"/>
    </row>
  </sheetData>
  <mergeCells count="9">
    <mergeCell ref="C11:E11"/>
    <mergeCell ref="C13:E13"/>
    <mergeCell ref="C5:E5"/>
    <mergeCell ref="C8:E8"/>
    <mergeCell ref="C9:E9"/>
    <mergeCell ref="C7:E7"/>
    <mergeCell ref="C12:E12"/>
    <mergeCell ref="C6:E6"/>
    <mergeCell ref="C10:E10"/>
  </mergeCells>
  <dataValidations disablePrompts="1" count="3">
    <dataValidation sqref="D20:D23" showDropDown="0" showInputMessage="0" showErrorMessage="0" allowBlank="1" type="list">
      <formula1>"有,無"</formula1>
      <formula2>0</formula2>
    </dataValidation>
    <dataValidation sqref="C24" showDropDown="0" showInputMessage="0" showErrorMessage="0" allowBlank="1" type="list">
      <formula1>"前提,制約,依存IF"</formula1>
      <formula2>0</formula2>
    </dataValidation>
    <dataValidation sqref="G24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41"/>
  <sheetViews>
    <sheetView showGridLines="0" zoomScalePageLayoutView="80" workbookViewId="0">
      <selection activeCell="C28" sqref="C28"/>
    </sheetView>
  </sheetViews>
  <sheetFormatPr baseColWidth="8" defaultColWidth="11.5546875" defaultRowHeight="14.4"/>
  <sheetData>
    <row r="1">
      <c r="B1" s="1" t="inlineStr">
        <is>
          <t>Data Flow　採用ファイルの選択は Layer① IFクラウド機の上だけで行う</t>
        </is>
      </c>
    </row>
    <row r="2" ht="36" customHeight="1">
      <c r="B2" s="2" t="inlineStr">
        <is>
          <t>Layer③は当日・翌日以降を毎日出す（ここでは選ばない）。採用するファイルは Layer① IFクラウド機の上だけで選ぶ：当日が指定時刻までに作成済なら当日、障害または未作成なら昨日の【翌日以後】。選んだ1本だけ自動発注GCSへ。</t>
        </is>
      </c>
    </row>
    <row r="4" ht="15" customHeight="1" thickBot="1"/>
    <row r="5">
      <c r="D5" s="15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7" t="n"/>
    </row>
    <row r="6">
      <c r="D6" s="18" t="n"/>
      <c r="P6" s="19" t="n"/>
    </row>
    <row r="7">
      <c r="D7" s="18" t="n"/>
      <c r="P7" s="19" t="n"/>
    </row>
    <row r="8">
      <c r="D8" s="18" t="n"/>
      <c r="P8" s="19" t="n"/>
    </row>
    <row r="9">
      <c r="D9" s="18" t="n"/>
      <c r="P9" s="19" t="n"/>
    </row>
    <row r="10">
      <c r="D10" s="18" t="n"/>
      <c r="P10" s="19" t="n"/>
    </row>
    <row r="11">
      <c r="D11" s="18" t="n"/>
      <c r="P11" s="19" t="n"/>
    </row>
    <row r="12">
      <c r="D12" s="18" t="n"/>
      <c r="P12" s="19" t="n"/>
    </row>
    <row r="13">
      <c r="D13" s="18" t="n"/>
      <c r="P13" s="19" t="n"/>
    </row>
    <row r="14">
      <c r="D14" s="18" t="n"/>
      <c r="P14" s="19" t="n"/>
    </row>
    <row r="15">
      <c r="D15" s="18" t="n"/>
      <c r="P15" s="19" t="n"/>
    </row>
    <row r="16">
      <c r="D16" s="18" t="n"/>
      <c r="P16" s="19" t="n"/>
    </row>
    <row r="17">
      <c r="D17" s="18" t="n"/>
      <c r="P17" s="19" t="n"/>
    </row>
    <row r="18">
      <c r="D18" s="18" t="n"/>
      <c r="P18" s="19" t="n"/>
    </row>
    <row r="19">
      <c r="D19" s="18" t="n"/>
      <c r="P19" s="19" t="n"/>
    </row>
    <row r="20">
      <c r="D20" s="18" t="n"/>
      <c r="P20" s="19" t="n"/>
    </row>
    <row r="21">
      <c r="D21" s="18" t="n"/>
      <c r="P21" s="19" t="n"/>
    </row>
    <row r="22">
      <c r="D22" s="18" t="n"/>
      <c r="P22" s="19" t="n"/>
    </row>
    <row r="23">
      <c r="D23" s="18" t="n"/>
      <c r="P23" s="19" t="n"/>
    </row>
    <row r="24">
      <c r="D24" s="18" t="n"/>
      <c r="P24" s="19" t="n"/>
    </row>
    <row r="25">
      <c r="D25" s="18" t="n"/>
      <c r="P25" s="19" t="n"/>
    </row>
    <row r="26">
      <c r="D26" s="18" t="n"/>
      <c r="P26" s="19" t="n"/>
    </row>
    <row r="27">
      <c r="D27" s="18" t="n"/>
      <c r="P27" s="19" t="n"/>
    </row>
    <row r="28">
      <c r="D28" s="18" t="n"/>
      <c r="P28" s="19" t="n"/>
    </row>
    <row r="29">
      <c r="D29" s="18" t="n"/>
      <c r="P29" s="19" t="n"/>
    </row>
    <row r="30">
      <c r="D30" s="18" t="n"/>
      <c r="P30" s="19" t="n"/>
    </row>
    <row r="31">
      <c r="D31" s="18" t="n"/>
      <c r="P31" s="19" t="n"/>
    </row>
    <row r="32">
      <c r="D32" s="18" t="n"/>
      <c r="P32" s="19" t="n"/>
    </row>
    <row r="33">
      <c r="D33" s="18" t="n"/>
      <c r="P33" s="19" t="n"/>
    </row>
    <row r="34">
      <c r="D34" s="18" t="n"/>
      <c r="P34" s="19" t="n"/>
    </row>
    <row r="35">
      <c r="D35" s="18" t="n"/>
      <c r="P35" s="19" t="n"/>
    </row>
    <row r="36">
      <c r="D36" s="18" t="n"/>
      <c r="P36" s="19" t="n"/>
    </row>
    <row r="37">
      <c r="D37" s="18" t="n"/>
      <c r="P37" s="19" t="n"/>
    </row>
    <row r="38">
      <c r="D38" s="18" t="n"/>
      <c r="P38" s="19" t="n"/>
    </row>
    <row r="39">
      <c r="D39" s="18" t="n"/>
      <c r="P39" s="19" t="n"/>
    </row>
    <row r="40">
      <c r="D40" s="18" t="n"/>
      <c r="P40" s="19" t="n"/>
    </row>
    <row r="41" ht="15" customHeight="1" thickBot="1">
      <c r="D41" s="20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n"/>
    </row>
  </sheetData>
  <printOptions horizontalCentered="0" headings="0" gridLines="0"/>
  <pageMargins left="0.7" right="0.7" top="0.75" bottom="0.75" header="0.3" footer="0.3"/>
  <pageSetup pageOrder="downThenOver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1"/>
  <sheetViews>
    <sheetView showGridLines="0" zoomScaleNormal="100" zoomScalePageLayoutView="80" workbookViewId="0">
      <selection activeCell="D20" sqref="D20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2. Layer① 設計（TRIAL ↔ GCS）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処理概要</t>
        </is>
      </c>
      <c r="C5" s="47" t="inlineStr">
        <is>
          <t>連携用GCS上の当日（kankoku）と昨日の翌日以降（subkankoku）をプルし、採用判定のうえ 1 本だけ SIREJAN_RCMDORDER_LAST 7項目へ変換して TRIAL 自動発注GCSへアップロードする。Layer① は 24/25 共通 1 ジョブ。後勝ちで 2 本重ねない</t>
        </is>
      </c>
      <c r="D5" s="58" t="n"/>
      <c r="E5" s="59" t="n"/>
      <c r="F5" s="29" t="inlineStr"/>
    </row>
    <row r="6" ht="19.5" customHeight="1">
      <c r="B6" s="6" t="inlineStr">
        <is>
          <t>抽出元テーブル</t>
        </is>
      </c>
      <c r="C6" s="46" t="inlineStr">
        <is>
          <t>連携用GCS（DSS配置）。当日 kankoku.txt（Sinops-24）および昨日の subkankoku.txt（Sinops-25）</t>
        </is>
      </c>
      <c r="D6" s="58" t="n"/>
      <c r="E6" s="59" t="n"/>
    </row>
    <row r="7" ht="19.5" customHeight="1">
      <c r="B7" s="6" t="inlineStr">
        <is>
          <t>抽出条件</t>
        </is>
      </c>
      <c r="C7" s="47" t="inlineStr">
        <is>
          <t>STEP20 で採用判定。当日が指定時刻（TBD-19、例 6:00）までに作成済なら当日。障害または未作成なら昨日の翌日以降。両方は採用しない</t>
        </is>
      </c>
      <c r="D7" s="58" t="n"/>
      <c r="E7" s="59" t="n"/>
      <c r="F7" s="29" t="inlineStr"/>
    </row>
    <row r="8" ht="19.5" customHeight="1">
      <c r="B8" s="6" t="inlineStr">
        <is>
          <t>出力ファイル名</t>
        </is>
      </c>
      <c r="C8" s="48" t="inlineStr">
        <is>
          <t>論理：SIREJAN_RCMDORDER_LAST／物理名 TBD-04。採用した 1 本のみ出力</t>
        </is>
      </c>
      <c r="D8" s="58" t="n"/>
      <c r="E8" s="59" t="n"/>
    </row>
    <row r="9" ht="19.5" customHeight="1">
      <c r="B9" s="5" t="inlineStr">
        <is>
          <t>GCS配置先</t>
        </is>
      </c>
      <c r="C9" s="48" t="inlineStr">
        <is>
          <t>IN: gs://ods-seiyu-prod/{TBD-05}/　OUT: 自動発注GCS {TBD-06}（連携用バケットと別）</t>
        </is>
      </c>
      <c r="D9" s="58" t="n"/>
      <c r="E9" s="59" t="n"/>
    </row>
    <row r="10" ht="19.5" customHeight="1">
      <c r="B10" s="6" t="inlineStr">
        <is>
          <t>文字コード</t>
        </is>
      </c>
      <c r="C10" s="47" t="inlineStr">
        <is>
          <t>UTF-8（BOMなし）を候補。確定は TBD-07</t>
        </is>
      </c>
      <c r="D10" s="58" t="n"/>
      <c r="E10" s="59" t="n"/>
    </row>
    <row r="11" ht="19.5" customHeight="1">
      <c r="B11" s="6" t="inlineStr">
        <is>
          <t>世代管理</t>
        </is>
      </c>
      <c r="C11" s="47" t="inlineStr">
        <is>
          <t>TBD-03（同名上書き時に履歴は残らない。GCSライフサイクル方針に従う）</t>
        </is>
      </c>
      <c r="D11" s="58" t="n"/>
      <c r="E11" s="59" t="n"/>
      <c r="F11" s="29" t="inlineStr"/>
    </row>
    <row r="13" ht="21.75" customHeight="1">
      <c r="B13" s="3" t="inlineStr">
        <is>
          <t>■ 処理フロー</t>
        </is>
      </c>
      <c r="C13" s="4" t="n"/>
      <c r="D13" s="4" t="n"/>
      <c r="E13" s="4" t="n"/>
      <c r="F13" s="4" t="n"/>
      <c r="G13" s="4" t="n"/>
    </row>
    <row r="14" ht="30" customHeight="1">
      <c r="B14" s="12" t="inlineStr">
        <is>
          <t>STEP</t>
        </is>
      </c>
      <c r="C14" s="7" t="inlineStr">
        <is>
          <t>処理内容</t>
        </is>
      </c>
      <c r="D14" s="7" t="inlineStr">
        <is>
          <t>入力</t>
        </is>
      </c>
      <c r="E14" s="7" t="inlineStr">
        <is>
          <t>出力</t>
        </is>
      </c>
      <c r="F14" s="7" t="inlineStr">
        <is>
          <t>例外時の扱い</t>
        </is>
      </c>
      <c r="G14" s="7" t="inlineStr">
        <is>
          <t>備考</t>
        </is>
      </c>
    </row>
    <row r="15" ht="31.5" customHeight="1">
      <c r="B15" s="49" t="n">
        <v>10</v>
      </c>
      <c r="C15" s="52" t="inlineStr">
        <is>
          <t>連携用GCSから当日勧告と昨日の翌日以降勧告をプルし、クラウド機へステージング</t>
        </is>
      </c>
      <c r="D15" s="49" t="inlineStr">
        <is>
          <t>gs://ods-seiyu-prod/{TBD-05}/ 当日 ＋ 昨日の翌日以降</t>
        </is>
      </c>
      <c r="E15" s="50" t="inlineStr">
        <is>
          <t>本機ステージング（最大 2 ファイル）</t>
        </is>
      </c>
      <c r="F15" s="49" t="inlineStr">
        <is>
          <t>両方取れない場合は ER-004。当日0件は判定へ（ER-012）</t>
        </is>
      </c>
      <c r="G15" s="50" t="inlineStr">
        <is>
          <t>Hinemos 起動 Layer①（24/25 共通）</t>
        </is>
      </c>
      <c r="H15" s="53" t="inlineStr">
        <is>
          <t>共通 1 ジョブ</t>
        </is>
      </c>
    </row>
    <row r="16" ht="60" customHeight="1">
      <c r="B16" s="49" t="n">
        <v>20</v>
      </c>
      <c r="C16" s="51" t="inlineStr">
        <is>
          <t>採用判定。当日ファイルが指定時刻（TBD-19、例 6:00）までに作成済 → 当日を採用。障害、または当日未作成 → 昨日作成の翌日以降を採用。2 本を後勝ちで重ねない</t>
        </is>
      </c>
      <c r="D16" s="50" t="inlineStr">
        <is>
          <t>ステージング上の当日 ＋ 昨日の翌日以降</t>
        </is>
      </c>
      <c r="E16" s="50" t="inlineStr">
        <is>
          <t>採用する 1 ファイル</t>
        </is>
      </c>
      <c r="F16" s="50" t="inlineStr">
        <is>
          <t>当日未作成・障害は ER-012 で昨日分を採用。昨日分も無ければ中断</t>
        </is>
      </c>
      <c r="G16" s="49" t="inlineStr">
        <is>
          <t>TBD-13/19。後勝ちしない</t>
        </is>
      </c>
      <c r="H16" t="inlineStr">
        <is>
          <t>判定は本機。自動発注側では選ばない</t>
        </is>
      </c>
    </row>
    <row r="17" ht="84" customHeight="1">
      <c r="B17" s="49" t="n">
        <v>30</v>
      </c>
      <c r="C17" s="51" t="inlineStr">
        <is>
          <t>採用した 1 本を SIREJAN_RCMDORDER_LAST へ変換。数量は×1000しない。発注単位の整数倍であれば発注バラ数を直接設定（倍数に丸めない）。Ordertype は勧告ファイルの西友中分類（西友ライン＝部門）を部門CDとし、自動発注GCS JIHA.BUMON_ZONE（部門CD, ZONECD）→ JIHA.ZONE_LOGIC（ZONECD, 論理区分）。論理区分 01→0（非日配）、02→1（日配）、03→1（生鮮）。TRIAL 商品マスタは参照しない。</t>
        </is>
      </c>
      <c r="D17" s="50" t="inlineStr">
        <is>
          <t>採用した 1 本（部門＝西友中分類／西友ライン）＋ JIHA.BUMON_ZONE / JIHA.ZONE_LOGIC（自動発注GCS）</t>
        </is>
      </c>
      <c r="E17" s="50" t="inlineStr">
        <is>
          <t>7項目ファイル 1 本</t>
        </is>
      </c>
      <c r="F17" s="50" t="inlineStr">
        <is>
          <t>必須項目欠落・桁超過は ER-005。TBD項目は変換せず設計書の TBD に従う</t>
        </is>
      </c>
      <c r="G17" s="49" t="inlineStr">
        <is>
          <t>R01/R04/R06/R07 確定。部門は勧告ファイル。商品マスタは見ない。数量は発注単位の整数倍。店・仕入先・商品はマスタ統合に追随</t>
        </is>
      </c>
      <c r="H17" t="inlineStr">
        <is>
          <t>変換対象は採用した 1 本のみ</t>
        </is>
      </c>
    </row>
    <row r="18" ht="36" customHeight="1">
      <c r="B18" s="49" t="n">
        <v>40</v>
      </c>
      <c r="C18" s="51" t="inlineStr">
        <is>
          <t>変換後ファイル（採用した 1 本）を TRIAL 自動発注GCSへアップロード</t>
        </is>
      </c>
      <c r="D18" s="50" t="inlineStr">
        <is>
          <t>7項目ファイル 1 本</t>
        </is>
      </c>
      <c r="E18" s="50" t="inlineStr">
        <is>
          <t>gs://{TBD-06}/</t>
        </is>
      </c>
      <c r="F18" s="50" t="inlineStr">
        <is>
          <t>配置失敗は ER-006 で中断</t>
        </is>
      </c>
      <c r="G18" s="49" t="inlineStr">
        <is>
          <t>OrdreSV へは既存自動発注転送。本STEPの外</t>
        </is>
      </c>
      <c r="H18" t="inlineStr">
        <is>
          <t>出力は常に 1 本</t>
        </is>
      </c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 ht="21.75" customHeight="1">
      <c r="B27" s="10" t="n"/>
      <c r="C27" s="10" t="n"/>
      <c r="D27" s="10" t="n"/>
      <c r="E27" s="10" t="n"/>
      <c r="F27" s="10" t="n"/>
      <c r="G27" s="10" t="n"/>
    </row>
    <row r="28" ht="21.75" customHeight="1">
      <c r="B28" s="10" t="n"/>
      <c r="C28" s="10" t="n"/>
      <c r="D28" s="10" t="n"/>
      <c r="E28" s="10" t="n"/>
      <c r="F28" s="10" t="n"/>
      <c r="G28" s="10" t="n"/>
    </row>
    <row r="30">
      <c r="B30" s="11" t="n"/>
    </row>
    <row r="31">
      <c r="B31" s="2" t="n"/>
    </row>
  </sheetData>
  <mergeCells count="7">
    <mergeCell ref="C11:E11"/>
    <mergeCell ref="C5:E5"/>
    <mergeCell ref="C8:E8"/>
    <mergeCell ref="C9:E9"/>
    <mergeCell ref="C7:E7"/>
    <mergeCell ref="C6:E6"/>
    <mergeCell ref="C10:E10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topLeftCell="A3" zoomScaleNormal="100" zoomScalePageLayoutView="80" workbookViewId="0">
      <selection activeCell="C13" sqref="C13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3. Layer② 設計（GCS → DWH）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取込対象ファイル</t>
        </is>
      </c>
      <c r="C5" s="47" t="inlineStr">
        <is>
          <t>対象外（本IFはトラン。IF一覧どおり Layer2 無）</t>
        </is>
      </c>
      <c r="D5" s="58" t="n"/>
      <c r="E5" s="59" t="n"/>
    </row>
    <row r="6" ht="19.5" customHeight="1">
      <c r="B6" s="5" t="inlineStr">
        <is>
          <t>Intakeテーブル</t>
        </is>
      </c>
      <c r="C6" s="47" t="inlineStr">
        <is>
          <t>－</t>
        </is>
      </c>
      <c r="D6" s="58" t="n"/>
      <c r="E6" s="59" t="n"/>
    </row>
    <row r="7" ht="19.5" customHeight="1">
      <c r="B7" s="6" t="inlineStr">
        <is>
          <t>格納方式</t>
        </is>
      </c>
      <c r="C7" s="54" t="inlineStr">
        <is>
          <t>－</t>
        </is>
      </c>
      <c r="D7" s="58" t="n"/>
      <c r="E7" s="59" t="n"/>
      <c r="F7" s="53" t="n"/>
    </row>
    <row r="8" ht="19.5" customHeight="1">
      <c r="B8" s="6" t="inlineStr">
        <is>
          <t>実行トリガ</t>
        </is>
      </c>
      <c r="C8" s="47" t="inlineStr">
        <is>
          <t>－</t>
        </is>
      </c>
      <c r="D8" s="58" t="n"/>
      <c r="E8" s="59" t="n"/>
    </row>
    <row r="9" ht="19.5" customHeight="1">
      <c r="B9" s="6" t="inlineStr">
        <is>
          <t>エラー時の扱い</t>
        </is>
      </c>
      <c r="C9" s="47" t="inlineStr">
        <is>
          <t>－</t>
        </is>
      </c>
      <c r="D9" s="58" t="n"/>
      <c r="E9" s="59" t="n"/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</v>
      </c>
      <c r="C13" s="51" t="inlineStr">
        <is>
          <t>対象外。Intake しない</t>
        </is>
      </c>
      <c r="D13" s="49" t="inlineStr">
        <is>
          <t>－</t>
        </is>
      </c>
      <c r="E13" s="50" t="inlineStr">
        <is>
          <t>－</t>
        </is>
      </c>
      <c r="F13" s="49" t="inlineStr">
        <is>
          <t>－</t>
        </is>
      </c>
      <c r="G13" s="50" t="n"/>
    </row>
    <row r="14" ht="31.5" customHeight="1">
      <c r="B14" s="10" t="n"/>
      <c r="C14" s="10" t="n"/>
      <c r="D14" s="10" t="n"/>
      <c r="E14" s="10" t="n"/>
      <c r="F14" s="10" t="n"/>
      <c r="G14" s="10" t="n"/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zoomScaleNormal="100" zoomScalePageLayoutView="80" workbookViewId="0">
      <selection activeCell="E16" sqref="E16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4. Layer③ 設計（DWH・GCS ↔ 業務システム）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連携先システム</t>
        </is>
      </c>
      <c r="C5" s="54" t="inlineStr">
        <is>
          <t>連携用GCS（TRIAL MD基幹への最終着地は自動発注転送。DSSはOrdreSVへ直送しない）</t>
        </is>
      </c>
      <c r="D5" s="58" t="n"/>
      <c r="E5" s="59" t="n"/>
    </row>
    <row r="6" ht="19.5" customHeight="1">
      <c r="B6" s="6" t="inlineStr">
        <is>
          <t>出力対象</t>
        </is>
      </c>
      <c r="C6" s="54" t="inlineStr">
        <is>
          <t>Sinops-24 当日勧告ファイル（kankoku.txt）。毎日作成。Layer① 共通ジョブの通常入力</t>
        </is>
      </c>
      <c r="D6" s="58" t="n"/>
      <c r="E6" s="59" t="n"/>
    </row>
    <row r="7" ht="19.5" customHeight="1">
      <c r="B7" s="6" t="inlineStr">
        <is>
          <t>参照テーブル</t>
        </is>
      </c>
      <c r="C7" s="47" t="inlineStr">
        <is>
          <t>Sinops 発注勧告（当日）。二次加工しない</t>
        </is>
      </c>
      <c r="D7" s="58" t="n"/>
      <c r="E7" s="59" t="n"/>
    </row>
    <row r="8" ht="19.5" customHeight="1">
      <c r="B8" s="6" t="inlineStr">
        <is>
          <t>出力先</t>
        </is>
      </c>
      <c r="C8" s="54" t="inlineStr">
        <is>
          <t>gs://ods-seiyu-prod/{TBD-05}/</t>
        </is>
      </c>
      <c r="D8" s="58" t="n"/>
      <c r="E8" s="59" t="n"/>
    </row>
    <row r="9" ht="19.5" customHeight="1">
      <c r="B9" s="6" t="inlineStr">
        <is>
          <t>連携タイミング</t>
        </is>
      </c>
      <c r="C9" s="47" t="inlineStr">
        <is>
          <t>勧告計算後（TBD-02）</t>
        </is>
      </c>
      <c r="D9" s="58" t="n"/>
      <c r="E9" s="59" t="n"/>
      <c r="F9" s="29" t="inlineStr">
        <is>
          <t>Layer①は本配置後にプル</t>
        </is>
      </c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10</v>
      </c>
      <c r="C13" s="51" t="inlineStr">
        <is>
          <t>Sinops から当日勧告を取得</t>
        </is>
      </c>
      <c r="D13" s="49" t="inlineStr">
        <is>
          <t>Sinops</t>
        </is>
      </c>
      <c r="E13" s="50" t="inlineStr">
        <is>
          <t>DSS 作業領域</t>
        </is>
      </c>
      <c r="F13" s="49" t="inlineStr">
        <is>
          <t>取得失敗は処理中断・通知</t>
        </is>
      </c>
      <c r="G13" s="50" t="inlineStr"/>
    </row>
    <row r="14" ht="31.5" customHeight="1">
      <c r="B14" s="49" t="n">
        <v>20</v>
      </c>
      <c r="C14" s="50" t="inlineStr">
        <is>
          <t>連携用GCSへ配置</t>
        </is>
      </c>
      <c r="D14" s="50" t="inlineStr">
        <is>
          <t>DSS 作業領域</t>
        </is>
      </c>
      <c r="E14" s="50" t="inlineStr">
        <is>
          <t>gs://ods-seiyu-prod/{TBD-05}/</t>
        </is>
      </c>
      <c r="F14" s="50" t="inlineStr">
        <is>
          <t>配置失敗は処理中断・通知</t>
        </is>
      </c>
      <c r="G14" s="49" t="inlineStr">
        <is>
          <t>UTF-8。フォルダ名は西友 from_to_連番（TBD-05）</t>
        </is>
      </c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T124"/>
  <sheetViews>
    <sheetView showGridLines="0" topLeftCell="D1" zoomScale="70" zoomScaleNormal="70" zoomScalePageLayoutView="80" workbookViewId="0">
      <selection pane="topRight" activeCell="A1" sqref="A1"/>
      <selection pane="bottomLeft" activeCell="A1" sqref="A1"/>
      <selection pane="bottomRight" activeCell="P7" sqref="P7:P30"/>
    </sheetView>
  </sheetViews>
  <sheetFormatPr baseColWidth="8" defaultColWidth="8.6640625" defaultRowHeight="14.4"/>
  <cols>
    <col width="2" customWidth="1" min="1" max="1"/>
    <col width="5" customWidth="1" min="2" max="2"/>
    <col width="20.88671875" customWidth="1" min="3" max="3"/>
    <col width="18" customWidth="1" min="4" max="4"/>
    <col width="10" customWidth="1" min="5" max="5"/>
    <col width="14.33203125" customWidth="1" min="6" max="6"/>
    <col width="7" customWidth="1" min="7" max="7"/>
    <col width="18" customWidth="1" min="8" max="8"/>
    <col width="22" customWidth="1" min="9" max="9"/>
    <col width="20" customWidth="1" min="10" max="10"/>
    <col width="10" customWidth="1" min="11" max="11"/>
    <col width="8" customWidth="1" min="12" max="12"/>
    <col width="7" customWidth="1" min="13" max="13"/>
    <col width="13" customWidth="1" min="14" max="14"/>
    <col width="22" customWidth="1" min="15" max="15"/>
    <col width="46.109375" customWidth="1" min="16" max="16"/>
    <col width="8.77734375" customWidth="1" min="17" max="19"/>
    <col width="31.88671875" customWidth="1" min="20" max="20"/>
  </cols>
  <sheetData>
    <row r="1" ht="17.4" customHeight="1">
      <c r="B1" s="1" t="inlineStr">
        <is>
          <t>5. 項目マッピング</t>
        </is>
      </c>
    </row>
    <row r="2">
      <c r="B2" s="2" t="inlineStr">
        <is>
          <t>本設計書の中核です。Phase1のデータ項目比較・GAP一覧の結果をここに落とし込みます</t>
        </is>
      </c>
    </row>
    <row r="4">
      <c r="Q4" s="29" t="n"/>
      <c r="R4" s="29" t="n"/>
      <c r="S4" s="29" t="n"/>
    </row>
    <row r="5" ht="42" customHeight="1">
      <c r="B5" s="12" t="inlineStr">
        <is>
          <t>No</t>
        </is>
      </c>
      <c r="C5" s="27" t="inlineStr">
        <is>
          <t>【受信先】テーブル</t>
        </is>
      </c>
      <c r="D5" s="27" t="inlineStr">
        <is>
          <t>【受信先】項目名</t>
        </is>
      </c>
      <c r="E5" s="7" t="inlineStr">
        <is>
          <t>物理名</t>
        </is>
      </c>
      <c r="F5" s="7" t="inlineStr">
        <is>
          <t>型</t>
        </is>
      </c>
      <c r="G5" s="7" t="inlineStr">
        <is>
          <t>桁</t>
        </is>
      </c>
      <c r="H5" s="7" t="inlineStr">
        <is>
          <t>必須</t>
        </is>
      </c>
      <c r="I5" s="7" t="inlineStr">
        <is>
          <t>【送信元】テーブル</t>
        </is>
      </c>
      <c r="J5" s="7" t="inlineStr">
        <is>
          <t>【送信元】項目名</t>
        </is>
      </c>
      <c r="K5" s="7" t="inlineStr">
        <is>
          <t>物理名</t>
        </is>
      </c>
      <c r="L5" s="7" t="inlineStr">
        <is>
          <t>型</t>
        </is>
      </c>
      <c r="M5" s="7" t="inlineStr">
        <is>
          <t>桁</t>
        </is>
      </c>
      <c r="N5" s="7" t="inlineStr">
        <is>
          <t>必須</t>
        </is>
      </c>
      <c r="O5" s="7" t="inlineStr">
        <is>
          <t>マッピング区分</t>
        </is>
      </c>
      <c r="P5" s="7" t="inlineStr">
        <is>
          <t>変換ルールID／変換内容</t>
        </is>
      </c>
      <c r="Q5" s="12" t="inlineStr">
        <is>
          <t>Phase1 GAP No.</t>
        </is>
      </c>
      <c r="R5" s="7" t="inlineStr">
        <is>
          <t>関連課題No.</t>
        </is>
      </c>
      <c r="S5" s="7" t="inlineStr">
        <is>
          <t>確定状況</t>
        </is>
      </c>
      <c r="T5" s="7" t="inlineStr">
        <is>
          <t>備考</t>
        </is>
      </c>
    </row>
    <row r="6" ht="31.5" customHeight="1">
      <c r="B6" s="8" t="n">
        <v>1</v>
      </c>
      <c r="C6" s="8" t="inlineStr">
        <is>
          <t>発注IF SIREJAN_RCMDORDER_LAST</t>
        </is>
      </c>
      <c r="D6" s="9" t="inlineStr">
        <is>
          <t>店舗CD</t>
        </is>
      </c>
      <c r="E6" s="8" t="inlineStr">
        <is>
          <t>BranchCD</t>
        </is>
      </c>
      <c r="F6" s="8" t="inlineStr">
        <is>
          <t>固定長</t>
        </is>
      </c>
      <c r="G6" s="8" t="inlineStr">
        <is>
          <t>4</t>
        </is>
      </c>
      <c r="H6" s="8" t="inlineStr">
        <is>
          <t>○</t>
        </is>
      </c>
      <c r="I6" s="8" t="inlineStr">
        <is>
          <t>Sinops kankoku.txt</t>
        </is>
      </c>
      <c r="J6" s="9" t="inlineStr">
        <is>
          <t>店舗コード</t>
        </is>
      </c>
      <c r="K6" s="8" t="inlineStr"/>
      <c r="L6" s="8" t="inlineStr">
        <is>
          <t>固定長</t>
        </is>
      </c>
      <c r="M6" s="8" t="inlineStr">
        <is>
          <t>6</t>
        </is>
      </c>
      <c r="N6" s="8" t="inlineStr">
        <is>
          <t>○</t>
        </is>
      </c>
      <c r="O6" s="9" t="inlineStr">
        <is>
          <t>編集</t>
        </is>
      </c>
      <c r="P6" s="8" t="inlineStr">
        <is>
          <t>店CDの紐付けは西友（Sinops）とTRIALのマスタ統合で解決。本IFは6→4切捨て等の独自変換をしない。桁は統合作業に追随 TBD-01</t>
        </is>
      </c>
      <c r="Q6" s="8" t="inlineStr">
        <is>
          <t>G02</t>
        </is>
      </c>
      <c r="R6" s="8" t="inlineStr">
        <is>
          <t>G-05</t>
        </is>
      </c>
      <c r="S6" s="9" t="inlineStr">
        <is>
          <t>一部確定</t>
        </is>
      </c>
      <c r="T6" s="9" t="inlineStr">
        <is>
          <t>マスタ統合で紐付け解決</t>
        </is>
      </c>
    </row>
    <row r="7" ht="31.5" customHeight="1">
      <c r="B7" s="8" t="n">
        <v>2</v>
      </c>
      <c r="C7" s="8" t="inlineStr">
        <is>
          <t>発注IF SIREJAN_RCMDORDER_LAST</t>
        </is>
      </c>
      <c r="D7" s="9" t="inlineStr">
        <is>
          <t>仕入発注JAN</t>
        </is>
      </c>
      <c r="E7" s="8" t="inlineStr">
        <is>
          <t>SireJAN</t>
        </is>
      </c>
      <c r="F7" s="8" t="inlineStr">
        <is>
          <t>固定長</t>
        </is>
      </c>
      <c r="G7" s="8" t="inlineStr">
        <is>
          <t>20</t>
        </is>
      </c>
      <c r="H7" s="8" t="inlineStr">
        <is>
          <t>○</t>
        </is>
      </c>
      <c r="I7" s="8" t="inlineStr">
        <is>
          <t>Sinops kankoku.txt</t>
        </is>
      </c>
      <c r="J7" s="9" t="inlineStr">
        <is>
          <t>商品コード</t>
        </is>
      </c>
      <c r="K7" s="8" t="inlineStr"/>
      <c r="L7" s="8" t="inlineStr">
        <is>
          <t>固定長</t>
        </is>
      </c>
      <c r="M7" s="8" t="inlineStr">
        <is>
          <t>13</t>
        </is>
      </c>
      <c r="N7" s="8" t="inlineStr">
        <is>
          <t>○</t>
        </is>
      </c>
      <c r="O7" s="9" t="inlineStr">
        <is>
          <t>編集</t>
        </is>
      </c>
      <c r="P7" s="9" t="inlineStr">
        <is>
          <t>商品の紐付けはマスタ統合で解決。本IFは独自の仕入JAN変換をしない。SireJANは統合後の商品コード。先頭ゼロ保持</t>
        </is>
      </c>
      <c r="Q7" s="8" t="inlineStr">
        <is>
          <t>G11</t>
        </is>
      </c>
      <c r="R7" s="8" t="inlineStr">
        <is>
          <t>G-05</t>
        </is>
      </c>
      <c r="S7" s="9" t="inlineStr">
        <is>
          <t>一部確定</t>
        </is>
      </c>
      <c r="T7" s="9" t="inlineStr">
        <is>
          <t>マスタ統合で紐付け解決</t>
        </is>
      </c>
    </row>
    <row r="8" ht="31.5" customHeight="1">
      <c r="B8" s="8" t="n">
        <v>3</v>
      </c>
      <c r="C8" s="9" t="inlineStr">
        <is>
          <t>発注IF SIREJAN_RCMDORDER_LAST</t>
        </is>
      </c>
      <c r="D8" s="9" t="inlineStr">
        <is>
          <t>推奨発注数量</t>
        </is>
      </c>
      <c r="E8" s="9" t="inlineStr">
        <is>
          <t>SireJAN_rcmd_end</t>
        </is>
      </c>
      <c r="F8" s="9" t="inlineStr">
        <is>
          <t>可変長</t>
        </is>
      </c>
      <c r="G8" s="9" t="inlineStr">
        <is>
          <t>－</t>
        </is>
      </c>
      <c r="H8" s="9" t="inlineStr">
        <is>
          <t>○</t>
        </is>
      </c>
      <c r="I8" s="9" t="inlineStr">
        <is>
          <t>Sinops kankoku.txt</t>
        </is>
      </c>
      <c r="J8" s="9" t="inlineStr">
        <is>
          <t>発注バラ数</t>
        </is>
      </c>
      <c r="K8" s="8" t="inlineStr"/>
      <c r="L8" s="8" t="inlineStr">
        <is>
          <t>数値</t>
        </is>
      </c>
      <c r="M8" s="8" t="inlineStr">
        <is>
          <t>－</t>
        </is>
      </c>
      <c r="N8" s="8" t="inlineStr">
        <is>
          <t>○</t>
        </is>
      </c>
      <c r="O8" s="8" t="inlineStr">
        <is>
          <t>直連携</t>
        </is>
      </c>
      <c r="P8" s="8" t="inlineStr">
        <is>
          <t>R04／×1000しない。発注単位の整数倍であれば可（発注バラ数を直接）。倍数へ丸めない</t>
        </is>
      </c>
      <c r="Q8" s="8" t="inlineStr">
        <is>
          <t>G04</t>
        </is>
      </c>
      <c r="R8" s="8" t="inlineStr">
        <is>
          <t>G-05</t>
        </is>
      </c>
      <c r="S8" s="9" t="inlineStr">
        <is>
          <t>確定</t>
        </is>
      </c>
      <c r="T8" s="8" t="inlineStr"/>
    </row>
    <row r="9" ht="21.75" customHeight="1">
      <c r="B9" s="10" t="n">
        <v>4</v>
      </c>
      <c r="C9" s="10" t="inlineStr">
        <is>
          <t>発注IF SIREJAN_RCMDORDER_LAST</t>
        </is>
      </c>
      <c r="D9" s="10" t="inlineStr">
        <is>
          <t>ベンダーCD</t>
        </is>
      </c>
      <c r="E9" s="10" t="inlineStr"/>
      <c r="F9" s="10" t="inlineStr">
        <is>
          <t>固定長</t>
        </is>
      </c>
      <c r="G9" s="10" t="inlineStr">
        <is>
          <t>8</t>
        </is>
      </c>
      <c r="H9" s="10" t="inlineStr">
        <is>
          <t>○</t>
        </is>
      </c>
      <c r="I9" s="10" t="inlineStr">
        <is>
          <t>Sinops kankoku.txt</t>
        </is>
      </c>
      <c r="J9" s="10" t="inlineStr">
        <is>
          <t>仕入先コード</t>
        </is>
      </c>
      <c r="K9" s="10" t="inlineStr"/>
      <c r="L9" s="10" t="inlineStr">
        <is>
          <t>固定長</t>
        </is>
      </c>
      <c r="M9" s="10" t="inlineStr">
        <is>
          <t>9</t>
        </is>
      </c>
      <c r="N9" s="10" t="inlineStr">
        <is>
          <t>○</t>
        </is>
      </c>
      <c r="O9" s="10" t="inlineStr">
        <is>
          <t>編集</t>
        </is>
      </c>
      <c r="P9" s="10" t="inlineStr">
        <is>
          <t>仕入先マスタも西友（Sinops）とTRIALで統合。本IFは9→8切捨て等の独自変換をしない。桁は統合作業に追随 TBD-08</t>
        </is>
      </c>
      <c r="Q9" s="10" t="inlineStr">
        <is>
          <t>G03</t>
        </is>
      </c>
      <c r="R9" s="10" t="inlineStr">
        <is>
          <t>G-05</t>
        </is>
      </c>
      <c r="S9" s="10" t="inlineStr">
        <is>
          <t>一部確定</t>
        </is>
      </c>
      <c r="T9" s="10" t="inlineStr">
        <is>
          <t>マスタ統合で紐付け解決</t>
        </is>
      </c>
    </row>
    <row r="10" ht="21.75" customHeight="1">
      <c r="B10" s="10" t="n">
        <v>5</v>
      </c>
      <c r="C10" s="10" t="inlineStr">
        <is>
          <t>発注IF SIREJAN_RCMDORDER_LAST</t>
        </is>
      </c>
      <c r="D10" s="10" t="inlineStr">
        <is>
          <t>納品日</t>
        </is>
      </c>
      <c r="E10" s="10" t="inlineStr">
        <is>
          <t>ShippingDate</t>
        </is>
      </c>
      <c r="F10" s="10" t="inlineStr">
        <is>
          <t>固定長</t>
        </is>
      </c>
      <c r="G10" s="10" t="inlineStr">
        <is>
          <t>8</t>
        </is>
      </c>
      <c r="H10" s="10" t="inlineStr">
        <is>
          <t>○</t>
        </is>
      </c>
      <c r="I10" s="10" t="inlineStr">
        <is>
          <t>Sinops kankoku.txt</t>
        </is>
      </c>
      <c r="J10" s="10" t="inlineStr">
        <is>
          <t>納品日</t>
        </is>
      </c>
      <c r="K10" s="10" t="inlineStr"/>
      <c r="L10" s="10" t="inlineStr">
        <is>
          <t>固定長</t>
        </is>
      </c>
      <c r="M10" s="10" t="inlineStr">
        <is>
          <t>8</t>
        </is>
      </c>
      <c r="N10" s="10" t="inlineStr">
        <is>
          <t>○</t>
        </is>
      </c>
      <c r="O10" s="10" t="inlineStr">
        <is>
          <t>直連携</t>
        </is>
      </c>
      <c r="P10" s="10" t="inlineStr">
        <is>
          <t>R06／yyyymmdd のまま</t>
        </is>
      </c>
      <c r="Q10" s="10" t="inlineStr"/>
      <c r="R10" s="10" t="inlineStr">
        <is>
          <t>G-05</t>
        </is>
      </c>
      <c r="S10" s="10" t="inlineStr">
        <is>
          <t>確定</t>
        </is>
      </c>
      <c r="T10" s="10" t="inlineStr"/>
    </row>
    <row r="11" ht="21.75" customHeight="1">
      <c r="B11" s="10" t="n">
        <v>6</v>
      </c>
      <c r="C11" s="10" t="inlineStr">
        <is>
          <t>発注IF SIREJAN_RCMDORDER_LAST</t>
        </is>
      </c>
      <c r="D11" s="10" t="inlineStr">
        <is>
          <t>Ordertype</t>
        </is>
      </c>
      <c r="E11" s="10" t="inlineStr"/>
      <c r="F11" s="10" t="inlineStr">
        <is>
          <t>固定長</t>
        </is>
      </c>
      <c r="G11" s="10" t="inlineStr">
        <is>
          <t>1</t>
        </is>
      </c>
      <c r="H11" s="10" t="inlineStr">
        <is>
          <t>○</t>
        </is>
      </c>
      <c r="I11" s="10" t="inlineStr">
        <is>
          <t>Sinops 勧告ファイル 西友中分類（西友ライン＝部門）／自動発注GCS JIHA.BUMON_ZONE／JIHA.ZONE_LOGIC</t>
        </is>
      </c>
      <c r="J11" s="10" t="inlineStr">
        <is>
          <t>部門（西友ライン）→ ZONECD → 論理区分</t>
        </is>
      </c>
      <c r="K11" s="10" t="inlineStr">
        <is>
          <t>BUMON_CD / ZONECD / 論理区分</t>
        </is>
      </c>
      <c r="L11" s="10" t="inlineStr">
        <is>
          <t>－</t>
        </is>
      </c>
      <c r="M11" s="10" t="inlineStr">
        <is>
          <t>－</t>
        </is>
      </c>
      <c r="N11" s="10" t="inlineStr">
        <is>
          <t>○</t>
        </is>
      </c>
      <c r="O11" s="10" t="inlineStr">
        <is>
          <t>編集</t>
        </is>
      </c>
      <c r="P11" s="10" t="inlineStr">
        <is>
          <t>R07／Ordertypeはsinopsに無い。部門CDは勧告ファイルの西友中分類（西友ライン＝階層4）。大分類（デパ）＝ディビジョン、小分類（ファインライン）＝カテゴリ、JAN＝単品JAN。TRIAL商品マスタは見ない。論理区分01→0、02→1、03→1。JIHA.BUMON_ZONE / ZONE_LOGIC（自動発注GCS）</t>
        </is>
      </c>
      <c r="Q11" s="10" t="inlineStr">
        <is>
          <t>G05</t>
        </is>
      </c>
      <c r="R11" s="10" t="inlineStr">
        <is>
          <t>G-05</t>
        </is>
      </c>
      <c r="S11" s="10" t="inlineStr">
        <is>
          <t>確定</t>
        </is>
      </c>
      <c r="T11" s="10" t="inlineStr">
        <is>
          <t>Layer① で付与。商品マスタは見ない。02と03はどちらも1</t>
        </is>
      </c>
    </row>
    <row r="12" ht="21.75" customHeight="1">
      <c r="B12" s="10" t="n">
        <v>7</v>
      </c>
      <c r="C12" s="10" t="inlineStr">
        <is>
          <t>発注IF SIREJAN_RCMDORDER_LAST</t>
        </is>
      </c>
      <c r="D12" s="10" t="inlineStr">
        <is>
          <t>更新日</t>
        </is>
      </c>
      <c r="E12" s="10" t="inlineStr"/>
      <c r="F12" s="10" t="inlineStr">
        <is>
          <t>固定長</t>
        </is>
      </c>
      <c r="G12" s="10" t="inlineStr">
        <is>
          <t>8</t>
        </is>
      </c>
      <c r="H12" s="10" t="inlineStr">
        <is>
          <t>○</t>
        </is>
      </c>
      <c r="I12" s="10" t="inlineStr">
        <is>
          <t>Sinops kankoku.txt</t>
        </is>
      </c>
      <c r="J12" s="10" t="inlineStr">
        <is>
          <t>発注日（候補）</t>
        </is>
      </c>
      <c r="K12" s="10" t="inlineStr"/>
      <c r="L12" s="10" t="inlineStr">
        <is>
          <t>固定長</t>
        </is>
      </c>
      <c r="M12" s="10" t="inlineStr">
        <is>
          <t>8</t>
        </is>
      </c>
      <c r="N12" s="10" t="inlineStr">
        <is>
          <t>△</t>
        </is>
      </c>
      <c r="O12" s="10" t="inlineStr">
        <is>
          <t>編集</t>
        </is>
      </c>
      <c r="P12" s="10" t="inlineStr">
        <is>
          <t>業務日かDB更新日か TBD-10</t>
        </is>
      </c>
      <c r="Q12" s="10" t="inlineStr">
        <is>
          <t>G07</t>
        </is>
      </c>
      <c r="R12" s="10" t="inlineStr">
        <is>
          <t>G-05</t>
        </is>
      </c>
      <c r="S12" s="10" t="inlineStr">
        <is>
          <t>未確定</t>
        </is>
      </c>
      <c r="T12" s="10" t="inlineStr"/>
    </row>
    <row r="13" ht="21.75" customHeight="1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</row>
    <row r="50" ht="21.75" customHeight="1">
      <c r="B50" t="inlineStr">
        <is>
          <t>■ 集計（手入力）</t>
        </is>
      </c>
      <c r="C50" s="4" t="n"/>
      <c r="D50" s="4" t="n"/>
      <c r="E50" s="4" t="n"/>
      <c r="F50" s="4" t="n"/>
      <c r="G50" s="4" t="n"/>
    </row>
    <row r="51" ht="30" customHeight="1">
      <c r="B51" s="8" t="inlineStr">
        <is>
          <t>項目数</t>
        </is>
      </c>
      <c r="C51" s="8" t="n">
        <v>7</v>
      </c>
      <c r="D51" s="9" t="n"/>
      <c r="E51" s="8" t="n"/>
      <c r="F51" s="8" t="n"/>
      <c r="G51" s="8" t="n"/>
    </row>
    <row r="52">
      <c r="B52" s="8" t="inlineStr">
        <is>
          <t>確定</t>
        </is>
      </c>
      <c r="C52" s="8" t="n">
        <v>3</v>
      </c>
      <c r="D52" s="9" t="inlineStr">
        <is>
          <t>一部確定</t>
        </is>
      </c>
      <c r="E52" s="8" t="n">
        <v>1</v>
      </c>
      <c r="F52" s="8" t="inlineStr">
        <is>
          <t>未確定</t>
        </is>
      </c>
      <c r="G52" s="8" t="n">
        <v>3</v>
      </c>
    </row>
    <row r="54">
      <c r="B54" s="2" t="n"/>
    </row>
    <row r="55">
      <c r="B55" s="2" t="n"/>
    </row>
    <row r="56">
      <c r="B56" s="11" t="n"/>
    </row>
    <row r="57">
      <c r="B57" s="11" t="n"/>
    </row>
    <row r="72" ht="409.6" customHeight="1">
      <c r="T72" s="57" t="n"/>
    </row>
    <row r="83" ht="28.8" customHeight="1">
      <c r="P83" s="57" t="n"/>
    </row>
    <row r="93" ht="72" customHeight="1">
      <c r="I93" s="57" t="n"/>
    </row>
    <row r="95" ht="316.8" customHeight="1">
      <c r="T95" s="57" t="n"/>
    </row>
    <row r="124" ht="403.2" customHeight="1">
      <c r="I124" s="57" t="n"/>
      <c r="T124" s="57" t="n"/>
    </row>
  </sheetData>
  <dataValidations disablePrompts="1" count="3">
    <dataValidation sqref="O9:O49" showDropDown="0" showInputMessage="0" showErrorMessage="0" allowBlank="1" type="list">
      <formula1>"直連携,変換,固定値,編集,対象外,TBD"</formula1>
      <formula2>0</formula2>
    </dataValidation>
    <dataValidation sqref="S9:S49" showDropDown="0" showInputMessage="0" showErrorMessage="0" allowBlank="1" type="list">
      <formula1>"確定,確認中,未確定"</formula1>
      <formula2>0</formula2>
    </dataValidation>
    <dataValidation sqref="H9:I49 N9:N49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43"/>
  <sheetViews>
    <sheetView showGridLines="0" topLeftCell="A6" zoomScaleNormal="100" zoomScalePageLayoutView="80" workbookViewId="0">
      <selection pane="topRight" activeCell="A1" sqref="A1"/>
      <selection pane="bottomLeft" activeCell="A1" sqref="A1"/>
      <selection pane="bottomRight" activeCell="J25" sqref="J25"/>
    </sheetView>
  </sheetViews>
  <sheetFormatPr baseColWidth="8" defaultColWidth="8.6640625" defaultRowHeight="14.4"/>
  <cols>
    <col width="2" customWidth="1" min="1" max="1"/>
    <col width="6" customWidth="1" min="2" max="2"/>
    <col width="22" customWidth="1" min="3" max="3"/>
    <col width="18" customWidth="1" min="4" max="4"/>
    <col width="10" customWidth="1" min="5" max="5"/>
    <col width="8" customWidth="1" min="6" max="7"/>
    <col width="7" customWidth="1" min="8" max="8"/>
    <col width="14" customWidth="1" min="9" max="9"/>
    <col width="24" customWidth="1" min="10" max="10"/>
    <col width="20" customWidth="1" min="11" max="11"/>
  </cols>
  <sheetData>
    <row r="1" ht="17.4" customHeight="1">
      <c r="B1" s="1" t="inlineStr">
        <is>
          <t>7. ファイルレイアウト（成果物No. A-3）</t>
        </is>
      </c>
    </row>
    <row r="2">
      <c r="B2" s="2" t="inlineStr">
        <is>
          <t>連携ファイルの物理仕様。送信・受信の双方向がある場合は本シートを複製してください</t>
        </is>
      </c>
    </row>
    <row r="4">
      <c r="I4" t="inlineStr">
        <is>
          <t>Layer③ OUT ＝ Layer① IN（連携用GCS）</t>
        </is>
      </c>
    </row>
    <row r="5" ht="21.75" customHeight="1">
      <c r="B5" s="3" t="inlineStr">
        <is>
          <t>■ ファイル仕様</t>
        </is>
      </c>
      <c r="C5" s="4" t="n"/>
      <c r="D5" s="4" t="n"/>
      <c r="E5" s="4" t="n"/>
      <c r="F5" s="4" t="n"/>
      <c r="G5" s="4" t="n"/>
      <c r="I5" t="inlineStr">
        <is>
          <t>Layer① OUT ＝ 自動発注GCS（TBD-06）</t>
        </is>
      </c>
    </row>
    <row r="6" ht="19.5" customHeight="1">
      <c r="B6" s="60" t="inlineStr">
        <is>
          <t>ファイル論理名</t>
        </is>
      </c>
      <c r="C6" s="61" t="n"/>
      <c r="D6" s="38" t="inlineStr">
        <is>
          <t>発注勧告（当日分）連携ファイル</t>
        </is>
      </c>
      <c r="E6" s="62" t="n"/>
      <c r="F6" s="62" t="n"/>
      <c r="G6" s="62" t="n"/>
      <c r="I6" t="inlineStr">
        <is>
          <t>Layer②　OUT、Layer③　IN</t>
        </is>
      </c>
    </row>
    <row r="7" ht="19.5" customHeight="1">
      <c r="B7" s="63" t="inlineStr">
        <is>
          <t>ファイル物理名</t>
        </is>
      </c>
      <c r="C7" s="64" t="n"/>
      <c r="D7" s="40" t="inlineStr">
        <is>
          <t>論理 SIREJAN_RCMDORDER_LAST／物理 TBD-04。Sinops側入力は kankoku.txt</t>
        </is>
      </c>
    </row>
    <row r="8" ht="19.5" customHeight="1">
      <c r="B8" s="63" t="inlineStr">
        <is>
          <t>レコード種別</t>
        </is>
      </c>
      <c r="C8" s="64" t="n"/>
      <c r="D8" s="40" t="inlineStr">
        <is>
          <t>単一</t>
        </is>
      </c>
    </row>
    <row r="9" ht="19.5" customHeight="1">
      <c r="B9" s="63" t="inlineStr">
        <is>
          <t>文字コード</t>
        </is>
      </c>
      <c r="C9" s="64" t="n"/>
      <c r="D9" s="40" t="inlineStr">
        <is>
          <t>UTF-8（BOMなし）候補 TBD-07</t>
        </is>
      </c>
    </row>
    <row r="10" ht="19.5" customHeight="1">
      <c r="B10" s="63" t="inlineStr">
        <is>
          <t>改行コード</t>
        </is>
      </c>
      <c r="C10" s="64" t="n"/>
      <c r="D10" s="42" t="inlineStr">
        <is>
          <t>LF 候補（TBD-07）</t>
        </is>
      </c>
    </row>
    <row r="11" ht="19.5" customHeight="1">
      <c r="B11" s="63" t="inlineStr">
        <is>
          <t>区切り文字</t>
        </is>
      </c>
      <c r="C11" s="64" t="n"/>
      <c r="D11" s="40" t="inlineStr">
        <is>
          <t>固定長混在（数量のみ可変長）。区切り TBD-15</t>
        </is>
      </c>
    </row>
    <row r="12" ht="19.5" customHeight="1">
      <c r="B12" s="63" t="inlineStr">
        <is>
          <t>囲み文字</t>
        </is>
      </c>
      <c r="C12" s="64" t="n"/>
      <c r="D12" s="40" t="inlineStr">
        <is>
          <t>なし</t>
        </is>
      </c>
    </row>
    <row r="13" ht="19.5" customHeight="1">
      <c r="B13" s="63" t="inlineStr">
        <is>
          <t>ヘッダ行</t>
        </is>
      </c>
      <c r="C13" s="64" t="n"/>
      <c r="D13" s="40" t="inlineStr">
        <is>
          <t>無</t>
        </is>
      </c>
    </row>
    <row r="14" ht="19.5" customHeight="1">
      <c r="B14" s="63" t="inlineStr">
        <is>
          <t>圧縮</t>
        </is>
      </c>
      <c r="C14" s="64" t="n"/>
      <c r="D14" s="40" t="inlineStr">
        <is>
          <t>なし</t>
        </is>
      </c>
    </row>
    <row r="15">
      <c r="J15" s="29" t="inlineStr">
        <is>
          <t>×</t>
        </is>
      </c>
    </row>
    <row r="16" ht="21.75" customHeight="1">
      <c r="B16" s="3" t="inlineStr">
        <is>
          <t>■ 項目明細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6" customHeight="1">
      <c r="B17" s="12" t="inlineStr">
        <is>
          <t>No</t>
        </is>
      </c>
      <c r="C17" s="7" t="inlineStr">
        <is>
          <t>項目名</t>
        </is>
      </c>
      <c r="D17" s="7" t="inlineStr">
        <is>
          <t>物理名</t>
        </is>
      </c>
      <c r="E17" s="7" t="inlineStr">
        <is>
          <t>型</t>
        </is>
      </c>
      <c r="F17" s="7" t="inlineStr">
        <is>
          <t>桁</t>
        </is>
      </c>
      <c r="G17" s="7" t="inlineStr">
        <is>
          <t>小数</t>
        </is>
      </c>
      <c r="H17" s="7" t="inlineStr">
        <is>
          <t>必須</t>
        </is>
      </c>
      <c r="I17" s="7" t="inlineStr">
        <is>
          <t>初期値・固定値</t>
        </is>
      </c>
      <c r="J17" s="7" t="inlineStr">
        <is>
          <t>編集仕様</t>
        </is>
      </c>
      <c r="K17" s="7" t="inlineStr">
        <is>
          <t>備考</t>
        </is>
      </c>
    </row>
    <row r="18" ht="31.5" customHeight="1">
      <c r="B18" s="8" t="n">
        <v>1</v>
      </c>
      <c r="C18" s="9" t="inlineStr">
        <is>
          <t>店舗CD</t>
        </is>
      </c>
      <c r="D18" s="8" t="inlineStr">
        <is>
          <t>BranchCD</t>
        </is>
      </c>
      <c r="E18" s="8" t="inlineStr">
        <is>
          <t>固定長</t>
        </is>
      </c>
      <c r="F18" s="8" t="n">
        <v>4</v>
      </c>
      <c r="G18" s="9" t="inlineStr">
        <is>
          <t>－</t>
        </is>
      </c>
      <c r="H18" s="8" t="inlineStr">
        <is>
          <t>○</t>
        </is>
      </c>
      <c r="I18" s="9" t="inlineStr">
        <is>
          <t>－</t>
        </is>
      </c>
      <c r="J18" s="9" t="inlineStr">
        <is>
          <t>マスタ統合後の店CD。独自切捨てなし TBD-01</t>
        </is>
      </c>
      <c r="K18" s="9" t="inlineStr">
        <is>
          <t>受信側制約 4桁</t>
        </is>
      </c>
    </row>
    <row r="19" ht="31.5" customHeight="1">
      <c r="B19" s="8" t="n">
        <v>2</v>
      </c>
      <c r="C19" s="9" t="inlineStr">
        <is>
          <t>仕入発注JAN</t>
        </is>
      </c>
      <c r="D19" s="8" t="inlineStr">
        <is>
          <t>SireJAN</t>
        </is>
      </c>
      <c r="E19" s="8" t="inlineStr">
        <is>
          <t>固定長</t>
        </is>
      </c>
      <c r="F19" s="8" t="n">
        <v>20</v>
      </c>
      <c r="G19" s="8" t="inlineStr">
        <is>
          <t>－</t>
        </is>
      </c>
      <c r="H19" s="8" t="inlineStr">
        <is>
          <t>○</t>
        </is>
      </c>
      <c r="I19" s="8" t="inlineStr">
        <is>
          <t>－</t>
        </is>
      </c>
      <c r="J19" s="9" t="inlineStr">
        <is>
          <t>マスタ統合後の商品コード。先頭ゼロ保持</t>
        </is>
      </c>
      <c r="K19" s="9" t="inlineStr"/>
    </row>
    <row r="20" ht="21.75" customHeight="1">
      <c r="B20" s="10" t="n">
        <v>3</v>
      </c>
      <c r="C20" s="10" t="inlineStr">
        <is>
          <t>推奨発注数量</t>
        </is>
      </c>
      <c r="D20" s="10" t="inlineStr">
        <is>
          <t>SireJAN_rcmd_end</t>
        </is>
      </c>
      <c r="E20" s="10" t="inlineStr">
        <is>
          <t>可変長</t>
        </is>
      </c>
      <c r="F20" s="10" t="inlineStr">
        <is>
          <t>－</t>
        </is>
      </c>
      <c r="G20" s="10" t="inlineStr">
        <is>
          <t>－</t>
        </is>
      </c>
      <c r="H20" s="10" t="inlineStr">
        <is>
          <t>○</t>
        </is>
      </c>
      <c r="I20" s="10" t="inlineStr">
        <is>
          <t>－</t>
        </is>
      </c>
      <c r="J20" s="10" t="inlineStr">
        <is>
          <t>×1000しない。発注単位の整数倍であれば可</t>
        </is>
      </c>
      <c r="K20" s="10" t="inlineStr">
        <is>
          <t>G04 確定</t>
        </is>
      </c>
    </row>
    <row r="21" ht="21.75" customHeight="1">
      <c r="B21" s="10" t="n">
        <v>4</v>
      </c>
      <c r="C21" s="10" t="inlineStr">
        <is>
          <t>ベンダーCD</t>
        </is>
      </c>
      <c r="D21" s="10" t="inlineStr"/>
      <c r="E21" s="10" t="inlineStr">
        <is>
          <t>固定長</t>
        </is>
      </c>
      <c r="F21" s="10" t="n">
        <v>8</v>
      </c>
      <c r="G21" s="10" t="inlineStr">
        <is>
          <t>－</t>
        </is>
      </c>
      <c r="H21" s="10" t="inlineStr">
        <is>
          <t>○</t>
        </is>
      </c>
      <c r="I21" s="10" t="inlineStr">
        <is>
          <t>－</t>
        </is>
      </c>
      <c r="J21" s="10" t="inlineStr">
        <is>
          <t>マスタ統合後の仕入先CD。独自切捨てなし TBD-08</t>
        </is>
      </c>
      <c r="K21" s="10" t="inlineStr"/>
    </row>
    <row r="22" ht="21.75" customHeight="1">
      <c r="B22" s="10" t="n">
        <v>5</v>
      </c>
      <c r="C22" s="10" t="inlineStr">
        <is>
          <t>納品日</t>
        </is>
      </c>
      <c r="D22" s="10" t="inlineStr">
        <is>
          <t>ShippingDate</t>
        </is>
      </c>
      <c r="E22" s="10" t="inlineStr">
        <is>
          <t>固定長</t>
        </is>
      </c>
      <c r="F22" s="10" t="n">
        <v>8</v>
      </c>
      <c r="G22" s="10" t="inlineStr">
        <is>
          <t>－</t>
        </is>
      </c>
      <c r="H22" s="10" t="inlineStr">
        <is>
          <t>○</t>
        </is>
      </c>
      <c r="I22" s="10" t="inlineStr">
        <is>
          <t>－</t>
        </is>
      </c>
      <c r="J22" s="10" t="inlineStr">
        <is>
          <t>yyyymmdd</t>
        </is>
      </c>
      <c r="K22" s="10" t="inlineStr"/>
    </row>
    <row r="23" ht="21.75" customHeight="1">
      <c r="B23" s="10" t="n">
        <v>6</v>
      </c>
      <c r="C23" s="10" t="inlineStr">
        <is>
          <t>Ordertype</t>
        </is>
      </c>
      <c r="D23" s="10" t="inlineStr"/>
      <c r="E23" s="10" t="inlineStr">
        <is>
          <t>固定長</t>
        </is>
      </c>
      <c r="F23" s="10" t="n">
        <v>1</v>
      </c>
      <c r="G23" s="10" t="inlineStr">
        <is>
          <t>－</t>
        </is>
      </c>
      <c r="H23" s="10" t="inlineStr">
        <is>
          <t>○</t>
        </is>
      </c>
      <c r="I23" s="10" t="inlineStr">
        <is>
          <t>0=非日配、1=日配または生鮮</t>
        </is>
      </c>
      <c r="J23" s="10" t="inlineStr">
        <is>
          <t>R07。部門は勧告の西友ライン。商品マスタ見ない。01→0、02/03→1</t>
        </is>
      </c>
      <c r="K23" s="10" t="inlineStr">
        <is>
          <t>G05 確定</t>
        </is>
      </c>
    </row>
    <row r="24" ht="21.75" customHeight="1">
      <c r="B24" s="10" t="n">
        <v>7</v>
      </c>
      <c r="C24" s="10" t="inlineStr">
        <is>
          <t>更新日</t>
        </is>
      </c>
      <c r="D24" s="10" t="inlineStr"/>
      <c r="E24" s="10" t="inlineStr">
        <is>
          <t>固定長</t>
        </is>
      </c>
      <c r="F24" s="10" t="n">
        <v>8</v>
      </c>
      <c r="G24" s="10" t="inlineStr">
        <is>
          <t>－</t>
        </is>
      </c>
      <c r="H24" s="10" t="inlineStr">
        <is>
          <t>○</t>
        </is>
      </c>
      <c r="I24" s="10" t="inlineStr">
        <is>
          <t>－</t>
        </is>
      </c>
      <c r="J24" s="10" t="inlineStr">
        <is>
          <t>TBD-10</t>
        </is>
      </c>
      <c r="K24" s="10" t="inlineStr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21.75" customHeight="1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1.75" customHeight="1"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21.75" customHeight="1"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1.75" customHeight="1"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21.75" customHeight="1"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1.75" customHeight="1"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6">
      <c r="B56" s="2" t="inlineStr">
        <is>
          <t>※ 項目Noはファイル内の並び順です。05_項目マッピングのNoとは一致しない場合があります。</t>
        </is>
      </c>
      <c r="C56" t="inlineStr">
        <is>
          <t>ＣＧＣ分類デプト名</t>
        </is>
      </c>
      <c r="E56" t="inlineStr">
        <is>
          <t>VARCHAR2(24)</t>
        </is>
      </c>
    </row>
    <row r="57">
      <c r="B57" s="2" t="inlineStr">
        <is>
          <t>※ 桁数・型は受信側システムの制約を優先します。送信側で桁があふれる場合は 09_確認事項 へ起票してください。</t>
        </is>
      </c>
      <c r="C57" t="inlineStr">
        <is>
          <t>ＣＧＣ分類ラインコード</t>
        </is>
      </c>
      <c r="E57" t="inlineStr">
        <is>
          <t>VARCHAR2(3)</t>
        </is>
      </c>
    </row>
    <row r="58">
      <c r="C58" t="inlineStr">
        <is>
          <t>ＣＧＣ分類ライン名</t>
        </is>
      </c>
      <c r="E58" t="inlineStr">
        <is>
          <t>VARCHAR2(24)</t>
        </is>
      </c>
    </row>
    <row r="59">
      <c r="C59" t="inlineStr">
        <is>
          <t>ＣＧＣ分類クラスコード</t>
        </is>
      </c>
      <c r="E59" t="inlineStr">
        <is>
          <t>VARCHAR2(4)</t>
        </is>
      </c>
    </row>
    <row r="60">
      <c r="C60" t="inlineStr">
        <is>
          <t>ＣＧＣ分類クラス名</t>
        </is>
      </c>
      <c r="E60" t="inlineStr">
        <is>
          <t>VARCHAR2(24)</t>
        </is>
      </c>
    </row>
    <row r="61">
      <c r="C61" t="inlineStr">
        <is>
          <t>ＣＧＣＪＩＣＦＳ分類コード</t>
        </is>
      </c>
      <c r="E61" t="inlineStr">
        <is>
          <t>VARCHAR2(6)</t>
        </is>
      </c>
    </row>
    <row r="62">
      <c r="C62" t="inlineStr">
        <is>
          <t>ＰＢ商品区分</t>
        </is>
      </c>
      <c r="E62" t="inlineStr">
        <is>
          <t>VARCHAR2(1)</t>
        </is>
      </c>
    </row>
    <row r="63">
      <c r="C63" t="inlineStr">
        <is>
          <t>売価送信区分</t>
        </is>
      </c>
      <c r="E63" t="inlineStr">
        <is>
          <t>VARCHAR2(1)</t>
        </is>
      </c>
    </row>
    <row r="64">
      <c r="C64" t="inlineStr">
        <is>
          <t>商品区分</t>
        </is>
      </c>
      <c r="E64" t="inlineStr">
        <is>
          <t>VARCHAR2(1)</t>
        </is>
      </c>
    </row>
    <row r="65">
      <c r="C65" t="inlineStr">
        <is>
          <t>廃番日</t>
        </is>
      </c>
      <c r="E65" t="inlineStr">
        <is>
          <t>VARCHAR2(8)</t>
        </is>
      </c>
    </row>
    <row r="66">
      <c r="C66" t="inlineStr">
        <is>
          <t>酒類区分１</t>
        </is>
      </c>
      <c r="E66" t="inlineStr">
        <is>
          <t>VARCHAR2(2)</t>
        </is>
      </c>
    </row>
    <row r="67">
      <c r="C67" t="inlineStr">
        <is>
          <t>度数１</t>
        </is>
      </c>
      <c r="E67" t="inlineStr">
        <is>
          <t>NUMBER(3, 1)</t>
        </is>
      </c>
    </row>
    <row r="68">
      <c r="C68" t="inlineStr">
        <is>
          <t>発泡区分１</t>
        </is>
      </c>
      <c r="E68" t="inlineStr">
        <is>
          <t>VARCHAR2(2)</t>
        </is>
      </c>
    </row>
    <row r="69">
      <c r="C69" t="inlineStr">
        <is>
          <t>容量１</t>
        </is>
      </c>
      <c r="E69" t="inlineStr">
        <is>
          <t>NUMBER(8, 0)</t>
        </is>
      </c>
    </row>
    <row r="70">
      <c r="C70" t="inlineStr">
        <is>
          <t>酒類区分２</t>
        </is>
      </c>
      <c r="E70" t="inlineStr">
        <is>
          <t>VARCHAR2(2)</t>
        </is>
      </c>
    </row>
    <row r="71">
      <c r="C71" t="inlineStr">
        <is>
          <t>度数２</t>
        </is>
      </c>
      <c r="E71" t="inlineStr">
        <is>
          <t>NUMBER(3, 1)</t>
        </is>
      </c>
    </row>
    <row r="72">
      <c r="C72" t="inlineStr">
        <is>
          <t>発泡区分２</t>
        </is>
      </c>
      <c r="E72" t="inlineStr">
        <is>
          <t>VARCHAR2(2)</t>
        </is>
      </c>
    </row>
    <row r="73">
      <c r="C73" t="inlineStr">
        <is>
          <t>容量２</t>
        </is>
      </c>
      <c r="E73" t="inlineStr">
        <is>
          <t>NUMBER(8, 0)</t>
        </is>
      </c>
    </row>
    <row r="74">
      <c r="C74" t="inlineStr">
        <is>
          <t>酒類区分３</t>
        </is>
      </c>
      <c r="E74" t="inlineStr">
        <is>
          <t>VARCHAR2(2)</t>
        </is>
      </c>
    </row>
    <row r="75">
      <c r="C75" t="inlineStr">
        <is>
          <t>度数３</t>
        </is>
      </c>
      <c r="E75" t="inlineStr">
        <is>
          <t>NUMBER(3, 1)</t>
        </is>
      </c>
    </row>
    <row r="76">
      <c r="C76" t="inlineStr">
        <is>
          <t>発泡区分３</t>
        </is>
      </c>
      <c r="E76" t="inlineStr">
        <is>
          <t>VARCHAR2(2)</t>
        </is>
      </c>
    </row>
    <row r="77">
      <c r="C77" t="inlineStr">
        <is>
          <t>容量３</t>
        </is>
      </c>
      <c r="E77" t="inlineStr">
        <is>
          <t>NUMBER(8, 0)</t>
        </is>
      </c>
    </row>
    <row r="78">
      <c r="C78" t="inlineStr">
        <is>
          <t>PCコメント</t>
        </is>
      </c>
      <c r="E78" t="inlineStr">
        <is>
          <t>VARCHAR2(50)</t>
        </is>
      </c>
    </row>
    <row r="79">
      <c r="C79" t="inlineStr">
        <is>
          <t>作成ユーザＩＤ</t>
        </is>
      </c>
      <c r="E79" t="inlineStr">
        <is>
          <t>VARCHAR2(20)</t>
        </is>
      </c>
    </row>
    <row r="80">
      <c r="C80" t="inlineStr">
        <is>
          <t>作成プログラムＩＤ</t>
        </is>
      </c>
      <c r="E80" t="inlineStr">
        <is>
          <t>VARCHAR2(20)</t>
        </is>
      </c>
    </row>
    <row r="81">
      <c r="C81" t="inlineStr">
        <is>
          <t>作成日時</t>
        </is>
      </c>
      <c r="E81" t="inlineStr">
        <is>
          <t>DATE</t>
        </is>
      </c>
    </row>
    <row r="82">
      <c r="C82" t="inlineStr">
        <is>
          <t>更新ユーザＩＤ</t>
        </is>
      </c>
      <c r="E82" t="inlineStr">
        <is>
          <t>VARCHAR2(20)</t>
        </is>
      </c>
    </row>
    <row r="83">
      <c r="C83" t="inlineStr">
        <is>
          <t>更新プログラムＩＤ</t>
        </is>
      </c>
      <c r="E83" t="inlineStr">
        <is>
          <t>VARCHAR2(20)</t>
        </is>
      </c>
    </row>
    <row r="84">
      <c r="C84" t="inlineStr">
        <is>
          <t>更新日時</t>
        </is>
      </c>
      <c r="E84" t="inlineStr">
        <is>
          <t>DATE</t>
        </is>
      </c>
    </row>
    <row r="85">
      <c r="C85" t="inlineStr">
        <is>
          <t>削除フラグ</t>
        </is>
      </c>
      <c r="E85" t="inlineStr">
        <is>
          <t>NUMBER(1, 0)</t>
        </is>
      </c>
    </row>
    <row r="86">
      <c r="C86" t="inlineStr">
        <is>
          <t>更新回数</t>
        </is>
      </c>
      <c r="E86" t="inlineStr">
        <is>
          <t>NUMBER(6, 0)</t>
        </is>
      </c>
    </row>
    <row r="87">
      <c r="C87" t="inlineStr">
        <is>
          <t>単価訂正フラグ</t>
        </is>
      </c>
      <c r="E87" t="inlineStr">
        <is>
          <t>VARCHAR2(1)</t>
        </is>
      </c>
    </row>
    <row r="88">
      <c r="C88" t="inlineStr">
        <is>
          <t>レジ現金フラグ</t>
        </is>
      </c>
      <c r="E88" t="inlineStr">
        <is>
          <t>VARCHAR2(1)</t>
        </is>
      </c>
    </row>
    <row r="89">
      <c r="C89" t="inlineStr">
        <is>
          <t>クレジット不可区分</t>
        </is>
      </c>
      <c r="E89" t="inlineStr">
        <is>
          <t>VARCHAR2(1)</t>
        </is>
      </c>
    </row>
    <row r="90">
      <c r="C90" t="inlineStr">
        <is>
          <t>掛不可区分</t>
        </is>
      </c>
      <c r="E90" t="inlineStr">
        <is>
          <t>VARCHAR2(1)</t>
        </is>
      </c>
    </row>
    <row r="91">
      <c r="C91" t="inlineStr">
        <is>
          <t>値引不可区分</t>
        </is>
      </c>
      <c r="E91" t="inlineStr">
        <is>
          <t>VARCHAR2(1)</t>
        </is>
      </c>
    </row>
    <row r="92">
      <c r="C92" t="inlineStr">
        <is>
          <t>電子マネー不可区分</t>
        </is>
      </c>
      <c r="E92" t="inlineStr">
        <is>
          <t>VARCHAR2(1)</t>
        </is>
      </c>
    </row>
    <row r="93">
      <c r="C93" t="inlineStr">
        <is>
          <t>ＱＲ決済不可区分</t>
        </is>
      </c>
      <c r="E93" t="inlineStr">
        <is>
          <t>VARCHAR2(1)</t>
        </is>
      </c>
    </row>
    <row r="94">
      <c r="C94" t="inlineStr">
        <is>
          <t>特殊アラート商品区分</t>
        </is>
      </c>
      <c r="E94" t="inlineStr">
        <is>
          <t>VARCHAR2(1)</t>
        </is>
      </c>
    </row>
    <row r="95">
      <c r="C95" t="inlineStr">
        <is>
          <t>スタイルNo</t>
        </is>
      </c>
      <c r="E95" t="inlineStr">
        <is>
          <t>VARCHAR2(8)</t>
        </is>
      </c>
    </row>
    <row r="96">
      <c r="C96" t="inlineStr">
        <is>
          <t>週販予測数量</t>
        </is>
      </c>
      <c r="E96" t="inlineStr">
        <is>
          <t>NUMBER(3, 0)</t>
        </is>
      </c>
    </row>
    <row r="97">
      <c r="C97" t="inlineStr">
        <is>
          <t>アソシエイト割引フラグ</t>
        </is>
      </c>
      <c r="E97" t="inlineStr">
        <is>
          <t>VARCHAR2(1)</t>
        </is>
      </c>
    </row>
    <row r="98">
      <c r="C98" t="inlineStr">
        <is>
          <t>価格プロンプトフラグ</t>
        </is>
      </c>
      <c r="E98" t="inlineStr">
        <is>
          <t>VARCHAR2(1)</t>
        </is>
      </c>
    </row>
    <row r="99">
      <c r="C99" t="inlineStr">
        <is>
          <t>楽天ポイント対象外フラグ</t>
        </is>
      </c>
      <c r="E99" t="inlineStr">
        <is>
          <t>VARCHAR2(1)</t>
        </is>
      </c>
    </row>
    <row r="100">
      <c r="C100" t="inlineStr">
        <is>
          <t>レジ年齢確認フラグ</t>
        </is>
      </c>
      <c r="E100" t="inlineStr">
        <is>
          <t>VARCHAR2(1)</t>
        </is>
      </c>
    </row>
    <row r="101">
      <c r="C101" t="inlineStr">
        <is>
          <t>医薬品レジフラグ</t>
        </is>
      </c>
      <c r="E101" t="inlineStr">
        <is>
          <t>VARCHAR2(1)</t>
        </is>
      </c>
    </row>
    <row r="102">
      <c r="C102" t="inlineStr">
        <is>
          <t>販売制限フラグ</t>
        </is>
      </c>
      <c r="E102" t="inlineStr">
        <is>
          <t>VARCHAR2(1)</t>
        </is>
      </c>
    </row>
    <row r="103">
      <c r="C103" t="inlineStr">
        <is>
          <t>口座No.</t>
        </is>
      </c>
      <c r="E103" t="inlineStr">
        <is>
          <t>NUMBER(10, 0)</t>
        </is>
      </c>
    </row>
    <row r="104">
      <c r="C104" t="inlineStr">
        <is>
          <t>サイズ</t>
        </is>
      </c>
      <c r="E104" t="inlineStr">
        <is>
          <t>VARCHAR2(10)</t>
        </is>
      </c>
    </row>
    <row r="105">
      <c r="C105" t="inlineStr">
        <is>
          <t>カラー</t>
        </is>
      </c>
      <c r="E105" t="inlineStr">
        <is>
          <t>VARCHAR2(10)</t>
        </is>
      </c>
    </row>
    <row r="106">
      <c r="C106" t="inlineStr">
        <is>
          <t>コンベア可否フラグ</t>
        </is>
      </c>
      <c r="E106" t="inlineStr">
        <is>
          <t>VARCHAR2(1)</t>
        </is>
      </c>
    </row>
    <row r="107">
      <c r="C107" t="inlineStr">
        <is>
          <t>ケースJAN(ITFコード)</t>
        </is>
      </c>
      <c r="E107" t="inlineStr">
        <is>
          <t>VARCHAR2(14)</t>
        </is>
      </c>
    </row>
    <row r="108">
      <c r="C108" t="inlineStr">
        <is>
          <t>DCロケーション</t>
        </is>
      </c>
      <c r="E108" t="inlineStr">
        <is>
          <t>NUMBER(10, 0)</t>
        </is>
      </c>
    </row>
    <row r="109">
      <c r="C109" t="inlineStr">
        <is>
          <t>ロット管理区分</t>
        </is>
      </c>
      <c r="E109" t="inlineStr">
        <is>
          <t>VARCHAR2(2)</t>
        </is>
      </c>
    </row>
    <row r="110">
      <c r="C110" t="inlineStr">
        <is>
          <t>パレット平置可能箱数</t>
        </is>
      </c>
      <c r="E110" t="inlineStr">
        <is>
          <t>NUMBER(5, 0)</t>
        </is>
      </c>
    </row>
    <row r="111">
      <c r="C111" t="inlineStr">
        <is>
          <t>パレット積載可能段数</t>
        </is>
      </c>
      <c r="E111" t="inlineStr">
        <is>
          <t>NUMBER(5, 0)</t>
        </is>
      </c>
    </row>
    <row r="112">
      <c r="C112" t="inlineStr">
        <is>
          <t>賞味期間基準日区分</t>
        </is>
      </c>
      <c r="E112" t="inlineStr">
        <is>
          <t>VARCHAR2(2)</t>
        </is>
      </c>
    </row>
    <row r="113">
      <c r="C113" t="inlineStr">
        <is>
          <t>賞味期間単位区分</t>
        </is>
      </c>
      <c r="E113" t="inlineStr">
        <is>
          <t>VARCHAR2(2)</t>
        </is>
      </c>
    </row>
    <row r="114">
      <c r="C114" t="inlineStr">
        <is>
          <t>賞味期間</t>
        </is>
      </c>
      <c r="E114" t="inlineStr">
        <is>
          <t>NUMBER(4, 0)</t>
        </is>
      </c>
    </row>
    <row r="115">
      <c r="C115" t="inlineStr">
        <is>
          <t>賞味期限</t>
        </is>
      </c>
      <c r="E115" t="inlineStr">
        <is>
          <t>VARCHAR2(8)</t>
        </is>
      </c>
    </row>
    <row r="116">
      <c r="C116" t="inlineStr">
        <is>
          <t>倉庫賞味期限管理</t>
        </is>
      </c>
      <c r="E116" t="inlineStr">
        <is>
          <t>NUMBER(5, 0)</t>
        </is>
      </c>
    </row>
    <row r="117">
      <c r="C117" t="inlineStr">
        <is>
          <t>入荷限界期間</t>
        </is>
      </c>
      <c r="E117" t="inlineStr">
        <is>
          <t>NUMBER(3, 0)</t>
        </is>
      </c>
    </row>
    <row r="118">
      <c r="C118" t="inlineStr">
        <is>
          <t>出荷限界期間</t>
        </is>
      </c>
      <c r="E118" t="inlineStr">
        <is>
          <t>NUMBER(3, 0)</t>
        </is>
      </c>
    </row>
    <row r="119">
      <c r="C119" t="inlineStr">
        <is>
          <t>ピースサイズ（縦）（ｃｍ）</t>
        </is>
      </c>
      <c r="E119" t="inlineStr">
        <is>
          <t>NUMBER(13, 3)</t>
        </is>
      </c>
    </row>
    <row r="120">
      <c r="C120" t="inlineStr">
        <is>
          <t>ピースサイズ（横）（ｃｍ）</t>
        </is>
      </c>
      <c r="E120" t="inlineStr">
        <is>
          <t>NUMBER(13, 3)</t>
        </is>
      </c>
    </row>
    <row r="121">
      <c r="C121" t="inlineStr">
        <is>
          <t>ピースサイズ（高）（ｃｍ）</t>
        </is>
      </c>
      <c r="E121" t="inlineStr">
        <is>
          <t>NUMBER(13, 3)</t>
        </is>
      </c>
    </row>
    <row r="122">
      <c r="C122" t="inlineStr">
        <is>
          <t>ピースサイズ（重量）（ｋｇ）</t>
        </is>
      </c>
      <c r="E122" t="inlineStr">
        <is>
          <t>NUMBER(15, 4)</t>
        </is>
      </c>
    </row>
    <row r="123">
      <c r="C123" t="inlineStr">
        <is>
          <t>メーカー発売日</t>
        </is>
      </c>
      <c r="E123" t="inlineStr">
        <is>
          <t>VARCHAR2(8)</t>
        </is>
      </c>
    </row>
    <row r="124">
      <c r="C124" t="inlineStr">
        <is>
          <t>情報解禁日</t>
        </is>
      </c>
      <c r="E124" t="inlineStr">
        <is>
          <t>VARCHAR2(8)</t>
        </is>
      </c>
    </row>
    <row r="125">
      <c r="C125" t="inlineStr">
        <is>
          <t>価格印字商品フラグ</t>
        </is>
      </c>
      <c r="E125" t="inlineStr">
        <is>
          <t>VARCHAR2(1)</t>
        </is>
      </c>
    </row>
    <row r="126">
      <c r="C126" t="inlineStr">
        <is>
          <t>商品サブコード</t>
        </is>
      </c>
      <c r="E126" t="inlineStr">
        <is>
          <t>VARCHAR2(10)</t>
        </is>
      </c>
    </row>
    <row r="127">
      <c r="C127" t="inlineStr">
        <is>
          <t>温度管理/保管方法</t>
        </is>
      </c>
      <c r="E127" t="inlineStr">
        <is>
          <t>VARCHAR2(1)</t>
        </is>
      </c>
    </row>
    <row r="128">
      <c r="C128" t="inlineStr">
        <is>
          <t>温度帯変更不可フラグ</t>
        </is>
      </c>
      <c r="E128" t="inlineStr">
        <is>
          <t>VARCHAR2(1)</t>
        </is>
      </c>
    </row>
    <row r="129">
      <c r="C129" t="inlineStr">
        <is>
          <t>販売可能期間フラグ</t>
        </is>
      </c>
      <c r="E129" t="inlineStr">
        <is>
          <t>VARCHAR2(1)</t>
        </is>
      </c>
    </row>
    <row r="130">
      <c r="C130" t="inlineStr">
        <is>
          <t>割れ物（瓶）フラグ</t>
        </is>
      </c>
      <c r="E130" t="inlineStr">
        <is>
          <t>VARCHAR2(1)</t>
        </is>
      </c>
    </row>
    <row r="131">
      <c r="C131" t="inlineStr">
        <is>
          <t>販売可能日数</t>
        </is>
      </c>
      <c r="E131" t="inlineStr">
        <is>
          <t>NUMBER(3, 0)</t>
        </is>
      </c>
    </row>
    <row r="132">
      <c r="C132" t="inlineStr">
        <is>
          <t>ＭＢＭコード区分</t>
        </is>
      </c>
      <c r="E132" t="inlineStr">
        <is>
          <t>VARCHAR2(1)</t>
        </is>
      </c>
    </row>
    <row r="133">
      <c r="C133" t="inlineStr">
        <is>
          <t>ベンダー在庫No</t>
        </is>
      </c>
      <c r="E133" t="inlineStr">
        <is>
          <t>VARCHAR2(20)</t>
        </is>
      </c>
    </row>
    <row r="134">
      <c r="C134" t="inlineStr">
        <is>
          <t>原産国コード</t>
        </is>
      </c>
      <c r="E134" t="inlineStr">
        <is>
          <t>VARCHAR2(256)</t>
        </is>
      </c>
    </row>
    <row r="135">
      <c r="C135" t="inlineStr">
        <is>
          <t>西友アイテムNo</t>
        </is>
      </c>
      <c r="E135" t="inlineStr">
        <is>
          <t>VARCHAR2(8)</t>
        </is>
      </c>
    </row>
    <row r="136">
      <c r="C136" t="inlineStr">
        <is>
          <t>ブランドID</t>
        </is>
      </c>
      <c r="E136" t="inlineStr">
        <is>
          <t>NUMBER(10, 0)</t>
        </is>
      </c>
    </row>
    <row r="137">
      <c r="C137" t="inlineStr">
        <is>
          <t>サイズID</t>
        </is>
      </c>
      <c r="E137" t="inlineStr">
        <is>
          <t>VARCHAR2(10)</t>
        </is>
      </c>
    </row>
    <row r="138">
      <c r="C138" t="inlineStr">
        <is>
          <t>ファミリーID</t>
        </is>
      </c>
      <c r="E138" t="inlineStr">
        <is>
          <t>VARCHAR2(10)</t>
        </is>
      </c>
    </row>
    <row r="139">
      <c r="C139" t="inlineStr">
        <is>
          <t>KVI分類</t>
        </is>
      </c>
      <c r="E139" t="inlineStr">
        <is>
          <t>VARCHAR2(10)</t>
        </is>
      </c>
    </row>
    <row r="140">
      <c r="C140" t="inlineStr">
        <is>
          <t>定価販売フラグ</t>
        </is>
      </c>
      <c r="E140" t="inlineStr">
        <is>
          <t>VARCHAR2(1)</t>
        </is>
      </c>
    </row>
    <row r="141">
      <c r="C141" t="inlineStr">
        <is>
          <t>SABCランク区分</t>
        </is>
      </c>
      <c r="E141" t="inlineStr">
        <is>
          <t>VARCHAR2(1)</t>
        </is>
      </c>
    </row>
    <row r="142">
      <c r="C142" t="inlineStr">
        <is>
          <t>MDsys連携済みフラグ</t>
        </is>
      </c>
      <c r="E142" t="inlineStr">
        <is>
          <t>VARCHAR2(1)</t>
        </is>
      </c>
    </row>
    <row r="143">
      <c r="C143" t="inlineStr">
        <is>
          <t>アイテム作成日</t>
        </is>
      </c>
      <c r="E143" t="inlineStr">
        <is>
          <t>VARCHAR2(8)</t>
        </is>
      </c>
    </row>
  </sheetData>
  <mergeCells count="18">
    <mergeCell ref="B13:C13"/>
    <mergeCell ref="B6:C6"/>
    <mergeCell ref="D9:G9"/>
    <mergeCell ref="B7:C7"/>
    <mergeCell ref="B11:C11"/>
    <mergeCell ref="D12:G12"/>
    <mergeCell ref="D8:G8"/>
    <mergeCell ref="D6:G6"/>
    <mergeCell ref="B10:C10"/>
    <mergeCell ref="D7:G7"/>
    <mergeCell ref="B14:C14"/>
    <mergeCell ref="B9:C9"/>
    <mergeCell ref="D11:G11"/>
    <mergeCell ref="D13:G13"/>
    <mergeCell ref="D10:G10"/>
    <mergeCell ref="B8:C8"/>
    <mergeCell ref="D14:G14"/>
    <mergeCell ref="B12:C12"/>
  </mergeCells>
  <dataValidations count="2">
    <dataValidation sqref="E20:E55" showDropDown="0" showInputMessage="0" showErrorMessage="0" allowBlank="1" type="list">
      <formula1>"CHAR,VARCHAR,NUM,DEC,DATE,TIMESTAMP"</formula1>
      <formula2>0</formula2>
    </dataValidation>
    <dataValidation sqref="H20:H55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zoomScale="115" zoomScaleNormal="115" zoomScalePageLayoutView="80" workbookViewId="0">
      <selection pane="topRight" activeCell="A1" sqref="A1"/>
      <selection pane="bottomLeft" activeCell="A1" sqref="A1"/>
      <selection pane="bottomRight" activeCell="H19" sqref="H19"/>
    </sheetView>
  </sheetViews>
  <sheetFormatPr baseColWidth="8" defaultColWidth="8.6640625" defaultRowHeight="14.4"/>
  <cols>
    <col width="2" customWidth="1" min="1" max="1"/>
    <col width="10" customWidth="1" min="2" max="2"/>
    <col width="18" customWidth="1" min="3" max="3"/>
    <col width="28" customWidth="1" min="4" max="4"/>
    <col width="14" customWidth="1" min="5" max="5"/>
    <col width="18" customWidth="1" min="6" max="6"/>
    <col width="24" customWidth="1" min="7" max="7"/>
    <col width="18" customWidth="1" min="8" max="8"/>
  </cols>
  <sheetData>
    <row r="1" ht="17.4" customHeight="1">
      <c r="B1" s="1" t="inlineStr">
        <is>
          <t>8. エラー処理</t>
        </is>
      </c>
    </row>
    <row r="2">
      <c r="B2" s="2" t="inlineStr">
        <is>
          <t>本IF固有のエラー処理を記載します。全体共通の方針は A-7 を参照してください</t>
        </is>
      </c>
    </row>
    <row r="5" ht="36" customHeight="1">
      <c r="B5" s="7" t="inlineStr">
        <is>
          <t>エラーID</t>
        </is>
      </c>
      <c r="C5" s="7" t="inlineStr">
        <is>
          <t>発生箇所</t>
        </is>
      </c>
      <c r="D5" s="7" t="inlineStr">
        <is>
          <t>検知条件</t>
        </is>
      </c>
      <c r="E5" s="7" t="inlineStr">
        <is>
          <t>レベル</t>
        </is>
      </c>
      <c r="F5" s="7" t="inlineStr">
        <is>
          <t>処理</t>
        </is>
      </c>
      <c r="G5" s="7" t="inlineStr">
        <is>
          <t>通知先・リラン方法</t>
        </is>
      </c>
      <c r="H5" s="7" t="inlineStr">
        <is>
          <t>備考</t>
        </is>
      </c>
    </row>
    <row r="6" ht="31.5" customHeight="1">
      <c r="B6" s="8" t="inlineStr">
        <is>
          <t>ER-001</t>
        </is>
      </c>
      <c r="C6" s="8" t="inlineStr">
        <is>
          <t>Layer① プル</t>
        </is>
      </c>
      <c r="D6" s="9" t="inlineStr">
        <is>
          <t>対象ファイル0件</t>
        </is>
      </c>
      <c r="E6" s="9" t="inlineStr">
        <is>
          <t>警告</t>
        </is>
      </c>
      <c r="F6" s="9" t="inlineStr">
        <is>
          <t>空ファイル方針 TBD-16。処理継続またはスキップ</t>
        </is>
      </c>
      <c r="G6" s="9" t="inlineStr">
        <is>
          <t>補充/運用へ通知</t>
        </is>
      </c>
      <c r="H6" s="9" t="inlineStr">
        <is>
          <t>空勧告の業務意味を確認</t>
        </is>
      </c>
    </row>
    <row r="7" ht="31.5" customHeight="1">
      <c r="B7" s="8" t="inlineStr">
        <is>
          <t>ER-004</t>
        </is>
      </c>
      <c r="C7" s="8" t="inlineStr">
        <is>
          <t>Layer① プル</t>
        </is>
      </c>
      <c r="D7" s="9" t="inlineStr">
        <is>
          <t>GCS取得失敗・権限・パス不正</t>
        </is>
      </c>
      <c r="E7" s="9" t="inlineStr">
        <is>
          <t>エラー</t>
        </is>
      </c>
      <c r="F7" s="9" t="inlineStr">
        <is>
          <t>処理中断</t>
        </is>
      </c>
      <c r="G7" s="9" t="inlineStr">
        <is>
          <t>Hinemos 通知。パス/SA確認後リラン</t>
        </is>
      </c>
      <c r="H7" s="9" t="inlineStr">
        <is>
          <t>TBD-05</t>
        </is>
      </c>
    </row>
    <row r="8" ht="31.5" customHeight="1">
      <c r="B8" s="8" t="inlineStr">
        <is>
          <t>ER-005</t>
        </is>
      </c>
      <c r="C8" s="8" t="inlineStr">
        <is>
          <t>Layer① 変換</t>
        </is>
      </c>
      <c r="D8" s="9" t="inlineStr">
        <is>
          <t>必須欠落、店CD・仕入先・商品が統合マスタと不一致、数量非数値、発注単位の整数倍でない（×1000しない・倍数に丸めない）</t>
        </is>
      </c>
      <c r="E8" s="9" t="inlineStr">
        <is>
          <t>エラー</t>
        </is>
      </c>
      <c r="F8" s="9" t="inlineStr">
        <is>
          <t>当該ファイル中断（レコード単位は TBD-17）</t>
        </is>
      </c>
      <c r="G8" s="9" t="inlineStr">
        <is>
          <t>Hinemos 通知</t>
        </is>
      </c>
      <c r="H8" s="8" t="inlineStr">
        <is>
          <t>切捨ては禁止</t>
        </is>
      </c>
    </row>
    <row r="9" ht="21.75" customHeight="1">
      <c r="B9" s="10" t="inlineStr">
        <is>
          <t>ER-006</t>
        </is>
      </c>
      <c r="C9" s="10" t="inlineStr">
        <is>
          <t>Layer① 配置</t>
        </is>
      </c>
      <c r="D9" s="10" t="inlineStr">
        <is>
          <t>自動発注GCSへのアップロード失敗</t>
        </is>
      </c>
      <c r="E9" s="10" t="inlineStr">
        <is>
          <t>エラー</t>
        </is>
      </c>
      <c r="F9" s="10" t="inlineStr">
        <is>
          <t>処理中断</t>
        </is>
      </c>
      <c r="G9" s="10" t="inlineStr">
        <is>
          <t>Hinemos 通知後リラン</t>
        </is>
      </c>
      <c r="H9" s="10" t="inlineStr">
        <is>
          <t>TBD-06</t>
        </is>
      </c>
    </row>
    <row r="10" ht="21.75" customHeight="1">
      <c r="B10" s="10" t="inlineStr">
        <is>
          <t>ER-010</t>
        </is>
      </c>
      <c r="C10" s="10" t="inlineStr">
        <is>
          <t>Layer③ 取得</t>
        </is>
      </c>
      <c r="D10" s="10" t="inlineStr">
        <is>
          <t>Sinops から当日勧告を取得できない</t>
        </is>
      </c>
      <c r="E10" s="10" t="inlineStr">
        <is>
          <t>エラー</t>
        </is>
      </c>
      <c r="F10" s="10" t="inlineStr">
        <is>
          <t>処理中断。Layer① 判定で昨日分も無ければ発注不可</t>
        </is>
      </c>
      <c r="G10" s="10" t="inlineStr">
        <is>
          <t>西友 DSS 運用通知</t>
        </is>
      </c>
      <c r="H10" s="10" t="inlineStr"/>
    </row>
    <row r="11" ht="21.75" customHeight="1">
      <c r="B11" s="10" t="inlineStr">
        <is>
          <t>ER-011</t>
        </is>
      </c>
      <c r="C11" s="10" t="inlineStr">
        <is>
          <t>Layer③ 配置</t>
        </is>
      </c>
      <c r="D11" s="10" t="inlineStr">
        <is>
          <t>連携用GCSへの配置失敗</t>
        </is>
      </c>
      <c r="E11" s="10" t="inlineStr">
        <is>
          <t>エラー</t>
        </is>
      </c>
      <c r="F11" s="10" t="inlineStr">
        <is>
          <t>処理中断</t>
        </is>
      </c>
      <c r="G11" s="10" t="inlineStr">
        <is>
          <t>西友 DSS 運用通知</t>
        </is>
      </c>
      <c r="H11" s="10" t="inlineStr">
        <is>
          <t>TBD-05</t>
        </is>
      </c>
    </row>
    <row r="12" ht="21.75" customHeight="1">
      <c r="B12" s="10" t="inlineStr">
        <is>
          <t>ER-007</t>
        </is>
      </c>
      <c r="C12" s="10" t="inlineStr">
        <is>
          <t>Layer① 変換 Ordertype</t>
        </is>
      </c>
      <c r="D12" s="10" t="inlineStr">
        <is>
          <t>勧告ファイルの部門（西友ライン）が BUMON_ZONE に無い、または ZONE_LOGIC が引けない、または論理区分が 01/02/03 以外</t>
        </is>
      </c>
      <c r="E12" s="10" t="inlineStr">
        <is>
          <t>エラー</t>
        </is>
      </c>
      <c r="F12" s="10" t="inlineStr">
        <is>
          <t>当該レコード扱い TBD-17。01/02/03 以外を 0/1 に黙って落とさない</t>
        </is>
      </c>
      <c r="G12" s="10" t="inlineStr">
        <is>
          <t>Hinemos 通知</t>
        </is>
      </c>
      <c r="H12" s="10" t="inlineStr">
        <is>
          <t>R07。03は1</t>
        </is>
      </c>
    </row>
    <row r="13" ht="31.5" customHeight="1">
      <c r="B13" s="8" t="inlineStr">
        <is>
          <t>ER-012</t>
        </is>
      </c>
      <c r="C13" s="8" t="inlineStr">
        <is>
          <t>Layer① STEP20 採用判定</t>
        </is>
      </c>
      <c r="D13" s="9" t="inlineStr">
        <is>
          <t>指定時刻（TBD-19、例 6:00）までに当日ファイル未作成、または障害</t>
        </is>
      </c>
      <c r="E13" s="9" t="inlineStr">
        <is>
          <t>警告</t>
        </is>
      </c>
      <c r="F13" s="9" t="inlineStr">
        <is>
          <t>当日を不採用とし、昨日の翌日以降を 1 本として採用して STEP30 へ</t>
        </is>
      </c>
      <c r="G13" s="9" t="inlineStr">
        <is>
          <t>補充/運用・Hinemos 通知</t>
        </is>
      </c>
      <c r="H13" s="9" t="inlineStr">
        <is>
          <t>TBD-13/19。Layer① 内の分岐</t>
        </is>
      </c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</row>
    <row r="26">
      <c r="B26" s="2" t="inlineStr">
        <is>
          <t>※ レベル定義　情報：記録のみ／警告：処理継続＋通知／エラー：処理中断＋通知／致命：即時中断＋緊急連絡</t>
        </is>
      </c>
    </row>
  </sheetData>
  <dataValidations count="1">
    <dataValidation sqref="E9:E25" showDropDown="0" showInputMessage="0" showErrorMessage="0" allowBlank="1" type="list">
      <formula1>"情報,警告,エラー,致命"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33"/>
  <sheetViews>
    <sheetView showGridLines="0" zoomScale="130" zoomScaleNormal="130" zoomScalePageLayoutView="80" workbookViewId="0">
      <selection pane="topRight" activeCell="A1" sqref="A1"/>
      <selection pane="bottomLeft" activeCell="A1" sqref="A1"/>
      <selection pane="bottomRight" activeCell="D6" sqref="D6"/>
    </sheetView>
  </sheetViews>
  <sheetFormatPr baseColWidth="8" defaultColWidth="8.6640625" defaultRowHeight="14.4"/>
  <cols>
    <col width="2" customWidth="1" min="1" max="1"/>
    <col width="8" customWidth="1" min="2" max="2"/>
    <col width="10" customWidth="1" min="3" max="3"/>
    <col width="34" customWidth="1" min="4" max="4"/>
    <col width="20" customWidth="1" min="5" max="5"/>
    <col width="14" customWidth="1" min="6" max="6"/>
    <col width="12" customWidth="1" min="7" max="7"/>
    <col width="10" customWidth="1" min="8" max="8"/>
    <col width="30" customWidth="1" min="9" max="9"/>
    <col width="14" customWidth="1" min="10" max="10"/>
  </cols>
  <sheetData>
    <row r="1" ht="17.4" customHeight="1">
      <c r="B1" s="1" t="inlineStr">
        <is>
          <t>9. 確認事項・前提（TBD管理）</t>
        </is>
      </c>
    </row>
    <row r="2">
      <c r="B2" s="2" t="inlineStr">
        <is>
          <t>設計中に発生した未確定事項をここに集約します。全件クローズが詳細設計完了の条件です</t>
        </is>
      </c>
    </row>
    <row r="5" ht="36" customHeight="1">
      <c r="B5" s="12" t="inlineStr">
        <is>
          <t>TBD-ID</t>
        </is>
      </c>
      <c r="C5" s="7" t="inlineStr">
        <is>
          <t>区分</t>
        </is>
      </c>
      <c r="D5" s="7" t="inlineStr">
        <is>
          <t>内容</t>
        </is>
      </c>
      <c r="E5" s="7" t="inlineStr">
        <is>
          <t>関連項目・箇所</t>
        </is>
      </c>
      <c r="F5" s="7" t="inlineStr">
        <is>
          <t>依頼先</t>
        </is>
      </c>
      <c r="G5" s="7" t="inlineStr">
        <is>
          <t>期限</t>
        </is>
      </c>
      <c r="H5" s="7" t="inlineStr">
        <is>
          <t>状態</t>
        </is>
      </c>
      <c r="I5" s="7" t="inlineStr">
        <is>
          <t>回答・決着内容</t>
        </is>
      </c>
      <c r="J5" s="7" t="inlineStr">
        <is>
          <t>課題管理表No.</t>
        </is>
      </c>
    </row>
    <row r="6" ht="31.5" customHeight="1">
      <c r="B6" s="8" t="inlineStr">
        <is>
          <t>TBD-01</t>
        </is>
      </c>
      <c r="C6" s="9" t="inlineStr">
        <is>
          <t>確認事項</t>
        </is>
      </c>
      <c r="D6" s="9" t="inlineStr">
        <is>
          <t>店舗コードとTRIAL店CDの紐付け。6桁→4桁の独自変換はしない</t>
        </is>
      </c>
      <c r="E6" s="8" t="inlineStr">
        <is>
          <t>05 No.1／07 No.1</t>
        </is>
      </c>
      <c r="F6" s="9" t="inlineStr">
        <is>
          <t>波多野さん</t>
        </is>
      </c>
      <c r="G6" s="8" t="inlineStr">
        <is>
          <t>2026/09/22</t>
        </is>
      </c>
      <c r="H6" s="9" t="inlineStr">
        <is>
          <t>一部確定</t>
        </is>
      </c>
      <c r="I6" s="9" t="inlineStr">
        <is>
          <t>方針：西友（Sinops）とTRIALのマスタ統合により店舗の紐付けは解決する。本IFは独自の店CD変換・切捨てを持たない。出力桁は統合作業後のコード体系に従う</t>
        </is>
      </c>
      <c r="J6" s="8" t="inlineStr">
        <is>
          <t>G-05 / G02</t>
        </is>
      </c>
    </row>
    <row r="7" ht="25.5" customHeight="1">
      <c r="B7" s="10" t="inlineStr">
        <is>
          <t>TBD-02</t>
        </is>
      </c>
      <c r="C7" s="10" t="inlineStr">
        <is>
          <t>確認事項</t>
        </is>
      </c>
      <c r="D7" s="10" t="inlineStr">
        <is>
          <t>勧告計算後の Layer③ 配置時刻と Layer① プル窓</t>
        </is>
      </c>
      <c r="E7" s="10" t="inlineStr">
        <is>
          <t>01 連携タイミング</t>
        </is>
      </c>
      <c r="F7" s="10" t="inlineStr">
        <is>
          <t>波多野さん／Sinops</t>
        </is>
      </c>
      <c r="G7" s="10" t="inlineStr">
        <is>
          <t>2026/09/22</t>
        </is>
      </c>
      <c r="H7" s="10" t="inlineStr">
        <is>
          <t>確認中</t>
        </is>
      </c>
      <c r="I7" s="10" t="inlineStr"/>
      <c r="J7" s="10" t="inlineStr">
        <is>
          <t>IF一覧注記</t>
        </is>
      </c>
    </row>
    <row r="8" ht="25.5" customHeight="1">
      <c r="B8" s="10" t="inlineStr">
        <is>
          <t>TBD-03</t>
        </is>
      </c>
      <c r="C8" s="10" t="inlineStr">
        <is>
          <t>確認事項</t>
        </is>
      </c>
      <c r="D8" s="10" t="inlineStr">
        <is>
          <t>同一業務日の再送：上書きか新規か。世代管理</t>
        </is>
      </c>
      <c r="E8" s="10" t="inlineStr">
        <is>
          <t>02 世代管理</t>
        </is>
      </c>
      <c r="F8" s="10" t="inlineStr">
        <is>
          <t>末松さん／運用</t>
        </is>
      </c>
      <c r="G8" s="10" t="inlineStr">
        <is>
          <t>2026/09/30</t>
        </is>
      </c>
      <c r="H8" s="10" t="inlineStr">
        <is>
          <t>確認中</t>
        </is>
      </c>
      <c r="I8" s="10" t="inlineStr"/>
      <c r="J8" s="10" t="inlineStr">
        <is>
          <t>GCSポリシー</t>
        </is>
      </c>
    </row>
    <row r="9" ht="25.5" customHeight="1">
      <c r="B9" s="10" t="inlineStr">
        <is>
          <t>TBD-04</t>
        </is>
      </c>
      <c r="C9" s="10" t="inlineStr">
        <is>
          <t>確認事項</t>
        </is>
      </c>
      <c r="D9" s="10" t="inlineStr">
        <is>
          <t>自動発注GCS上の物理ファイル名</t>
        </is>
      </c>
      <c r="E9" s="10" t="inlineStr">
        <is>
          <t>07 物理名</t>
        </is>
      </c>
      <c r="F9" s="10" t="inlineStr">
        <is>
          <t>自動発注担当</t>
        </is>
      </c>
      <c r="G9" s="10" t="inlineStr">
        <is>
          <t>2026/09/22</t>
        </is>
      </c>
      <c r="H9" s="10" t="inlineStr">
        <is>
          <t>確認中</t>
        </is>
      </c>
      <c r="I9" s="10" t="inlineStr"/>
      <c r="J9" s="10" t="inlineStr">
        <is>
          <t>G-05</t>
        </is>
      </c>
    </row>
    <row r="10" ht="25.5" customHeight="1">
      <c r="B10" s="10" t="inlineStr">
        <is>
          <t>TBD-05</t>
        </is>
      </c>
      <c r="C10" s="10" t="inlineStr">
        <is>
          <t>確認事項</t>
        </is>
      </c>
      <c r="D10" s="10" t="inlineStr">
        <is>
          <t>連携用GCSフォルダ（from_to_連番）と SYS ID</t>
        </is>
      </c>
      <c r="E10" s="10" t="inlineStr">
        <is>
          <t>02/04 GCSパス</t>
        </is>
      </c>
      <c r="F10" s="10" t="inlineStr">
        <is>
          <t>末松さん／台帳</t>
        </is>
      </c>
      <c r="G10" s="10" t="inlineStr">
        <is>
          <t>2026/09/30</t>
        </is>
      </c>
      <c r="H10" s="10" t="inlineStr">
        <is>
          <t>確認中</t>
        </is>
      </c>
      <c r="I10" s="10" t="inlineStr"/>
      <c r="J10" s="10" t="inlineStr">
        <is>
          <t>GCSバケット資料</t>
        </is>
      </c>
    </row>
    <row r="11" ht="25.5" customHeight="1">
      <c r="B11" s="10" t="inlineStr">
        <is>
          <t>TBD-06</t>
        </is>
      </c>
      <c r="C11" s="10" t="inlineStr">
        <is>
          <t>確認事項</t>
        </is>
      </c>
      <c r="D11" s="10" t="inlineStr">
        <is>
          <t>TRIAL 自動発注GCSのPJ/バケット/パス</t>
        </is>
      </c>
      <c r="E11" s="10" t="inlineStr">
        <is>
          <t>02 OUT</t>
        </is>
      </c>
      <c r="F11" s="10" t="inlineStr">
        <is>
          <t>自動発注担当</t>
        </is>
      </c>
      <c r="G11" s="10" t="inlineStr">
        <is>
          <t>2026/09/30</t>
        </is>
      </c>
      <c r="H11" s="10" t="inlineStr">
        <is>
          <t>確認中</t>
        </is>
      </c>
      <c r="I11" s="10" t="inlineStr"/>
      <c r="J11" s="10" t="inlineStr">
        <is>
          <t>G-05</t>
        </is>
      </c>
    </row>
    <row r="12" ht="25.5" customHeight="1">
      <c r="B12" s="10" t="inlineStr">
        <is>
          <t>TBD-07</t>
        </is>
      </c>
      <c r="C12" s="10" t="inlineStr">
        <is>
          <t>確認事項</t>
        </is>
      </c>
      <c r="D12" s="10" t="inlineStr">
        <is>
          <t>文字コード・改行・区切り（固定長混在の実体）</t>
        </is>
      </c>
      <c r="E12" s="10" t="inlineStr">
        <is>
          <t>07 ファイル仕様</t>
        </is>
      </c>
      <c r="F12" s="10" t="inlineStr">
        <is>
          <t>波多野さん</t>
        </is>
      </c>
      <c r="G12" s="10" t="inlineStr">
        <is>
          <t>2026/09/22</t>
        </is>
      </c>
      <c r="H12" s="10" t="inlineStr">
        <is>
          <t>確認中</t>
        </is>
      </c>
      <c r="I12" s="10" t="inlineStr"/>
      <c r="J12" s="10" t="inlineStr">
        <is>
          <t>G10</t>
        </is>
      </c>
    </row>
    <row r="13" ht="25.5" customHeight="1">
      <c r="B13" s="10" t="inlineStr">
        <is>
          <t>TBD-08</t>
        </is>
      </c>
      <c r="C13" s="10" t="inlineStr">
        <is>
          <t>確認事項</t>
        </is>
      </c>
      <c r="D13" s="10" t="inlineStr">
        <is>
          <t>仕入先とTRIALベンダーの紐付け。9桁→8桁の独自変換はしない</t>
        </is>
      </c>
      <c r="E13" s="10" t="inlineStr">
        <is>
          <t>05 No.4</t>
        </is>
      </c>
      <c r="F13" s="10" t="inlineStr">
        <is>
          <t>波多野さん</t>
        </is>
      </c>
      <c r="G13" s="10" t="inlineStr">
        <is>
          <t>2026/09/22</t>
        </is>
      </c>
      <c r="H13" s="10" t="inlineStr">
        <is>
          <t>一部確定</t>
        </is>
      </c>
      <c r="I13" s="10" t="inlineStr">
        <is>
          <t>方針：仕入先マスタもマスタ統合で紐付けが解決する。本IFは独自のベンダーCD切捨て・変換を持たない。出力は統合作業後のコード体系に従う</t>
        </is>
      </c>
      <c r="J13" s="10" t="inlineStr">
        <is>
          <t>G03</t>
        </is>
      </c>
    </row>
    <row r="14" ht="25.5" customHeight="1">
      <c r="B14" s="10" t="inlineStr">
        <is>
          <t>TBD-09</t>
        </is>
      </c>
      <c r="C14" s="10" t="inlineStr">
        <is>
          <t>確認事項</t>
        </is>
      </c>
      <c r="D14" s="10" t="inlineStr">
        <is>
          <t>Ordertype 1桁の値定義。sinopsにOrdertype項目なし。部門は勧告ファイルにある</t>
        </is>
      </c>
      <c r="E14" s="10" t="inlineStr">
        <is>
          <t>05 No.6</t>
        </is>
      </c>
      <c r="F14" s="10" t="inlineStr">
        <is>
          <t>自動発注担当</t>
        </is>
      </c>
      <c r="G14" s="10" t="inlineStr">
        <is>
          <t>2026/09/22</t>
        </is>
      </c>
      <c r="H14" s="10" t="inlineStr">
        <is>
          <t>完了</t>
        </is>
      </c>
      <c r="I14" s="10" t="inlineStr">
        <is>
          <t>0=非日配、1=日配または生鮮。部門CDは勧告ファイルの西友中分類（西友ライン）。商品マスタは見ない。JIHA.BUMON_ZONE → JIHA.ZONE_LOGIC。01→0、02→1、03→1</t>
        </is>
      </c>
      <c r="J14" s="10" t="inlineStr">
        <is>
          <t>G05</t>
        </is>
      </c>
    </row>
    <row r="15" ht="25.5" customHeight="1">
      <c r="B15" s="10" t="inlineStr">
        <is>
          <t>TBD-10</t>
        </is>
      </c>
      <c r="C15" s="10" t="inlineStr">
        <is>
          <t>確認事項</t>
        </is>
      </c>
      <c r="D15" s="10" t="inlineStr">
        <is>
          <t>更新日が業務日か DB 更新日か</t>
        </is>
      </c>
      <c r="E15" s="10" t="inlineStr">
        <is>
          <t>05 No.7</t>
        </is>
      </c>
      <c r="F15" s="10" t="inlineStr">
        <is>
          <t>波多野さん</t>
        </is>
      </c>
      <c r="G15" s="10" t="inlineStr">
        <is>
          <t>2026/09/22</t>
        </is>
      </c>
      <c r="H15" s="10" t="inlineStr">
        <is>
          <t>確認中</t>
        </is>
      </c>
      <c r="I15" s="10" t="inlineStr"/>
      <c r="J15" s="10" t="inlineStr">
        <is>
          <t>G07</t>
        </is>
      </c>
    </row>
    <row r="16" ht="25.5" customHeight="1">
      <c r="B16" s="10" t="inlineStr">
        <is>
          <t>TBD-11</t>
        </is>
      </c>
      <c r="C16" s="10" t="inlineStr">
        <is>
          <t>確認事項</t>
        </is>
      </c>
      <c r="D16" s="10" t="inlineStr">
        <is>
          <t>SireJANとTRIAL商品の紐付け。独自の仕入JAN変換はしない</t>
        </is>
      </c>
      <c r="E16" s="10" t="inlineStr">
        <is>
          <t>05 No.2</t>
        </is>
      </c>
      <c r="F16" s="10" t="inlineStr">
        <is>
          <t>波多野さん</t>
        </is>
      </c>
      <c r="G16" s="10" t="inlineStr">
        <is>
          <t>2026/09/30</t>
        </is>
      </c>
      <c r="H16" s="10" t="inlineStr">
        <is>
          <t>一部確定</t>
        </is>
      </c>
      <c r="I16" s="10" t="inlineStr">
        <is>
          <t>方針：マスタ統合により商品の紐付けは解決する。本IFは独自の仕入JAN変換を持たない。SireJANは統合後の商品コードを載せる</t>
        </is>
      </c>
      <c r="J16" s="10" t="inlineStr">
        <is>
          <t>G11</t>
        </is>
      </c>
    </row>
    <row r="17" ht="25.5" customHeight="1">
      <c r="B17" s="10" t="inlineStr">
        <is>
          <t>TBD-12</t>
        </is>
      </c>
      <c r="C17" s="10" t="inlineStr">
        <is>
          <t>確認事項</t>
        </is>
      </c>
      <c r="D17" s="10" t="inlineStr">
        <is>
          <t>KEY=BranchCD+SireJAN の最終1件化ルール</t>
        </is>
      </c>
      <c r="E17" s="10" t="inlineStr">
        <is>
          <t>02 STEP20</t>
        </is>
      </c>
      <c r="F17" s="10" t="inlineStr">
        <is>
          <t>波多野さん</t>
        </is>
      </c>
      <c r="G17" s="10" t="inlineStr">
        <is>
          <t>2026/09/22</t>
        </is>
      </c>
      <c r="H17" s="10" t="inlineStr">
        <is>
          <t>確認中</t>
        </is>
      </c>
      <c r="I17" s="10" t="inlineStr"/>
      <c r="J17" s="10" t="inlineStr">
        <is>
          <t>G06</t>
        </is>
      </c>
    </row>
    <row r="18" ht="48" customHeight="1">
      <c r="B18" s="10" t="inlineStr">
        <is>
          <t>TBD-13</t>
        </is>
      </c>
      <c r="C18" s="10" t="inlineStr">
        <is>
          <t>確認事項</t>
        </is>
      </c>
      <c r="D18" s="10" t="inlineStr">
        <is>
          <t>Layer① は 24/25 共通 1 ジョブ。入力は当日ファイルと昨日の翌日以降。判定で 1 本だけ採用する。締切は TBD-19</t>
        </is>
      </c>
      <c r="E18" s="10" t="inlineStr">
        <is>
          <t>02／Sinops-25</t>
        </is>
      </c>
      <c r="F18" s="10" t="inlineStr">
        <is>
          <t>波多野さん</t>
        </is>
      </c>
      <c r="G18" s="10" t="inlineStr">
        <is>
          <t>2026/09/30</t>
        </is>
      </c>
      <c r="H18" s="10" t="inlineStr">
        <is>
          <t>一部確定</t>
        </is>
      </c>
      <c r="I18" s="10" t="inlineStr">
        <is>
          <t>確定：Layer① は共通 1 本。STEP20 で当日／昨日の翌日以降を判定し 1 本採用。Layer③ は kankoku と subkankoku を毎日出す。締切時刻は TBD-19</t>
        </is>
      </c>
      <c r="J18" s="10" t="inlineStr">
        <is>
          <t>G08</t>
        </is>
      </c>
    </row>
    <row r="19" ht="25.5" customHeight="1">
      <c r="B19" s="10" t="inlineStr">
        <is>
          <t>TBD-14</t>
        </is>
      </c>
      <c r="C19" s="10" t="inlineStr">
        <is>
          <t>確認事項</t>
        </is>
      </c>
      <c r="D19" s="10" t="inlineStr">
        <is>
          <t>想定件数・データ量</t>
        </is>
      </c>
      <c r="E19" s="10" t="inlineStr">
        <is>
          <t>01</t>
        </is>
      </c>
      <c r="F19" s="10" t="inlineStr">
        <is>
          <t>Sinops</t>
        </is>
      </c>
      <c r="G19" s="10" t="inlineStr">
        <is>
          <t>2026/09/30</t>
        </is>
      </c>
      <c r="H19" s="10" t="inlineStr">
        <is>
          <t>確認中</t>
        </is>
      </c>
      <c r="I19" s="10" t="inlineStr"/>
      <c r="J19" s="10" t="inlineStr"/>
    </row>
    <row r="20" ht="25.5" customHeight="1">
      <c r="B20" s="10" t="inlineStr">
        <is>
          <t>TBD-15</t>
        </is>
      </c>
      <c r="C20" s="10" t="inlineStr">
        <is>
          <t>確認事項</t>
        </is>
      </c>
      <c r="D20" s="10" t="inlineStr">
        <is>
          <t>7項目の区切り（固定長連結か区切り文字か）</t>
        </is>
      </c>
      <c r="E20" s="10" t="inlineStr">
        <is>
          <t>07</t>
        </is>
      </c>
      <c r="F20" s="10" t="inlineStr">
        <is>
          <t>自動発注担当</t>
        </is>
      </c>
      <c r="G20" s="10" t="inlineStr">
        <is>
          <t>2026/09/22</t>
        </is>
      </c>
      <c r="H20" s="10" t="inlineStr">
        <is>
          <t>確認中</t>
        </is>
      </c>
      <c r="I20" s="10" t="inlineStr"/>
      <c r="J20" s="10" t="inlineStr">
        <is>
          <t>G10</t>
        </is>
      </c>
    </row>
    <row r="21" ht="25.5" customHeight="1">
      <c r="B21" s="10" t="inlineStr">
        <is>
          <t>TBD-16</t>
        </is>
      </c>
      <c r="C21" s="10" t="inlineStr">
        <is>
          <t>確認事項</t>
        </is>
      </c>
      <c r="D21" s="10" t="inlineStr">
        <is>
          <t>勧告0件ファイルの扱い</t>
        </is>
      </c>
      <c r="E21" s="10" t="inlineStr">
        <is>
          <t>08 ER-001</t>
        </is>
      </c>
      <c r="F21" s="10" t="inlineStr">
        <is>
          <t>補充部</t>
        </is>
      </c>
      <c r="G21" s="10" t="inlineStr">
        <is>
          <t>2026/09/30</t>
        </is>
      </c>
      <c r="H21" s="10" t="inlineStr">
        <is>
          <t>確認中</t>
        </is>
      </c>
      <c r="I21" s="10" t="inlineStr"/>
      <c r="J21" s="10" t="inlineStr">
        <is>
          <t>G09</t>
        </is>
      </c>
    </row>
    <row r="22" ht="25.5" customHeight="1">
      <c r="B22" s="10" t="inlineStr">
        <is>
          <t>TBD-17</t>
        </is>
      </c>
      <c r="C22" s="10" t="inlineStr">
        <is>
          <t>確認事項</t>
        </is>
      </c>
      <c r="D22" s="10" t="inlineStr">
        <is>
          <t>変換エラーをファイル中断かレコード退避か</t>
        </is>
      </c>
      <c r="E22" s="10" t="inlineStr">
        <is>
          <t>08 ER-005</t>
        </is>
      </c>
      <c r="F22" s="10" t="inlineStr">
        <is>
          <t>運用</t>
        </is>
      </c>
      <c r="G22" s="10" t="inlineStr">
        <is>
          <t>2026/09/30</t>
        </is>
      </c>
      <c r="H22" s="10" t="inlineStr">
        <is>
          <t>確認中</t>
        </is>
      </c>
      <c r="I22" s="10" t="inlineStr"/>
      <c r="J22" s="10" t="inlineStr"/>
    </row>
    <row r="23" ht="25.5" customHeight="1">
      <c r="B23" s="10" t="inlineStr">
        <is>
          <t>TBD-18</t>
        </is>
      </c>
      <c r="C23" s="10" t="inlineStr">
        <is>
          <t>確認事項</t>
        </is>
      </c>
      <c r="D23" s="10" t="inlineStr">
        <is>
          <t>ZONE_LOGIC 論理区分03（生鮮）の Ordertype。0/1 以外の値は未定義。本IFから除外するか未決</t>
        </is>
      </c>
      <c r="E23" s="10" t="inlineStr">
        <is>
          <t>05 No.6／R07</t>
        </is>
      </c>
      <c r="F23" s="10" t="inlineStr">
        <is>
          <t>波多野さん／生鮮IF</t>
        </is>
      </c>
      <c r="G23" s="10" t="inlineStr">
        <is>
          <t>2026/09/30</t>
        </is>
      </c>
      <c r="H23" s="10" t="inlineStr">
        <is>
          <t>完了</t>
        </is>
      </c>
      <c r="I23" s="10" t="inlineStr">
        <is>
          <t>論理区分03（生鮮）の Ordertype は 1（日配と同じ）</t>
        </is>
      </c>
      <c r="J23" s="10" t="inlineStr">
        <is>
          <t>G05 残り／生鮮増分</t>
        </is>
      </c>
    </row>
    <row r="24" ht="40" customHeight="1">
      <c r="B24" s="8" t="inlineStr">
        <is>
          <t>TBD-19</t>
        </is>
      </c>
      <c r="C24" s="9" t="inlineStr">
        <is>
          <t>確認事項</t>
        </is>
      </c>
      <c r="D24" s="9" t="inlineStr">
        <is>
          <t>当日分を未作成とみなす締切時刻（例 6:00）とタイムゾーン。判定そのものは Layer①（SCM連携クラウド機）で行う</t>
        </is>
      </c>
      <c r="E24" s="8" t="inlineStr">
        <is>
          <t>01 処理窓／08 ER-012／Sinops-25</t>
        </is>
      </c>
      <c r="F24" s="9" t="inlineStr">
        <is>
          <t>波多野さん／自動発注担当／運用</t>
        </is>
      </c>
      <c r="G24" s="117" t="n">
        <v>46295</v>
      </c>
      <c r="H24" s="9" t="inlineStr">
        <is>
          <t>確認中</t>
        </is>
      </c>
      <c r="I24" s="9" t="inlineStr">
        <is>
          <t>判定箇所は Layer① に確定。残は締切時刻</t>
        </is>
      </c>
      <c r="J24" s="8" t="inlineStr">
        <is>
          <t>G08 残り</t>
        </is>
      </c>
    </row>
    <row r="25" ht="25.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25.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8" ht="21.75" customHeight="1">
      <c r="B28" s="3" t="inlineStr">
        <is>
          <t>■ 集計（自動計算）</t>
        </is>
      </c>
      <c r="C28" s="4" t="n"/>
      <c r="D28" s="4" t="n"/>
      <c r="E28" s="4" t="n"/>
    </row>
    <row r="29" ht="30" customHeight="1">
      <c r="B29" s="7" t="inlineStr">
        <is>
          <t>起票件数</t>
        </is>
      </c>
      <c r="C29" s="7" t="inlineStr">
        <is>
          <t>完了</t>
        </is>
      </c>
      <c r="D29" s="7" t="inlineStr">
        <is>
          <t>未完了</t>
        </is>
      </c>
      <c r="E29" s="7" t="inlineStr">
        <is>
          <t>詳細設計完了可否</t>
        </is>
      </c>
    </row>
    <row r="30">
      <c r="B30" s="13">
        <f>COUNTA(B7:B27)</f>
        <v/>
      </c>
      <c r="C30" s="13">
        <f>COUNTIF(H7:H27,"完了")</f>
        <v/>
      </c>
      <c r="D30" s="13">
        <f>B30-C30</f>
        <v/>
      </c>
      <c r="E30" s="14">
        <f>IF(D30=0,"完了可","未完了 "&amp;D30&amp;"件あり")</f>
        <v/>
      </c>
    </row>
    <row r="32">
      <c r="B32" s="2" t="inlineStr">
        <is>
          <t>※ 起票したTBDは、必ず課題管理表（D-3）にも登録し、番号を相互に記載してください。</t>
        </is>
      </c>
    </row>
    <row r="33">
      <c r="B33" s="2" t="inlineStr">
        <is>
          <t>※ 期限は、前提クリア管理表（D-4）のゲート期限（9/30・10/16）と整合させてください。</t>
        </is>
      </c>
    </row>
  </sheetData>
  <dataValidations count="2">
    <dataValidation sqref="C7:C27" showDropDown="0" showInputMessage="0" showErrorMessage="0" allowBlank="1" type="list">
      <formula1>"前提,確認事項,TBD,リスク"</formula1>
      <formula2>0</formula2>
    </dataValidation>
    <dataValidation sqref="H7:H27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2026-09-14T02:50:30Z</dcterms:created>
  <dcterms:modified xmlns:dcterms="http://purl.org/dc/terms/" xmlns:xsi="http://www.w3.org/2001/XMLSchema-instance" xsi:type="dcterms:W3CDTF">2026-09-20T00:06:14Z</dcterms:modified>
  <cp:lastModifiedBy>TRIAL 476</cp:lastModifiedBy>
  <cp:revision>0</cp:revision>
</cp:coreProperties>
</file>