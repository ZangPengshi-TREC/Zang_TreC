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500" firstSheet="0" activeTab="1" autoFilterDateGrouping="1"/>
  </bookViews>
  <sheets>
    <sheet xmlns:r="http://schemas.openxmlformats.org/officeDocument/2006/relationships" name="00_表紙・改訂履歴" sheetId="1" state="visible" r:id="rId1"/>
    <sheet xmlns:r="http://schemas.openxmlformats.org/officeDocument/2006/relationships" name="01_IF概要" sheetId="2" state="visible" r:id="rId2"/>
    <sheet xmlns:r="http://schemas.openxmlformats.org/officeDocument/2006/relationships" name="Data Flow" sheetId="3" state="visible" r:id="rId3"/>
    <sheet xmlns:r="http://schemas.openxmlformats.org/officeDocument/2006/relationships" name="02_Layer①設計" sheetId="4" state="visible" r:id="rId4"/>
    <sheet xmlns:r="http://schemas.openxmlformats.org/officeDocument/2006/relationships" name="03_Layer②設計" sheetId="5" state="visible" r:id="rId5"/>
    <sheet xmlns:r="http://schemas.openxmlformats.org/officeDocument/2006/relationships" name="04_Layer③設計" sheetId="6" state="visible" r:id="rId6"/>
    <sheet xmlns:r="http://schemas.openxmlformats.org/officeDocument/2006/relationships" name="05_項目マッピング(Layer①)" sheetId="7" state="visible" r:id="rId7"/>
    <sheet xmlns:r="http://schemas.openxmlformats.org/officeDocument/2006/relationships" name="05_項目マッピング(Layer②)" sheetId="8" state="visible" r:id="rId8"/>
    <sheet xmlns:r="http://schemas.openxmlformats.org/officeDocument/2006/relationships" name="05_項目マッピング(Layer③)" sheetId="9" state="visible" r:id="rId9"/>
    <sheet xmlns:r="http://schemas.openxmlformats.org/officeDocument/2006/relationships" name="07_ファイルレイアウト(Sinops)" sheetId="10" state="visible" r:id="rId10"/>
    <sheet xmlns:r="http://schemas.openxmlformats.org/officeDocument/2006/relationships" name="08_エラー処理" sheetId="11" state="visible" r:id="rId11"/>
    <sheet xmlns:r="http://schemas.openxmlformats.org/officeDocument/2006/relationships" name="09_確認事項・前提" sheetId="12" state="visible" r:id="rId12"/>
  </sheets>
  <definedNames>
    <definedName name="_xlnm.Print_Titles" localSheetId="6">'05_項目マッピング(Layer①)'!$1:$5,'05_項目マッピング(Layer①)'!$B:$B</definedName>
    <definedName name="_xlnm.Print_Titles" localSheetId="9">'07_ファイルレイアウト(Sinops)'!$16:$17</definedName>
    <definedName name="_xlnm.Print_Titles" localSheetId="10">'08_エラー処理'!$5:$5</definedName>
    <definedName name="_xlnm.Print_Titles" localSheetId="11">'09_確認事項・前提'!$1:$5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74">
    <font>
      <name val="Calibri"/>
      <charset val="1"/>
      <family val="2"/>
      <color theme="1"/>
      <sz val="11"/>
    </font>
    <font>
      <name val="Arial"/>
      <family val="2"/>
      <b val="1"/>
      <color rgb="FF1F4E79"/>
      <sz val="14"/>
    </font>
    <font>
      <name val="Noto Sans CJK SC"/>
      <family val="2"/>
      <b val="1"/>
      <color rgb="FF1F4E79"/>
      <sz val="14"/>
    </font>
    <font>
      <name val="Noto Sans CJK SC"/>
      <family val="2"/>
      <color rgb="FF595959"/>
      <sz val="8"/>
    </font>
    <font>
      <name val="Arial"/>
      <family val="2"/>
      <color rgb="FF595959"/>
      <sz val="8"/>
    </font>
    <font>
      <name val="Noto Sans CJK SC"/>
      <family val="2"/>
      <b val="1"/>
      <color rgb="FF1F4E79"/>
      <sz val="11"/>
    </font>
    <font>
      <name val="Arial"/>
      <family val="2"/>
      <b val="1"/>
      <sz val="9"/>
    </font>
    <font>
      <name val="Noto Sans CJK SC"/>
      <family val="2"/>
      <i val="1"/>
      <color rgb="FF7F7F7F"/>
      <sz val="8"/>
    </font>
    <font>
      <name val="Arial"/>
      <family val="2"/>
      <i val="1"/>
      <color rgb="FF7F7F7F"/>
      <sz val="8"/>
    </font>
    <font>
      <name val="Noto Sans CJK SC"/>
      <family val="2"/>
      <b val="1"/>
      <sz val="9"/>
    </font>
    <font>
      <name val="Arial"/>
      <family val="2"/>
      <sz val="9"/>
    </font>
    <font>
      <name val="Noto Sans CJK SC"/>
      <family val="2"/>
      <b val="1"/>
      <color rgb="FFFFFFFF"/>
      <sz val="9"/>
    </font>
    <font>
      <name val="Arial"/>
      <family val="2"/>
      <b val="1"/>
      <color rgb="FFFFFFFF"/>
      <sz val="9"/>
    </font>
    <font>
      <name val="Noto Sans CJK SC"/>
      <family val="2"/>
      <b val="1"/>
      <color rgb="FFC00000"/>
      <sz val="9"/>
    </font>
    <font>
      <name val="宋体"/>
      <charset val="134"/>
      <family val="3"/>
      <sz val="9"/>
    </font>
    <font>
      <name val="ＭＳ ゴシック"/>
      <charset val="128"/>
      <family val="3"/>
      <sz val="8"/>
    </font>
    <font>
      <name val="Noto Sans CJK SC"/>
      <family val="2"/>
      <sz val="8"/>
    </font>
    <font>
      <name val="Arial"/>
      <family val="2"/>
      <sz val="8"/>
    </font>
    <font>
      <name val="ＭＳ ゴシック"/>
      <charset val="128"/>
      <family val="3"/>
      <sz val="9"/>
    </font>
    <font>
      <name val="ＭＳ ゴシック"/>
      <charset val="128"/>
      <family val="3"/>
      <b val="1"/>
      <color rgb="FFFFFFFF"/>
      <sz val="9"/>
    </font>
    <font>
      <name val="Noto Sans CJK SC"/>
      <family val="2"/>
      <sz val="9"/>
    </font>
    <font>
      <name val="Noto Sans CJK SC"/>
      <charset val="128"/>
      <family val="1"/>
      <sz val="9"/>
    </font>
    <font>
      <name val="ＭＳ Ｐゴシック"/>
      <charset val="128"/>
      <family val="2"/>
      <color theme="1"/>
      <sz val="11"/>
    </font>
    <font>
      <name val="Calibri"/>
      <charset val="128"/>
      <family val="2"/>
      <color theme="1"/>
      <sz val="11"/>
    </font>
    <font>
      <name val="Noto Sans CJK SC"/>
      <sz val="8"/>
    </font>
    <font>
      <name val="ＭＳ Ｐゴシック"/>
      <charset val="128"/>
      <family val="3"/>
      <color theme="1"/>
      <sz val="11"/>
    </font>
    <font>
      <name val="Noto Sans CJK SC"/>
      <charset val="128"/>
      <family val="3"/>
      <sz val="8"/>
    </font>
    <font>
      <name val="Calibri"/>
      <family val="2"/>
      <color theme="1"/>
      <sz val="11"/>
    </font>
    <font>
      <name val="Segoe UI Symbol"/>
      <family val="2"/>
      <color theme="1"/>
      <sz val="11"/>
    </font>
    <font>
      <name val="ＭＳ ゴシック"/>
      <charset val="128"/>
      <family val="3"/>
      <color theme="1"/>
      <sz val="11"/>
    </font>
    <font>
      <b val="1"/>
      <color rgb="00222222"/>
      <sz val="16"/>
    </font>
    <font>
      <name val="メイリオ"/>
      <b val="1"/>
      <color rgb="FF1F4E79"/>
      <sz val="20"/>
    </font>
    <font>
      <name val="メイリオ"/>
      <b val="1"/>
      <color rgb="FF1F4E79"/>
      <sz val="14"/>
    </font>
    <font>
      <name val="メイリオ"/>
      <b val="1"/>
      <color theme="1"/>
      <sz val="12"/>
    </font>
    <font>
      <name val="メイリオ"/>
      <b val="1"/>
      <sz val="12"/>
    </font>
    <font>
      <name val="メイリオ"/>
      <sz val="12"/>
    </font>
    <font>
      <name val="メイリオ"/>
      <b val="1"/>
      <color rgb="FFFFFFFF"/>
      <sz val="12"/>
    </font>
    <font>
      <name val="メイリオ"/>
      <sz val="11"/>
    </font>
    <font>
      <name val="メイリオ"/>
      <b val="1"/>
      <sz val="22"/>
    </font>
    <font>
      <name val="メイリオ"/>
      <b val="1"/>
      <sz val="20"/>
    </font>
    <font>
      <name val="メイリオ"/>
      <b val="1"/>
      <color rgb="00222222"/>
      <sz val="20"/>
    </font>
    <font>
      <name val="メイリオ"/>
      <color theme="1"/>
      <sz val="12"/>
    </font>
    <font>
      <name val="メイリオ"/>
      <color rgb="FF595959"/>
      <sz val="11"/>
    </font>
    <font>
      <name val="メイリオ"/>
      <i val="1"/>
      <color rgb="FF7F7F7F"/>
      <sz val="12"/>
    </font>
    <font>
      <name val="メイリオ"/>
      <b val="1"/>
      <i val="1"/>
      <color rgb="FF7F7F7F"/>
      <sz val="12"/>
    </font>
    <font>
      <name val="メイリオ"/>
      <b val="1"/>
      <color rgb="FFFFFFFF"/>
      <sz val="11"/>
    </font>
    <font>
      <name val="メイリオ"/>
      <b val="1"/>
      <color rgb="FFC00000"/>
      <sz val="12"/>
    </font>
    <font>
      <name val="メイリオ"/>
      <b val="1"/>
      <sz val="14"/>
    </font>
    <font>
      <name val="メイリオ"/>
      <b val="1"/>
      <color rgb="FF1F4E79"/>
      <sz val="12"/>
    </font>
    <font>
      <name val="メイリオ"/>
      <b val="1"/>
      <color theme="1"/>
      <sz val="11"/>
    </font>
    <font>
      <name val="メイリオ"/>
      <b val="1"/>
      <sz val="11"/>
    </font>
    <font>
      <name val="メイリオ"/>
      <sz val="10"/>
    </font>
    <font>
      <name val="メイリオ"/>
      <b val="1"/>
      <color rgb="00222222"/>
      <sz val="14"/>
    </font>
    <font>
      <name val="メイリオ"/>
      <color theme="1"/>
      <sz val="10"/>
    </font>
    <font>
      <name val="メイリオ"/>
      <color theme="1"/>
      <sz val="11"/>
    </font>
    <font>
      <name val="メイリオ"/>
      <i val="1"/>
      <color rgb="FF7F7F7F"/>
      <sz val="11"/>
    </font>
    <font>
      <name val="メイリオ"/>
      <b val="1"/>
      <i val="1"/>
      <color rgb="FF7F7F7F"/>
      <sz val="11"/>
    </font>
    <font>
      <name val="メイリオ"/>
      <color rgb="FF595959"/>
      <sz val="10"/>
    </font>
    <font>
      <name val="メイリオ"/>
      <b val="1"/>
      <color rgb="FFC00000"/>
      <sz val="11"/>
    </font>
    <font>
      <name val="メイリオ"/>
      <b val="1"/>
      <sz val="16"/>
    </font>
    <font>
      <name val="メイリオ"/>
      <b val="1"/>
      <color rgb="FFFFFFFF"/>
      <sz val="10"/>
    </font>
    <font>
      <b val="1"/>
      <color rgb="001F4E78"/>
      <sz val="12"/>
    </font>
    <font>
      <b val="1"/>
    </font>
    <font>
      <b val="1"/>
      <color rgb="001F4E78"/>
    </font>
    <font>
      <b val="1"/>
      <color rgb="001F4E78"/>
      <sz val="13"/>
    </font>
    <font>
      <name val="Arial"/>
      <b val="1"/>
      <color rgb="001F4E79"/>
      <sz val="15"/>
    </font>
    <font>
      <name val="Arial"/>
      <b val="1"/>
      <color rgb="001F4E79"/>
      <sz val="12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sz val="11"/>
    </font>
    <font>
      <name val="Arial"/>
      <sz val="9"/>
    </font>
    <font>
      <name val="Arial"/>
      <color rgb="00595959"/>
      <sz val="9"/>
    </font>
    <font>
      <name val="Arial"/>
      <b val="1"/>
      <color rgb="001F4E79"/>
      <sz val="11"/>
    </font>
  </fonts>
  <fills count="14">
    <fill>
      <patternFill/>
    </fill>
    <fill>
      <patternFill patternType="gray125"/>
    </fill>
    <fill>
      <patternFill patternType="solid">
        <fgColor rgb="FFDDEBF7"/>
        <bgColor rgb="FFEDEDED"/>
      </patternFill>
    </fill>
    <fill>
      <patternFill patternType="solid">
        <fgColor rgb="FFF2F2F2"/>
        <bgColor rgb="FFEDEDED"/>
      </patternFill>
    </fill>
    <fill>
      <patternFill patternType="solid">
        <fgColor rgb="FFFFFDE7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F2F2F2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1F4E79"/>
      </patternFill>
    </fill>
    <fill>
      <patternFill patternType="solid">
        <fgColor rgb="00FFFDE7"/>
      </patternFill>
    </fill>
  </fills>
  <borders count="2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/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1F4E79"/>
      </left>
      <right style="thin">
        <color rgb="001F4E79"/>
      </right>
      <top style="thin">
        <color rgb="001F4E79"/>
      </top>
      <bottom style="thin">
        <color rgb="001F4E79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8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5" fillId="2" borderId="1" pivotButton="0" quotePrefix="0" xfId="0"/>
    <xf numFmtId="0" fontId="0" fillId="2" borderId="1" pivotButton="0" quotePrefix="0" xfId="0"/>
    <xf numFmtId="0" fontId="6" fillId="3" borderId="1" applyAlignment="1" pivotButton="0" quotePrefix="0" xfId="0">
      <alignment vertical="center"/>
    </xf>
    <xf numFmtId="0" fontId="9" fillId="3" borderId="1" applyAlignment="1" pivotButton="0" quotePrefix="0" xfId="0">
      <alignment vertical="center"/>
    </xf>
    <xf numFmtId="0" fontId="11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4" fillId="0" borderId="0" pivotButton="0" quotePrefix="0" xfId="0"/>
    <xf numFmtId="0" fontId="12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7" fillId="0" borderId="1" applyAlignment="1" pivotButton="0" quotePrefix="0" xfId="0">
      <alignment vertical="top" wrapText="1"/>
    </xf>
    <xf numFmtId="14" fontId="17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19" fillId="5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vertical="top" wrapText="1"/>
    </xf>
    <xf numFmtId="0" fontId="22" fillId="0" borderId="0" pivotButton="0" quotePrefix="0" xfId="0"/>
    <xf numFmtId="0" fontId="18" fillId="4" borderId="1" pivotButton="0" quotePrefix="0" xfId="0"/>
    <xf numFmtId="0" fontId="20" fillId="4" borderId="1" pivotButton="0" quotePrefix="0" xfId="0"/>
    <xf numFmtId="0" fontId="10" fillId="0" borderId="1" pivotButton="0" quotePrefix="0" xfId="0"/>
    <xf numFmtId="0" fontId="18" fillId="4" borderId="10" pivotButton="0" quotePrefix="0" xfId="0"/>
    <xf numFmtId="0" fontId="18" fillId="4" borderId="11" pivotButton="0" quotePrefix="0" xfId="0"/>
    <xf numFmtId="0" fontId="18" fillId="4" borderId="12" pivotButton="0" quotePrefix="0" xfId="0"/>
    <xf numFmtId="0" fontId="9" fillId="3" borderId="15" applyAlignment="1" pivotButton="0" quotePrefix="0" xfId="0">
      <alignment vertical="center"/>
    </xf>
    <xf numFmtId="0" fontId="9" fillId="3" borderId="16" applyAlignment="1" pivotButton="0" quotePrefix="0" xfId="0">
      <alignment vertical="center"/>
    </xf>
    <xf numFmtId="0" fontId="7" fillId="4" borderId="13" pivotButton="0" quotePrefix="0" xfId="0"/>
    <xf numFmtId="0" fontId="7" fillId="4" borderId="17" pivotButton="0" quotePrefix="0" xfId="0"/>
    <xf numFmtId="0" fontId="7" fillId="4" borderId="15" pivotButton="0" quotePrefix="0" xfId="0"/>
    <xf numFmtId="0" fontId="7" fillId="4" borderId="0" pivotButton="0" quotePrefix="0" xfId="0"/>
    <xf numFmtId="0" fontId="8" fillId="4" borderId="15" pivotButton="0" quotePrefix="0" xfId="0"/>
    <xf numFmtId="0" fontId="8" fillId="4" borderId="0" pivotButton="0" quotePrefix="0" xfId="0"/>
    <xf numFmtId="0" fontId="9" fillId="3" borderId="13" applyAlignment="1" pivotButton="0" quotePrefix="0" xfId="0">
      <alignment vertical="center"/>
    </xf>
    <xf numFmtId="0" fontId="9" fillId="3" borderId="14" applyAlignment="1" pivotButton="0" quotePrefix="0" xfId="0">
      <alignment vertical="center"/>
    </xf>
    <xf numFmtId="0" fontId="24" fillId="4" borderId="1" pivotButton="0" quotePrefix="0" xfId="0"/>
    <xf numFmtId="0" fontId="16" fillId="4" borderId="1" pivotButton="0" quotePrefix="0" xfId="0"/>
    <xf numFmtId="0" fontId="26" fillId="4" borderId="1" pivotButton="0" quotePrefix="0" xfId="0"/>
    <xf numFmtId="0" fontId="17" fillId="4" borderId="1" applyAlignment="1" pivotButton="0" quotePrefix="0" xfId="0">
      <alignment vertical="top" wrapText="1"/>
    </xf>
    <xf numFmtId="0" fontId="16" fillId="4" borderId="1" applyAlignment="1" pivotButton="0" quotePrefix="0" xfId="0">
      <alignment vertical="top" wrapText="1"/>
    </xf>
    <xf numFmtId="0" fontId="15" fillId="4" borderId="1" applyAlignment="1" pivotButton="0" quotePrefix="0" xfId="0">
      <alignment vertical="top" wrapText="1"/>
    </xf>
    <xf numFmtId="0" fontId="26" fillId="4" borderId="1" applyAlignment="1" pivotButton="0" quotePrefix="0" xfId="0">
      <alignment vertical="top" wrapText="1"/>
    </xf>
    <xf numFmtId="0" fontId="23" fillId="0" borderId="0" pivotButton="0" quotePrefix="0" xfId="0"/>
    <xf numFmtId="0" fontId="15" fillId="4" borderId="1" pivotButton="0" quotePrefix="0" xfId="0"/>
    <xf numFmtId="0" fontId="15" fillId="4" borderId="11" pivotButton="0" quotePrefix="0" xfId="0"/>
    <xf numFmtId="0" fontId="15" fillId="4" borderId="12" pivotButton="0" quotePrefix="0" xfId="0"/>
    <xf numFmtId="0" fontId="0" fillId="0" borderId="0" applyAlignment="1" pivotButton="0" quotePrefix="0" xfId="0">
      <alignment wrapText="1"/>
    </xf>
    <xf numFmtId="0" fontId="0" fillId="0" borderId="11" pivotButton="0" quotePrefix="0" xfId="0"/>
    <xf numFmtId="0" fontId="0" fillId="0" borderId="12" pivotButton="0" quotePrefix="0" xfId="0"/>
    <xf numFmtId="0" fontId="9" fillId="3" borderId="19" applyAlignment="1" pivotButton="0" quotePrefix="0" xfId="0">
      <alignment vertical="center"/>
    </xf>
    <xf numFmtId="0" fontId="0" fillId="0" borderId="14" pivotButton="0" quotePrefix="0" xfId="0"/>
    <xf numFmtId="0" fontId="0" fillId="0" borderId="17" pivotButton="0" quotePrefix="0" xfId="0"/>
    <xf numFmtId="0" fontId="9" fillId="3" borderId="18" applyAlignment="1" pivotButton="0" quotePrefix="0" xfId="0">
      <alignment vertical="center"/>
    </xf>
    <xf numFmtId="0" fontId="0" fillId="0" borderId="16" pivotButton="0" quotePrefix="0" xfId="0"/>
    <xf numFmtId="164" fontId="10" fillId="0" borderId="1" applyAlignment="1" pivotButton="0" quotePrefix="0" xfId="0">
      <alignment vertical="top" wrapText="1"/>
    </xf>
    <xf numFmtId="0" fontId="30" fillId="0" borderId="0" pivotButton="0" quotePrefix="0" xfId="0"/>
    <xf numFmtId="0" fontId="38" fillId="0" borderId="0" applyAlignment="1" pivotButton="0" quotePrefix="0" xfId="0">
      <alignment vertical="center" wrapText="1"/>
    </xf>
    <xf numFmtId="0" fontId="32" fillId="2" borderId="1" applyAlignment="1" pivotButton="0" quotePrefix="0" xfId="0">
      <alignment vertical="center" wrapText="1"/>
    </xf>
    <xf numFmtId="0" fontId="33" fillId="2" borderId="1" applyAlignment="1" pivotButton="0" quotePrefix="0" xfId="0">
      <alignment vertical="center" wrapText="1"/>
    </xf>
    <xf numFmtId="0" fontId="34" fillId="3" borderId="1" applyAlignment="1" pivotButton="0" quotePrefix="0" xfId="0">
      <alignment vertical="center" wrapText="1"/>
    </xf>
    <xf numFmtId="0" fontId="35" fillId="4" borderId="1" applyAlignment="1" pivotButton="0" quotePrefix="0" xfId="0">
      <alignment vertical="center" wrapText="1"/>
    </xf>
    <xf numFmtId="0" fontId="36" fillId="5" borderId="1" applyAlignment="1" pivotButton="0" quotePrefix="0" xfId="0">
      <alignment horizontal="center" vertical="center" wrapText="1"/>
    </xf>
    <xf numFmtId="0" fontId="35" fillId="0" borderId="1" applyAlignment="1" pivotButton="0" quotePrefix="0" xfId="0">
      <alignment vertical="center" wrapText="1"/>
    </xf>
    <xf numFmtId="14" fontId="35" fillId="0" borderId="1" applyAlignment="1" pivotButton="0" quotePrefix="0" xfId="0">
      <alignment vertical="center" wrapText="1"/>
    </xf>
    <xf numFmtId="164" fontId="35" fillId="0" borderId="1" applyAlignment="1" pivotButton="0" quotePrefix="0" xfId="0">
      <alignment vertical="center" wrapText="1"/>
    </xf>
    <xf numFmtId="0" fontId="37" fillId="0" borderId="1" applyAlignment="1" pivotButton="0" quotePrefix="0" xfId="0">
      <alignment vertical="center" wrapText="1"/>
    </xf>
    <xf numFmtId="0" fontId="39" fillId="0" borderId="0" applyAlignment="1" pivotButton="0" quotePrefix="0" xfId="0">
      <alignment vertical="center" wrapText="1"/>
    </xf>
    <xf numFmtId="0" fontId="40" fillId="0" borderId="0" applyAlignment="1" pivotButton="0" quotePrefix="0" xfId="0">
      <alignment vertical="center" wrapText="1"/>
    </xf>
    <xf numFmtId="0" fontId="41" fillId="0" borderId="0" applyAlignment="1" pivotButton="0" quotePrefix="0" xfId="0">
      <alignment vertical="center" wrapText="1"/>
    </xf>
    <xf numFmtId="0" fontId="34" fillId="4" borderId="1" applyAlignment="1" pivotButton="0" quotePrefix="0" xfId="0">
      <alignment vertical="center" wrapText="1"/>
    </xf>
    <xf numFmtId="0" fontId="37" fillId="0" borderId="0" applyAlignment="1" pivotButton="0" quotePrefix="0" xfId="0">
      <alignment vertical="center" wrapText="1"/>
    </xf>
    <xf numFmtId="0" fontId="45" fillId="5" borderId="1" applyAlignment="1" pivotButton="0" quotePrefix="0" xfId="0">
      <alignment horizontal="center" vertical="center" wrapText="1"/>
    </xf>
    <xf numFmtId="0" fontId="43" fillId="4" borderId="1" applyAlignment="1" pivotButton="0" quotePrefix="0" xfId="0">
      <alignment vertical="center" wrapText="1"/>
    </xf>
    <xf numFmtId="0" fontId="44" fillId="4" borderId="1" applyAlignment="1" pivotButton="0" quotePrefix="0" xfId="0">
      <alignment vertical="center" wrapText="1"/>
    </xf>
    <xf numFmtId="0" fontId="34" fillId="6" borderId="1" applyAlignment="1" pivotButton="0" quotePrefix="0" xfId="0">
      <alignment horizontal="center" vertical="center" wrapText="1"/>
    </xf>
    <xf numFmtId="0" fontId="42" fillId="0" borderId="0" applyAlignment="1" pivotButton="0" quotePrefix="0" xfId="0">
      <alignment vertical="center" wrapText="1"/>
    </xf>
    <xf numFmtId="0" fontId="34" fillId="3" borderId="19" applyAlignment="1" pivotButton="0" quotePrefix="0" xfId="0">
      <alignment vertical="center" wrapText="1"/>
    </xf>
    <xf numFmtId="0" fontId="43" fillId="4" borderId="13" applyAlignment="1" pivotButton="0" quotePrefix="0" xfId="0">
      <alignment vertical="center" wrapText="1"/>
    </xf>
    <xf numFmtId="0" fontId="34" fillId="3" borderId="18" applyAlignment="1" pivotButton="0" quotePrefix="0" xfId="0">
      <alignment vertical="center" wrapText="1"/>
    </xf>
    <xf numFmtId="0" fontId="43" fillId="4" borderId="15" applyAlignment="1" pivotButton="0" quotePrefix="0" xfId="0">
      <alignment vertical="center" wrapText="1"/>
    </xf>
    <xf numFmtId="0" fontId="46" fillId="6" borderId="1" applyAlignment="1" pivotButton="0" quotePrefix="0" xfId="0">
      <alignment horizontal="center" vertical="center" wrapText="1"/>
    </xf>
    <xf numFmtId="0" fontId="59" fillId="0" borderId="0" applyAlignment="1" pivotButton="0" quotePrefix="0" xfId="0">
      <alignment vertical="center" wrapText="1"/>
    </xf>
    <xf numFmtId="0" fontId="48" fillId="2" borderId="1" applyAlignment="1" pivotButton="0" quotePrefix="0" xfId="0">
      <alignment vertical="center" wrapText="1"/>
    </xf>
    <xf numFmtId="0" fontId="49" fillId="2" borderId="1" applyAlignment="1" pivotButton="0" quotePrefix="0" xfId="0">
      <alignment vertical="center" wrapText="1"/>
    </xf>
    <xf numFmtId="0" fontId="50" fillId="3" borderId="1" applyAlignment="1" pivotButton="0" quotePrefix="0" xfId="0">
      <alignment vertical="center" wrapText="1"/>
    </xf>
    <xf numFmtId="0" fontId="37" fillId="4" borderId="1" applyAlignment="1" pivotButton="0" quotePrefix="0" xfId="0">
      <alignment vertical="center" wrapText="1"/>
    </xf>
    <xf numFmtId="14" fontId="37" fillId="0" borderId="1" applyAlignment="1" pivotButton="0" quotePrefix="0" xfId="0">
      <alignment vertical="center" wrapText="1"/>
    </xf>
    <xf numFmtId="164" fontId="37" fillId="0" borderId="1" applyAlignment="1" pivotButton="0" quotePrefix="0" xfId="0">
      <alignment vertical="center" wrapText="1"/>
    </xf>
    <xf numFmtId="0" fontId="51" fillId="0" borderId="1" applyAlignment="1" pivotButton="0" quotePrefix="0" xfId="0">
      <alignment vertical="center" wrapText="1"/>
    </xf>
    <xf numFmtId="0" fontId="47" fillId="0" borderId="0" applyAlignment="1" pivotButton="0" quotePrefix="0" xfId="0">
      <alignment vertical="center" wrapText="1"/>
    </xf>
    <xf numFmtId="0" fontId="51" fillId="0" borderId="0" applyAlignment="1" pivotButton="0" quotePrefix="0" xfId="0">
      <alignment vertical="center" wrapText="1"/>
    </xf>
    <xf numFmtId="0" fontId="37" fillId="4" borderId="1" applyAlignment="1" pivotButton="0" quotePrefix="0" xfId="0">
      <alignment vertical="top" wrapText="1"/>
    </xf>
    <xf numFmtId="0" fontId="54" fillId="0" borderId="0" applyAlignment="1" pivotButton="0" quotePrefix="0" xfId="0">
      <alignment vertical="center" wrapText="1"/>
    </xf>
    <xf numFmtId="0" fontId="50" fillId="4" borderId="1" applyAlignment="1" pivotButton="0" quotePrefix="0" xfId="0">
      <alignment vertical="center" wrapText="1"/>
    </xf>
    <xf numFmtId="0" fontId="60" fillId="5" borderId="1" applyAlignment="1" pivotButton="0" quotePrefix="0" xfId="0">
      <alignment horizontal="center" vertical="center" wrapText="1"/>
    </xf>
    <xf numFmtId="0" fontId="55" fillId="4" borderId="1" applyAlignment="1" pivotButton="0" quotePrefix="0" xfId="0">
      <alignment vertical="top" wrapText="1"/>
    </xf>
    <xf numFmtId="0" fontId="56" fillId="4" borderId="1" applyAlignment="1" pivotButton="0" quotePrefix="0" xfId="0">
      <alignment vertical="center" wrapText="1"/>
    </xf>
    <xf numFmtId="0" fontId="37" fillId="0" borderId="1" applyAlignment="1" pivotButton="0" quotePrefix="0" xfId="0">
      <alignment vertical="top" wrapText="1"/>
    </xf>
    <xf numFmtId="0" fontId="50" fillId="6" borderId="1" applyAlignment="1" pivotButton="0" quotePrefix="0" xfId="0">
      <alignment horizontal="center" vertical="center" wrapText="1"/>
    </xf>
    <xf numFmtId="0" fontId="57" fillId="0" borderId="0" applyAlignment="1" pivotButton="0" quotePrefix="0" xfId="0">
      <alignment vertical="center" wrapText="1"/>
    </xf>
    <xf numFmtId="0" fontId="50" fillId="3" borderId="19" applyAlignment="1" pivotButton="0" quotePrefix="0" xfId="0">
      <alignment vertical="center" wrapText="1"/>
    </xf>
    <xf numFmtId="0" fontId="55" fillId="4" borderId="13" applyAlignment="1" pivotButton="0" quotePrefix="0" xfId="0">
      <alignment vertical="center" wrapText="1"/>
    </xf>
    <xf numFmtId="0" fontId="50" fillId="3" borderId="18" applyAlignment="1" pivotButton="0" quotePrefix="0" xfId="0">
      <alignment vertical="center" wrapText="1"/>
    </xf>
    <xf numFmtId="0" fontId="55" fillId="4" borderId="15" applyAlignment="1" pivotButton="0" quotePrefix="0" xfId="0">
      <alignment vertical="center" wrapText="1"/>
    </xf>
    <xf numFmtId="0" fontId="55" fillId="4" borderId="1" applyAlignment="1" pivotButton="0" quotePrefix="0" xfId="0">
      <alignment vertical="center" wrapText="1"/>
    </xf>
    <xf numFmtId="0" fontId="58" fillId="6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vertical="top" wrapText="1"/>
    </xf>
    <xf numFmtId="165" fontId="10" fillId="0" borderId="1" applyAlignment="1" pivotButton="0" quotePrefix="0" xfId="0">
      <alignment vertical="top" wrapText="1"/>
    </xf>
    <xf numFmtId="165" fontId="0" fillId="0" borderId="0" pivotButton="0" quotePrefix="0" xfId="0"/>
    <xf numFmtId="0" fontId="61" fillId="0" borderId="0" pivotButton="0" quotePrefix="0" xfId="0"/>
    <xf numFmtId="0" fontId="62" fillId="7" borderId="20" applyAlignment="1" pivotButton="0" quotePrefix="0" xfId="0">
      <alignment vertical="center" wrapText="1"/>
    </xf>
    <xf numFmtId="0" fontId="0" fillId="0" borderId="20" applyAlignment="1" pivotButton="0" quotePrefix="0" xfId="0">
      <alignment vertical="top" wrapText="1"/>
    </xf>
    <xf numFmtId="0" fontId="0" fillId="8" borderId="20" applyAlignment="1" pivotButton="0" quotePrefix="0" xfId="0">
      <alignment vertical="top" wrapText="1"/>
    </xf>
    <xf numFmtId="0" fontId="63" fillId="0" borderId="0" pivotButton="0" quotePrefix="0" xfId="0"/>
    <xf numFmtId="0" fontId="62" fillId="0" borderId="0" pivotButton="0" quotePrefix="0" xfId="0"/>
    <xf numFmtId="0" fontId="62" fillId="7" borderId="0" pivotButton="0" quotePrefix="0" xfId="0"/>
    <xf numFmtId="0" fontId="0" fillId="8" borderId="0" pivotButton="0" quotePrefix="0" xfId="0"/>
    <xf numFmtId="0" fontId="64" fillId="0" borderId="0" pivotButton="0" quotePrefix="0" xfId="0"/>
    <xf numFmtId="0" fontId="0" fillId="9" borderId="20" applyAlignment="1" pivotButton="0" quotePrefix="0" xfId="0">
      <alignment vertical="top" wrapText="1"/>
    </xf>
    <xf numFmtId="0" fontId="65" fillId="0" borderId="0" pivotButton="0" quotePrefix="0" xfId="0"/>
    <xf numFmtId="0" fontId="66" fillId="10" borderId="1" pivotButton="0" quotePrefix="0" xfId="0"/>
    <xf numFmtId="0" fontId="67" fillId="11" borderId="1" applyAlignment="1" pivotButton="0" quotePrefix="0" xfId="0">
      <alignment vertical="center"/>
    </xf>
    <xf numFmtId="0" fontId="68" fillId="0" borderId="1" pivotButton="0" quotePrefix="0" xfId="0"/>
    <xf numFmtId="0" fontId="69" fillId="12" borderId="1" applyAlignment="1" pivotButton="0" quotePrefix="0" xfId="0">
      <alignment horizontal="center" vertical="center" wrapText="1"/>
    </xf>
    <xf numFmtId="0" fontId="68" fillId="0" borderId="1" applyAlignment="1" pivotButton="0" quotePrefix="0" xfId="0">
      <alignment vertical="top" wrapText="1"/>
    </xf>
    <xf numFmtId="14" fontId="68" fillId="0" borderId="1" applyAlignment="1" pivotButton="0" quotePrefix="0" xfId="0">
      <alignment vertical="top" wrapText="1"/>
    </xf>
    <xf numFmtId="165" fontId="68" fillId="0" borderId="1" applyAlignment="1" pivotButton="0" quotePrefix="0" xfId="0">
      <alignment vertical="top" wrapText="1"/>
    </xf>
    <xf numFmtId="0" fontId="68" fillId="0" borderId="0" pivotButton="0" quotePrefix="0" xfId="0"/>
    <xf numFmtId="165" fontId="68" fillId="0" borderId="0" pivotButton="0" quotePrefix="0" xfId="0"/>
    <xf numFmtId="0" fontId="68" fillId="13" borderId="1" pivotButton="0" quotePrefix="0" xfId="0"/>
    <xf numFmtId="0" fontId="68" fillId="13" borderId="1" applyAlignment="1" pivotButton="0" quotePrefix="0" xfId="0">
      <alignment vertical="top" wrapText="1"/>
    </xf>
    <xf numFmtId="0" fontId="70" fillId="0" borderId="0" pivotButton="0" quotePrefix="0" xfId="0"/>
    <xf numFmtId="0" fontId="71" fillId="0" borderId="0" pivotButton="0" quotePrefix="0" xfId="0"/>
    <xf numFmtId="0" fontId="71" fillId="13" borderId="1" pivotButton="0" quotePrefix="0" xfId="0"/>
    <xf numFmtId="0" fontId="71" fillId="13" borderId="1" applyAlignment="1" pivotButton="0" quotePrefix="0" xfId="0">
      <alignment vertical="top" wrapText="1"/>
    </xf>
    <xf numFmtId="0" fontId="72" fillId="0" borderId="0" pivotButton="0" quotePrefix="0" xfId="0"/>
    <xf numFmtId="0" fontId="71" fillId="8" borderId="0" pivotButton="0" quotePrefix="0" xfId="0"/>
    <xf numFmtId="0" fontId="71" fillId="0" borderId="1" applyAlignment="1" pivotButton="0" quotePrefix="0" xfId="0">
      <alignment vertical="top" wrapText="1"/>
    </xf>
    <xf numFmtId="0" fontId="66" fillId="10" borderId="0" pivotButton="0" quotePrefix="0" xfId="0"/>
    <xf numFmtId="0" fontId="72" fillId="0" borderId="0" applyAlignment="1" pivotButton="0" quotePrefix="0" xfId="0">
      <alignment wrapText="1"/>
    </xf>
    <xf numFmtId="0" fontId="71" fillId="7" borderId="20" applyAlignment="1" pivotButton="0" quotePrefix="0" xfId="0">
      <alignment vertical="center" wrapText="1"/>
    </xf>
    <xf numFmtId="0" fontId="71" fillId="0" borderId="20" applyAlignment="1" pivotButton="0" quotePrefix="0" xfId="0">
      <alignment vertical="top" wrapText="1"/>
    </xf>
    <xf numFmtId="0" fontId="71" fillId="9" borderId="20" applyAlignment="1" pivotButton="0" quotePrefix="0" xfId="0">
      <alignment vertical="top" wrapText="1"/>
    </xf>
    <xf numFmtId="0" fontId="67" fillId="11" borderId="19" applyAlignment="1" pivotButton="0" quotePrefix="0" xfId="0">
      <alignment vertical="center"/>
    </xf>
    <xf numFmtId="0" fontId="71" fillId="13" borderId="13" pivotButton="0" quotePrefix="0" xfId="0"/>
    <xf numFmtId="0" fontId="67" fillId="11" borderId="18" applyAlignment="1" pivotButton="0" quotePrefix="0" xfId="0">
      <alignment vertical="center"/>
    </xf>
    <xf numFmtId="0" fontId="71" fillId="13" borderId="15" pivotButton="0" quotePrefix="0" xfId="0"/>
    <xf numFmtId="164" fontId="71" fillId="13" borderId="1" applyAlignment="1" pivotButton="0" quotePrefix="0" xfId="0">
      <alignment vertical="top" wrapText="1"/>
    </xf>
    <xf numFmtId="0" fontId="71" fillId="6" borderId="1" applyAlignment="1" pivotButton="0" quotePrefix="0" xfId="0">
      <alignment horizontal="center" vertical="center"/>
    </xf>
    <xf numFmtId="0" fontId="71" fillId="7" borderId="0" pivotButton="0" quotePrefix="0" xfId="0"/>
    <xf numFmtId="0" fontId="65" fillId="0" borderId="21" applyAlignment="1" pivotButton="0" quotePrefix="0" xfId="0">
      <alignment vertical="center"/>
    </xf>
    <xf numFmtId="0" fontId="66" fillId="10" borderId="22" applyAlignment="1" pivotButton="0" quotePrefix="0" xfId="0">
      <alignment vertical="center" wrapText="1"/>
    </xf>
    <xf numFmtId="0" fontId="68" fillId="11" borderId="22" applyAlignment="1" pivotButton="0" quotePrefix="0" xfId="0">
      <alignment vertical="top" wrapText="1"/>
    </xf>
    <xf numFmtId="0" fontId="68" fillId="12" borderId="22" applyAlignment="1" pivotButton="0" quotePrefix="0" xfId="0">
      <alignment vertical="top" wrapText="1"/>
    </xf>
    <xf numFmtId="0" fontId="68" fillId="0" borderId="0" applyAlignment="1" pivotButton="0" quotePrefix="0" xfId="0">
      <alignment vertical="top" wrapText="1"/>
    </xf>
    <xf numFmtId="165" fontId="68" fillId="0" borderId="0" applyAlignment="1" pivotButton="0" quotePrefix="0" xfId="0">
      <alignment vertical="top" wrapText="1"/>
    </xf>
    <xf numFmtId="0" fontId="68" fillId="13" borderId="22" applyAlignment="1" pivotButton="0" quotePrefix="0" xfId="0">
      <alignment vertical="top" wrapText="1"/>
    </xf>
    <xf numFmtId="0" fontId="73" fillId="0" borderId="0" applyAlignment="1" pivotButton="0" quotePrefix="0" xfId="0">
      <alignment vertical="center"/>
    </xf>
    <xf numFmtId="0" fontId="66" fillId="10" borderId="22" pivotButton="0" quotePrefix="0" xfId="0"/>
    <xf numFmtId="0" fontId="0" fillId="10" borderId="22" pivotButton="0" quotePrefix="0" xfId="0"/>
    <xf numFmtId="0" fontId="69" fillId="12" borderId="23" applyAlignment="1" pivotButton="0" quotePrefix="0" xfId="0">
      <alignment horizontal="center" vertical="center" wrapText="1"/>
    </xf>
    <xf numFmtId="0" fontId="71" fillId="13" borderId="22" applyAlignment="1" pivotButton="0" quotePrefix="0" xfId="0">
      <alignment vertical="top" wrapText="1"/>
    </xf>
    <xf numFmtId="0" fontId="71" fillId="0" borderId="0" applyAlignment="1" pivotButton="0" quotePrefix="0" xfId="0">
      <alignment vertical="top" wrapText="1"/>
    </xf>
    <xf numFmtId="0" fontId="71" fillId="11" borderId="22" applyAlignment="1" pivotButton="0" quotePrefix="0" xfId="0">
      <alignment vertical="top" wrapText="1"/>
    </xf>
    <xf numFmtId="0" fontId="71" fillId="12" borderId="22" applyAlignment="1" pivotButton="0" quotePrefix="0" xfId="0">
      <alignment vertical="top" wrapText="1"/>
    </xf>
    <xf numFmtId="0" fontId="72" fillId="0" borderId="0" applyAlignment="1" pivotButton="0" quotePrefix="0" xfId="0">
      <alignment vertical="top" wrapText="1"/>
    </xf>
    <xf numFmtId="0" fontId="71" fillId="8" borderId="22" applyAlignment="1" pivotButton="0" quotePrefix="0" xfId="0">
      <alignment vertical="top" wrapText="1"/>
    </xf>
    <xf numFmtId="0" fontId="71" fillId="7" borderId="22" applyAlignment="1" pivotButton="0" quotePrefix="0" xfId="0">
      <alignment vertical="top" wrapText="1"/>
    </xf>
    <xf numFmtId="0" fontId="71" fillId="9" borderId="22" applyAlignment="1" pivotButton="0" quotePrefix="0" xfId="0">
      <alignment vertical="top" wrapText="1"/>
    </xf>
    <xf numFmtId="164" fontId="71" fillId="13" borderId="22" applyAlignment="1" pivotButton="0" quotePrefix="0" xfId="0">
      <alignment vertical="top" wrapText="1"/>
    </xf>
    <xf numFmtId="0" fontId="71" fillId="6" borderId="22" applyAlignment="1" pivotButton="0" quotePrefix="0" xfId="0">
      <alignment vertical="top" wrapText="1"/>
    </xf>
    <xf numFmtId="0" fontId="71" fillId="7" borderId="0" applyAlignment="1" pivotButton="0" quotePrefix="0" xfId="0">
      <alignment vertical="top" wrapText="1"/>
    </xf>
    <xf numFmtId="0" fontId="71" fillId="8" borderId="0" applyAlignment="1" pivotButton="0" quotePrefix="0" xfId="0">
      <alignment vertical="top" wrapText="1"/>
    </xf>
    <xf numFmtId="0" fontId="0" fillId="0" borderId="26" pivotButton="0" quotePrefix="0" xfId="0"/>
    <xf numFmtId="0" fontId="0" fillId="0" borderId="27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DE7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</row>
      <rowOff>0</rowOff>
    </from>
    <ext cx="8753475" cy="5153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1"/>
  <sheetViews>
    <sheetView showGridLines="0" zoomScaleNormal="100" zoomScalePageLayoutView="80" workbookViewId="0">
      <selection activeCell="H18" sqref="H18"/>
    </sheetView>
  </sheetViews>
  <sheetFormatPr baseColWidth="8" defaultColWidth="8.6640625" defaultRowHeight="14.4"/>
  <cols>
    <col width="2" customWidth="1" min="1" max="1"/>
    <col width="18" customWidth="1" min="2" max="2"/>
    <col width="22" customWidth="1" min="3" max="3"/>
    <col width="16" customWidth="1" min="4" max="5"/>
    <col width="28" customWidth="1" min="5" max="5"/>
    <col width="14" customWidth="1" min="6" max="6"/>
    <col width="14" customWidth="1" min="7" max="8"/>
  </cols>
  <sheetData>
    <row r="1" ht="24" customHeight="1">
      <c r="B1" s="161" t="inlineStr">
        <is>
          <t>IF詳細設計書</t>
        </is>
      </c>
    </row>
    <row r="2" ht="18" customHeight="1"/>
    <row r="3" ht="18" customHeight="1"/>
    <row r="4" ht="22" customHeight="1">
      <c r="B4" s="162" t="inlineStr">
        <is>
          <t>■ 基本情報</t>
        </is>
      </c>
      <c r="C4" s="131" t="n"/>
      <c r="D4" s="131" t="n"/>
      <c r="E4" s="131" t="n"/>
      <c r="F4" s="131" t="n"/>
    </row>
    <row r="5" ht="19.5" customHeight="1">
      <c r="B5" s="163" t="inlineStr">
        <is>
          <t>IF名称</t>
        </is>
      </c>
      <c r="C5" s="135" t="inlineStr">
        <is>
          <t>発注勧告(翌日以降分)</t>
        </is>
      </c>
      <c r="D5" s="58" t="n"/>
      <c r="E5" s="58" t="n"/>
      <c r="F5" s="59" t="n"/>
    </row>
    <row r="6" ht="19.5" customHeight="1">
      <c r="B6" s="163" t="inlineStr">
        <is>
          <t>対象課題</t>
        </is>
      </c>
      <c r="C6" s="135" t="inlineStr">
        <is>
          <t>自動補充Sinops系</t>
        </is>
      </c>
      <c r="D6" s="58" t="n"/>
      <c r="E6" s="58" t="n"/>
      <c r="F6" s="59" t="n"/>
    </row>
    <row r="7" ht="19.5" customHeight="1">
      <c r="B7" s="163" t="inlineStr">
        <is>
          <t>連携方向</t>
        </is>
      </c>
      <c r="C7" s="135" t="inlineStr">
        <is>
          <t>Sinops → TRIAL（連携用GCS経由。着地は自動発注GCS→既存転送→OrdreSV）</t>
        </is>
      </c>
      <c r="D7" s="58" t="n"/>
      <c r="E7" s="58" t="n"/>
      <c r="F7" s="59" t="n"/>
    </row>
    <row r="8" ht="19.5" customHeight="1">
      <c r="B8" s="163" t="inlineStr">
        <is>
          <t>対象レイヤー</t>
        </is>
      </c>
      <c r="C8" s="135" t="inlineStr">
        <is>
          <t>Layer① / Layer③（Layer② 対象外）</t>
        </is>
      </c>
      <c r="D8" s="58" t="n"/>
      <c r="E8" s="58" t="n"/>
      <c r="F8" s="59" t="n"/>
    </row>
    <row r="9" ht="19.5" customHeight="1">
      <c r="B9" s="163" t="inlineStr">
        <is>
          <t>担当者</t>
        </is>
      </c>
      <c r="C9" s="135" t="inlineStr">
        <is>
          <t>臧鵬仕</t>
        </is>
      </c>
      <c r="D9" s="58" t="n"/>
      <c r="E9" s="58" t="n"/>
      <c r="F9" s="59" t="n"/>
    </row>
    <row r="10" ht="19.5" customHeight="1">
      <c r="B10" s="163" t="inlineStr">
        <is>
          <t>レビュー者</t>
        </is>
      </c>
      <c r="C10" s="32" t="inlineStr">
        <is>
          <t>岩瀬、波多野</t>
        </is>
      </c>
      <c r="D10" s="58" t="n"/>
      <c r="E10" s="58" t="n"/>
      <c r="F10" s="59" t="n"/>
    </row>
    <row r="11" ht="19.5" customHeight="1">
      <c r="B11" s="163" t="inlineStr">
        <is>
          <t>承認者</t>
        </is>
      </c>
      <c r="C11" s="32" t="inlineStr">
        <is>
          <t>岩瀬</t>
        </is>
      </c>
      <c r="D11" s="58" t="n"/>
      <c r="E11" s="58" t="n"/>
      <c r="F11" s="59" t="n"/>
    </row>
    <row r="12" ht="19.5" customHeight="1"/>
    <row r="13" ht="22" customHeight="1">
      <c r="B13" s="162" t="inlineStr">
        <is>
          <t>■ 改訂履歴</t>
        </is>
      </c>
      <c r="C13" s="131" t="n"/>
      <c r="D13" s="131" t="n"/>
      <c r="E13" s="131" t="n"/>
      <c r="F13" s="131" t="n"/>
      <c r="G13" s="131" t="n"/>
    </row>
    <row r="14" ht="24" customHeight="1">
      <c r="B14" s="171" t="inlineStr">
        <is>
          <t>版数</t>
        </is>
      </c>
      <c r="C14" s="171" t="inlineStr">
        <is>
          <t>改訂日</t>
        </is>
      </c>
      <c r="D14" s="171" t="inlineStr">
        <is>
          <t>改訂者</t>
        </is>
      </c>
      <c r="E14" s="171" t="inlineStr">
        <is>
          <t>改訂内容</t>
        </is>
      </c>
      <c r="F14" s="171" t="inlineStr">
        <is>
          <t>承認者</t>
        </is>
      </c>
      <c r="G14" s="171" t="inlineStr">
        <is>
          <t>承認日</t>
        </is>
      </c>
    </row>
    <row r="15" ht="30" customHeight="1">
      <c r="B15" s="135" t="inlineStr">
        <is>
          <t>0.1</t>
        </is>
      </c>
      <c r="C15" s="136" t="n">
        <v>46283</v>
      </c>
      <c r="D15" s="135" t="inlineStr">
        <is>
          <t>臧鵬仕</t>
        </is>
      </c>
      <c r="E15" s="135" t="inlineStr">
        <is>
          <t>Sinops-24 を複製。経路・7項目・Ordertype は同一。未レビュー</t>
        </is>
      </c>
      <c r="F15" s="26" t="n"/>
      <c r="G15" s="23" t="n"/>
    </row>
    <row r="16" ht="30" customHeight="1">
      <c r="B16" s="135" t="inlineStr">
        <is>
          <t>0.2</t>
        </is>
      </c>
      <c r="C16" s="136" t="n">
        <v>46283</v>
      </c>
      <c r="D16" s="135" t="inlineStr">
        <is>
          <t>臧鵬仕</t>
        </is>
      </c>
      <c r="E16" s="135" t="inlineStr">
        <is>
          <t>使用区分：障害時、または当日(24)が指定時刻（例6:00）までに未作成のとき、昨日作成分で代替。後勝ちしない</t>
        </is>
      </c>
      <c r="F16" s="26" t="n"/>
      <c r="G16" s="23" t="n"/>
    </row>
    <row r="17" ht="30" customHeight="1">
      <c r="B17" s="135" t="inlineStr">
        <is>
          <t>0.3</t>
        </is>
      </c>
      <c r="C17" s="136" t="n">
        <v>46283</v>
      </c>
      <c r="D17" s="135" t="inlineStr">
        <is>
          <t>臧鵬仕</t>
        </is>
      </c>
      <c r="E17" s="135" t="inlineStr">
        <is>
          <t>Layer① は 24 と共通 1 ジョブ（本ブックの 02 は同一設計）。Data Flow を共通図に更新</t>
        </is>
      </c>
      <c r="F17" s="26" t="n"/>
      <c r="G17" s="23" t="n"/>
    </row>
    <row r="18" ht="30" customHeight="1">
      <c r="B18" s="135" t="inlineStr">
        <is>
          <t>0.4</t>
        </is>
      </c>
      <c r="C18" s="136" t="n">
        <v>46283</v>
      </c>
      <c r="D18" s="135" t="inlineStr">
        <is>
          <t>臧鵬仕</t>
        </is>
      </c>
      <c r="E18" s="135" t="inlineStr">
        <is>
          <t>数量：SIREJAN_RCMDORDER_LAST は×1000しない。発注単位の整数倍であれば可（丸めない）</t>
        </is>
      </c>
      <c r="F18" s="26" t="n"/>
      <c r="G18" s="23" t="n"/>
    </row>
    <row r="19" ht="30" customHeight="1">
      <c r="B19" s="135" t="inlineStr">
        <is>
          <t>0.5</t>
        </is>
      </c>
      <c r="C19" s="136" t="n">
        <v>46283</v>
      </c>
      <c r="D19" s="135" t="inlineStr">
        <is>
          <t>臧鵬仕</t>
        </is>
      </c>
      <c r="E19" s="135" t="inlineStr">
        <is>
          <t>Data Flow：採用ファイルの選択は Layer① IFクラウド機上のみ。Layer③は毎日2ファイルを出すだけ</t>
        </is>
      </c>
      <c r="F19" s="26" t="n"/>
      <c r="G19" s="23" t="n"/>
    </row>
    <row r="20" ht="30" customHeight="1">
      <c r="B20" s="135" t="inlineStr">
        <is>
          <t>0.6</t>
        </is>
      </c>
      <c r="C20" s="136" t="n">
        <v>46285</v>
      </c>
      <c r="D20" s="135" t="inlineStr">
        <is>
          <t>臧鵬仕</t>
        </is>
      </c>
      <c r="E20" s="135" t="inlineStr">
        <is>
          <t>Ordertype：部門CDは勧告ファイルの西友中分類（西友ライン）。TRIAL商品マスタは参照しない</t>
        </is>
      </c>
      <c r="F20" s="26" t="n"/>
      <c r="G20" s="23" t="n"/>
    </row>
    <row r="21" ht="21.75" customHeight="1">
      <c r="B21" s="135" t="inlineStr">
        <is>
          <t>0.7</t>
        </is>
      </c>
      <c r="C21" s="136" t="n">
        <v>46285</v>
      </c>
      <c r="D21" s="135" t="inlineStr">
        <is>
          <t>臧鵬仕</t>
        </is>
      </c>
      <c r="E21" s="135" t="inlineStr">
        <is>
          <t>店CD・商品の紐付けは西友（Sinops）とTRIALのマスタ統合で解決。本IFは独自変換しない</t>
        </is>
      </c>
      <c r="F21" s="26" t="n"/>
      <c r="G21" s="23" t="n"/>
    </row>
    <row r="22" ht="21.75" customHeight="1">
      <c r="B22" s="135" t="inlineStr">
        <is>
          <t>0.8</t>
        </is>
      </c>
      <c r="C22" s="136" t="n">
        <v>46285</v>
      </c>
      <c r="D22" s="135" t="inlineStr">
        <is>
          <t>臧鵬仕</t>
        </is>
      </c>
      <c r="E22" s="135" t="inlineStr">
        <is>
          <t>仕入先マスタも統合作業。本IFは9→8の独自変換をしない</t>
        </is>
      </c>
      <c r="F22" s="26" t="n"/>
      <c r="G22" s="23" t="n"/>
    </row>
    <row r="23" ht="21.75" customHeight="1">
      <c r="B23" s="135" t="inlineStr">
        <is>
          <t>0.9</t>
        </is>
      </c>
      <c r="C23" s="137" t="n">
        <v>46286</v>
      </c>
      <c r="D23" s="135" t="inlineStr">
        <is>
          <t>臧鵬仕</t>
        </is>
      </c>
      <c r="E23" s="135" t="inlineStr">
        <is>
          <t>表紙から IF No. 行を削除（成果物に IF No. を載せない）</t>
        </is>
      </c>
      <c r="F23" s="10" t="n"/>
      <c r="G23" s="10" t="n"/>
    </row>
    <row r="24" ht="30" customHeight="1">
      <c r="B24" s="165" t="inlineStr">
        <is>
          <t>0.10</t>
        </is>
      </c>
      <c r="C24" s="166" t="n">
        <v>46286</v>
      </c>
      <c r="D24" s="165" t="inlineStr">
        <is>
          <t>臧鵬仕</t>
        </is>
      </c>
      <c r="E24" s="165" t="inlineStr">
        <is>
          <t>Data Flow にノード定義を追加（Server名／IP／テーブル／ファイル）。未確定は TBD-DF-xx</t>
        </is>
      </c>
    </row>
    <row r="25" ht="21.75" customHeight="1">
      <c r="B25" s="165" t="inlineStr">
        <is>
          <t>0.11</t>
        </is>
      </c>
      <c r="C25" s="166" t="n">
        <v>46286</v>
      </c>
      <c r="D25" s="165" t="inlineStr">
        <is>
          <t>臧鵬仕</t>
        </is>
      </c>
      <c r="E25" s="165" t="inlineStr">
        <is>
          <t>DSSは全フィールド通過；型変換・フィールド選別はLayer①（方針凍結）</t>
        </is>
      </c>
    </row>
    <row r="26" ht="21.75" customHeight="1">
      <c r="B26" s="165" t="inlineStr">
        <is>
          <t>0.12</t>
        </is>
      </c>
      <c r="C26" s="166" t="n">
        <v>46286</v>
      </c>
      <c r="D26" s="165" t="inlineStr">
        <is>
          <t>臧鵬仕</t>
        </is>
      </c>
      <c r="E26" s="165" t="inlineStr">
        <is>
          <t>05_項目マッピングを L①／L②／L③ に分割（DSSは全項目通過、変換はL①）</t>
        </is>
      </c>
    </row>
    <row r="27" ht="30" customHeight="1">
      <c r="B27" s="165" t="inlineStr">
        <is>
          <t>0.13</t>
        </is>
      </c>
      <c r="C27" s="166" t="n">
        <v>46286</v>
      </c>
      <c r="D27" s="165" t="inlineStr">
        <is>
          <t>臧鵬仕</t>
        </is>
      </c>
      <c r="E27" s="165" t="inlineStr">
        <is>
          <t>GCS物理名は末尾 _YYYYMMDDhhmmss（連携用・自動発注とも）。Data Flow図も更新。TBD-04 方針確定</t>
        </is>
      </c>
    </row>
    <row r="28" ht="18" customHeight="1">
      <c r="B28" s="165" t="inlineStr">
        <is>
          <t>0.14</t>
        </is>
      </c>
      <c r="C28" s="166" t="n">
        <v>46311</v>
      </c>
      <c r="D28" s="165" t="inlineStr">
        <is>
          <t>臧鵬仕</t>
        </is>
      </c>
      <c r="E28" s="165" t="inlineStr">
        <is>
          <t>西友GCS上は gz。完了印は空の機能名.end。自動発注GCSは gz ではない</t>
        </is>
      </c>
      <c r="F28" s="10" t="n"/>
      <c r="G28" s="10" t="n"/>
    </row>
    <row r="29" ht="18" customHeight="1"/>
    <row r="30" ht="42" customHeight="1">
      <c r="B30" s="165" t="n"/>
    </row>
    <row r="31" ht="30" customHeight="1">
      <c r="B31" s="165" t="n"/>
    </row>
  </sheetData>
  <mergeCells count="8">
    <mergeCell ref="C9:F9"/>
    <mergeCell ref="C8:F8"/>
    <mergeCell ref="C12:F12"/>
    <mergeCell ref="C6:F6"/>
    <mergeCell ref="C7:F7"/>
    <mergeCell ref="C11:F11"/>
    <mergeCell ref="C10:F10"/>
    <mergeCell ref="C5:F5"/>
  </mergeCell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2.xml><?xml version="1.0" encoding="utf-8"?>
<worksheet xmlns="http://schemas.openxmlformats.org/spreadsheetml/2006/main">
  <sheetPr>
    <tabColor theme="1" tint="0.0499893185216834"/>
    <outlinePr summaryBelow="1" summaryRight="1"/>
    <pageSetUpPr/>
  </sheetPr>
  <dimension ref="B1:F25"/>
  <sheetViews>
    <sheetView showGridLines="0" tabSelected="1" zoomScaleNormal="100" zoomScalePageLayoutView="80" workbookViewId="0">
      <selection activeCell="C22" sqref="C22"/>
    </sheetView>
  </sheetViews>
  <sheetFormatPr baseColWidth="8" defaultColWidth="8.6640625" defaultRowHeight="14.4"/>
  <cols>
    <col width="2" customWidth="1" min="1" max="1"/>
    <col width="18" customWidth="1" min="2" max="2"/>
    <col width="28" customWidth="1" min="3" max="3"/>
    <col width="14" customWidth="1" min="4" max="4"/>
    <col width="36" customWidth="1" min="5" max="5"/>
    <col width="22" customWidth="1" min="6" max="6"/>
    <col width="18" customWidth="1" min="7" max="7"/>
  </cols>
  <sheetData>
    <row r="1" ht="24" customHeight="1">
      <c r="B1" s="161" t="inlineStr">
        <is>
          <t>1. IF概要</t>
        </is>
      </c>
    </row>
    <row r="2" ht="42" customHeight="1">
      <c r="B2" s="165" t="inlineStr">
        <is>
          <t>Layer③ は当日・翌日以降を毎日出力。Layer① は 24/25 共通 1 ジョブで 1 本を採用（判定は 02 STEP20）</t>
        </is>
      </c>
    </row>
    <row r="3" ht="18" customHeight="1"/>
    <row r="4" ht="22" customHeight="1">
      <c r="B4" s="162" t="inlineStr">
        <is>
          <t>■ 連携条件</t>
        </is>
      </c>
      <c r="C4" s="131" t="n"/>
      <c r="D4" s="131" t="n"/>
      <c r="E4" s="131" t="n"/>
    </row>
    <row r="5" ht="19.5" customHeight="1">
      <c r="B5" s="163" t="inlineStr">
        <is>
          <t>送信元システム</t>
        </is>
      </c>
      <c r="C5" s="167" t="inlineStr">
        <is>
          <t>Sinops（西友自動補充）</t>
        </is>
      </c>
      <c r="D5" s="184" t="n"/>
      <c r="E5" s="185" t="n"/>
    </row>
    <row r="6" ht="19.5" customHeight="1">
      <c r="B6" s="163" t="inlineStr">
        <is>
          <t>受信先システム</t>
        </is>
      </c>
      <c r="C6" s="167" t="inlineStr">
        <is>
          <t>TRIAL 自動発注 GCS（以降の OrdreSV は既存転送。本IFの範囲外）</t>
        </is>
      </c>
      <c r="D6" s="184" t="n"/>
      <c r="E6" s="185" t="n"/>
    </row>
    <row r="7" ht="19.5" customHeight="1">
      <c r="B7" s="163" t="inlineStr">
        <is>
          <t>連携方式</t>
        </is>
      </c>
      <c r="C7" s="167" t="inlineStr">
        <is>
          <t>ファイル連携</t>
        </is>
      </c>
      <c r="D7" s="184" t="n"/>
      <c r="E7" s="185" t="n"/>
    </row>
    <row r="8" ht="19.5" customHeight="1">
      <c r="B8" s="163" t="inlineStr">
        <is>
          <t>連携頻度</t>
        </is>
      </c>
      <c r="C8" s="167" t="inlineStr">
        <is>
          <t>日次</t>
        </is>
      </c>
      <c r="D8" s="184" t="n"/>
      <c r="E8" s="185" t="n"/>
    </row>
    <row r="9" ht="19.5" customHeight="1">
      <c r="B9" s="163" t="inlineStr">
        <is>
          <t>連携タイミング</t>
        </is>
      </c>
      <c r="C9" s="167" t="inlineStr">
        <is>
          <t>勧告計算後（TBD-02）。Layer① の採用判定締切は TBD-19（例 6:00）</t>
        </is>
      </c>
      <c r="D9" s="184" t="n"/>
      <c r="E9" s="185" t="n"/>
    </row>
    <row r="10" ht="19.5" customHeight="1">
      <c r="B10" s="163" t="inlineStr">
        <is>
          <t>処理窓</t>
        </is>
      </c>
      <c r="C10" s="167" t="inlineStr">
        <is>
          <t>TBD-02</t>
        </is>
      </c>
      <c r="D10" s="184" t="n"/>
      <c r="E10" s="185" t="n"/>
    </row>
    <row r="11" ht="19.5" customHeight="1">
      <c r="B11" s="163" t="inlineStr">
        <is>
          <t>想定件数</t>
        </is>
      </c>
      <c r="C11" s="167" t="inlineStr">
        <is>
          <t>TBD-14</t>
        </is>
      </c>
      <c r="D11" s="184" t="n"/>
      <c r="E11" s="185" t="n"/>
    </row>
    <row r="12" ht="19.5" customHeight="1">
      <c r="B12" s="163" t="inlineStr">
        <is>
          <t>想定データ量</t>
        </is>
      </c>
      <c r="C12" s="167" t="inlineStr">
        <is>
          <t>TBD-14</t>
        </is>
      </c>
      <c r="D12" s="184" t="n"/>
      <c r="E12" s="185" t="n"/>
    </row>
    <row r="13" ht="19.5" customHeight="1">
      <c r="B13" s="163" t="inlineStr">
        <is>
          <t>リラン可否</t>
        </is>
      </c>
      <c r="C13" s="167" t="inlineStr">
        <is>
          <t>可（TBD-03）。Layer① は共通 1 ジョブ。当日未作成時は昨日の翌日以降を採用</t>
        </is>
      </c>
      <c r="D13" s="184" t="n"/>
      <c r="E13" s="185" t="n"/>
    </row>
    <row r="14" ht="18" customHeight="1"/>
    <row r="15" ht="22" customHeight="1">
      <c r="B15" s="162" t="inlineStr">
        <is>
          <t>■ レイヤー別スコープ</t>
        </is>
      </c>
      <c r="C15" s="131" t="n"/>
      <c r="D15" s="131" t="n"/>
      <c r="E15" s="131" t="n"/>
      <c r="F15" s="131" t="n"/>
    </row>
    <row r="16" ht="24" customHeight="1">
      <c r="B16" s="171" t="inlineStr">
        <is>
          <t>レイヤー</t>
        </is>
      </c>
      <c r="C16" s="171" t="inlineStr">
        <is>
          <t>範囲</t>
        </is>
      </c>
      <c r="D16" s="171" t="inlineStr">
        <is>
          <t>変換有無</t>
        </is>
      </c>
      <c r="E16" s="171" t="inlineStr">
        <is>
          <t>処理概要</t>
        </is>
      </c>
      <c r="F16" s="171" t="inlineStr">
        <is>
          <t>使用技術</t>
        </is>
      </c>
    </row>
    <row r="17" ht="42" customHeight="1">
      <c r="B17" s="167" t="inlineStr">
        <is>
          <t>Layer①</t>
        </is>
      </c>
      <c r="C17" s="167" t="inlineStr">
        <is>
          <t>連携用GCS → クラウド機（24/25 共通 1 ジョブ）→ 自動発注GCS</t>
        </is>
      </c>
      <c r="D17" s="167" t="inlineStr">
        <is>
          <t>有</t>
        </is>
      </c>
      <c r="E17" s="167" t="inlineStr">
        <is>
          <t>当日と昨日の翌日以降をプル。1 本を発注IFへ変換し、自動発注GCSへ SIREJAN_RCMDORDER_LAST_YYYYMMDDhhmmss</t>
        </is>
      </c>
      <c r="F17" s="167" t="inlineStr">
        <is>
          <t>外部IFプログラム（SCM連携クラウド機。24/25 共通）</t>
        </is>
      </c>
    </row>
    <row r="18" ht="31.5" customHeight="1">
      <c r="B18" s="167" t="inlineStr">
        <is>
          <t>Layer②</t>
        </is>
      </c>
      <c r="C18" s="167" t="inlineStr">
        <is>
          <t>対象外</t>
        </is>
      </c>
      <c r="D18" s="167" t="inlineStr">
        <is>
          <t>無</t>
        </is>
      </c>
      <c r="E18" s="167" t="inlineStr">
        <is>
          <t>トランのため DWH Intake しない</t>
        </is>
      </c>
      <c r="F18" s="167" t="inlineStr">
        <is>
          <t>－</t>
        </is>
      </c>
    </row>
    <row r="19" ht="54" customHeight="1">
      <c r="B19" s="167" t="inlineStr">
        <is>
          <t>Layer③</t>
        </is>
      </c>
      <c r="C19" s="167" t="inlineStr">
        <is>
          <t>Sinops → 連携用GCS</t>
        </is>
      </c>
      <c r="D19" s="167" t="inlineStr">
        <is>
          <t>無</t>
        </is>
      </c>
      <c r="E19" s="167" t="inlineStr">
        <is>
          <t>Sinops → 連携用GCS。subkankoku_YYYYMMDDhhmmss.gz。完了印は subkankoku.end。Layer① は 24 と共通ジョブ。OrdreSV へは出さない</t>
        </is>
      </c>
      <c r="F19" s="167" t="inlineStr">
        <is>
          <t>DataSpider</t>
        </is>
      </c>
    </row>
    <row r="20" ht="21.75" customHeight="1">
      <c r="B20" s="10" t="n"/>
      <c r="C20" s="10" t="n"/>
      <c r="D20" s="10" t="n"/>
      <c r="E20" s="10" t="n"/>
      <c r="F20" s="10" t="n"/>
    </row>
    <row r="21" ht="21.75" customHeight="1">
      <c r="B21" s="10" t="n"/>
      <c r="C21" s="10" t="n"/>
      <c r="D21" s="10" t="n"/>
      <c r="E21" s="10" t="n"/>
      <c r="F21" s="10" t="n"/>
    </row>
    <row r="22" ht="21.75" customHeight="1">
      <c r="B22" s="10" t="n"/>
      <c r="C22" s="10" t="n"/>
      <c r="D22" s="10" t="n"/>
      <c r="E22" s="10" t="n"/>
      <c r="F22" s="10" t="n"/>
    </row>
    <row r="23" ht="18" customHeight="1"/>
    <row r="24" ht="18" customHeight="1"/>
    <row r="25" ht="18" customHeight="1">
      <c r="B25" s="11" t="n"/>
    </row>
  </sheetData>
  <mergeCells count="9">
    <mergeCell ref="C11:E11"/>
    <mergeCell ref="C13:E13"/>
    <mergeCell ref="C5:E5"/>
    <mergeCell ref="C8:E8"/>
    <mergeCell ref="C9:E9"/>
    <mergeCell ref="C7:E7"/>
    <mergeCell ref="C12:E12"/>
    <mergeCell ref="C6:E6"/>
    <mergeCell ref="C10:E10"/>
  </mergeCells>
  <dataValidations disablePrompts="1" count="3">
    <dataValidation sqref="D20:D23" showDropDown="0" showInputMessage="0" showErrorMessage="0" allowBlank="1" type="list">
      <formula1>"有,無"</formula1>
      <formula2>0</formula2>
    </dataValidation>
    <dataValidation sqref="C24" showDropDown="0" showInputMessage="0" showErrorMessage="0" allowBlank="1" type="list">
      <formula1>"前提,制約,依存IF"</formula1>
      <formula2>0</formula2>
    </dataValidation>
    <dataValidation sqref="G24" showDropDown="0" showInputMessage="0" showErrorMessage="0" allowBlank="1" type="list">
      <formula1>"未着手,確認中,完了,保留"</formula1>
      <formula2>0</formula2>
    </dataValidation>
  </dataValidation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0" zoomScalePageLayoutView="80" workbookViewId="0">
      <selection activeCell="C28" sqref="C28"/>
    </sheetView>
  </sheetViews>
  <sheetFormatPr baseColWidth="8" defaultColWidth="11.5546875" defaultRowHeight="14.4"/>
  <cols>
    <col width="4" customWidth="1" min="1" max="1"/>
    <col width="22" customWidth="1" min="2" max="2"/>
    <col width="28" customWidth="1" min="3" max="3"/>
    <col width="28" customWidth="1" min="4" max="4"/>
    <col width="28" customWidth="1" min="5" max="5"/>
    <col width="28" customWidth="1" min="6" max="6"/>
    <col width="36" customWidth="1" min="7" max="7"/>
    <col width="36" customWidth="1" min="8" max="8"/>
  </cols>
  <sheetData>
    <row r="1" ht="20" customHeight="1">
      <c r="B1" s="168" t="inlineStr">
        <is>
          <t>Data Flow（draw.io より更新 2026-09-22）</t>
        </is>
      </c>
    </row>
    <row r="2" ht="18" customHeight="1">
      <c r="B2" s="150" t="inlineStr">
        <is>
          <t>復路。ノード定義は下表。図は draw.io</t>
        </is>
      </c>
    </row>
    <row r="4" ht="15" customHeight="1" thickBot="1"/>
    <row r="5">
      <c r="D5" s="15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7" t="n"/>
    </row>
    <row r="6">
      <c r="D6" s="18" t="n"/>
      <c r="P6" s="19" t="n"/>
    </row>
    <row r="7">
      <c r="D7" s="18" t="n"/>
      <c r="P7" s="19" t="n"/>
    </row>
    <row r="8">
      <c r="D8" s="18" t="n"/>
      <c r="P8" s="19" t="n"/>
    </row>
    <row r="9">
      <c r="D9" s="18" t="n"/>
      <c r="P9" s="19" t="n"/>
    </row>
    <row r="10">
      <c r="D10" s="18" t="n"/>
      <c r="P10" s="19" t="n"/>
    </row>
    <row r="11">
      <c r="D11" s="18" t="n"/>
      <c r="P11" s="19" t="n"/>
    </row>
    <row r="12">
      <c r="D12" s="18" t="n"/>
      <c r="P12" s="19" t="n"/>
    </row>
    <row r="13">
      <c r="D13" s="18" t="n"/>
      <c r="P13" s="19" t="n"/>
    </row>
    <row r="14">
      <c r="D14" s="18" t="n"/>
      <c r="P14" s="19" t="n"/>
    </row>
    <row r="15">
      <c r="D15" s="18" t="n"/>
      <c r="P15" s="19" t="n"/>
    </row>
    <row r="16">
      <c r="D16" s="18" t="n"/>
      <c r="P16" s="19" t="n"/>
    </row>
    <row r="17">
      <c r="D17" s="18" t="n"/>
      <c r="P17" s="19" t="n"/>
    </row>
    <row r="18">
      <c r="D18" s="18" t="n"/>
      <c r="P18" s="19" t="n"/>
    </row>
    <row r="19">
      <c r="D19" s="18" t="n"/>
      <c r="P19" s="19" t="n"/>
    </row>
    <row r="20">
      <c r="D20" s="18" t="n"/>
      <c r="P20" s="19" t="n"/>
    </row>
    <row r="21">
      <c r="D21" s="18" t="n"/>
      <c r="P21" s="19" t="n"/>
    </row>
    <row r="22">
      <c r="D22" s="18" t="n"/>
      <c r="P22" s="19" t="n"/>
    </row>
    <row r="23">
      <c r="D23" s="18" t="n"/>
      <c r="P23" s="19" t="n"/>
    </row>
    <row r="24">
      <c r="D24" s="18" t="n"/>
      <c r="P24" s="19" t="n"/>
    </row>
    <row r="25">
      <c r="D25" s="18" t="n"/>
      <c r="P25" s="19" t="n"/>
    </row>
    <row r="26">
      <c r="D26" s="18" t="n"/>
      <c r="P26" s="19" t="n"/>
    </row>
    <row r="27">
      <c r="D27" s="18" t="n"/>
      <c r="P27" s="19" t="n"/>
    </row>
    <row r="28">
      <c r="D28" s="18" t="n"/>
      <c r="P28" s="19" t="n"/>
    </row>
    <row r="29">
      <c r="D29" s="18" t="n"/>
      <c r="P29" s="19" t="n"/>
    </row>
    <row r="30">
      <c r="D30" s="18" t="n"/>
      <c r="P30" s="19" t="n"/>
    </row>
    <row r="31">
      <c r="D31" s="18" t="n"/>
      <c r="P31" s="19" t="n"/>
    </row>
    <row r="32">
      <c r="D32" s="18" t="n"/>
      <c r="P32" s="19" t="n"/>
    </row>
    <row r="33">
      <c r="D33" s="18" t="n"/>
      <c r="P33" s="19" t="n"/>
    </row>
    <row r="34">
      <c r="D34" s="18" t="n"/>
      <c r="P34" s="19" t="n"/>
    </row>
    <row r="35">
      <c r="D35" s="18" t="n"/>
      <c r="P35" s="19" t="n"/>
    </row>
    <row r="36">
      <c r="D36" s="18" t="n"/>
      <c r="P36" s="19" t="n"/>
    </row>
    <row r="37">
      <c r="D37" s="18" t="n"/>
      <c r="P37" s="19" t="n"/>
    </row>
    <row r="38">
      <c r="D38" s="18" t="n"/>
      <c r="P38" s="19" t="n"/>
    </row>
    <row r="39">
      <c r="D39" s="18" t="n"/>
      <c r="P39" s="19" t="n"/>
    </row>
    <row r="40">
      <c r="D40" s="18" t="n"/>
      <c r="P40" s="19" t="n"/>
    </row>
    <row r="41" ht="15" customHeight="1" thickBot="1">
      <c r="D41" s="20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2" t="n"/>
    </row>
    <row r="44" ht="22" customHeight="1">
      <c r="A44" s="169" t="inlineStr">
        <is>
          <t>■ Data Flow ノード定義（Server／IP／テーブル／ファイル）</t>
        </is>
      </c>
      <c r="B44" s="184" t="n"/>
      <c r="C44" s="184" t="n"/>
      <c r="D44" s="184" t="n"/>
      <c r="E44" s="184" t="n"/>
      <c r="F44" s="184" t="n"/>
      <c r="G44" s="184" t="n"/>
      <c r="H44" s="185" t="n"/>
    </row>
    <row r="45">
      <c r="A45" t="inlineStr">
        <is>
          <t>各箱の Server／IP／テーブル／ファイル。未確定は TBD-DF-xx（09 と同一）。Cloud Run Jobs。永続ディスクなし</t>
        </is>
      </c>
    </row>
    <row r="47" ht="28" customHeight="1">
      <c r="A47" s="171" t="inlineStr">
        <is>
          <t>順</t>
        </is>
      </c>
      <c r="B47" s="171" t="inlineStr">
        <is>
          <t>ノード（図の箱）</t>
        </is>
      </c>
      <c r="C47" s="171" t="inlineStr">
        <is>
          <t>役割</t>
        </is>
      </c>
      <c r="D47" s="171" t="inlineStr">
        <is>
          <t>Server名／サービス</t>
        </is>
      </c>
      <c r="E47" s="171" t="inlineStr">
        <is>
          <t>IP／接続先</t>
        </is>
      </c>
      <c r="F47" s="171" t="inlineStr">
        <is>
          <t>テーブル名／オブジェクト</t>
        </is>
      </c>
      <c r="G47" s="171" t="inlineStr">
        <is>
          <t>ファイル名</t>
        </is>
      </c>
      <c r="H47" s="171" t="inlineStr">
        <is>
          <t>備考・確定状態</t>
        </is>
      </c>
    </row>
    <row r="48" ht="48" customHeight="1">
      <c r="A48" s="172" t="inlineStr">
        <is>
          <t>1</t>
        </is>
      </c>
      <c r="B48" s="172" t="inlineStr">
        <is>
          <t>Sinops（MDSCM）</t>
        </is>
      </c>
      <c r="C48" s="172" t="inlineStr">
        <is>
          <t>勧告の発生元</t>
        </is>
      </c>
      <c r="D48" s="172" t="inlineStr">
        <is>
          <t>Sinops / MDSCM（西友 Azure 側）</t>
        </is>
      </c>
      <c r="E48" s="172" t="inlineStr">
        <is>
          <t>TBD-DF-01（西友側ホスト／接続先）</t>
        </is>
      </c>
      <c r="F48" s="172" t="inlineStr">
        <is>
          <t>—（アプリ出力。DBテーブル直読みしない）</t>
        </is>
      </c>
      <c r="G48" s="172" t="inlineStr">
        <is>
          <t>当日: 勧告元データ／翌日以降: 同系統</t>
        </is>
      </c>
      <c r="H48" s="172" t="inlineStr">
        <is>
          <t>Layer③ の入力源。IP・正式ホスト名は西友側確認</t>
        </is>
      </c>
    </row>
    <row r="49" ht="48" customHeight="1">
      <c r="A49" s="172" t="inlineStr">
        <is>
          <t>2</t>
        </is>
      </c>
      <c r="B49" s="172" t="inlineStr">
        <is>
          <t>DataSpider Layer③</t>
        </is>
      </c>
      <c r="C49" s="172" t="inlineStr">
        <is>
          <t>Sinops→連携用GCSへ全フィールド配置（型変換・選別なし）</t>
        </is>
      </c>
      <c r="D49" s="172" t="inlineStr">
        <is>
          <t>西友 Azure DataSpider（DSS）</t>
        </is>
      </c>
      <c r="E49" s="172" t="inlineStr">
        <is>
          <t>TBD-DF-02（西友 DS 実行ホスト／NAT）</t>
        </is>
      </c>
      <c r="F49" s="172" t="inlineStr">
        <is>
          <t>—（DSS ジョブ。本IFは二次加工しない）</t>
        </is>
      </c>
      <c r="G49" s="172" t="inlineStr">
        <is>
          <t>出力物理: kankoku_YYYYMMDDhhmmss.gz／subkankoku_YYYYMMDDhhmmss.gz（論理は .txt）</t>
        </is>
      </c>
      <c r="H49" s="172" t="inlineStr">
        <is>
          <t>毎日 gz 2本。各 gz の後に空の kankoku.end / subkankoku.end。採用判定・型変換はしない（Layer①）</t>
        </is>
      </c>
    </row>
    <row r="50" ht="48" customHeight="1">
      <c r="A50" s="172" t="inlineStr">
        <is>
          <t>3</t>
        </is>
      </c>
      <c r="B50" s="172" t="inlineStr">
        <is>
          <t>連携用 GCS</t>
        </is>
      </c>
      <c r="C50" s="172" t="inlineStr">
        <is>
          <t>会社間の唯一通路・ファイル正本</t>
        </is>
      </c>
      <c r="D50" s="172" t="inlineStr">
        <is>
          <t>GCS PJ例: seiyu-trial-data-exchange
Bucket例: ods-seiyu-prod（TBD-05 フォルダ）</t>
        </is>
      </c>
      <c r="E50" s="172" t="inlineStr">
        <is>
          <t>—（オブジェクトストレージ。PSC/NAT 経由。端点IPは TBD-DF-03）</t>
        </is>
      </c>
      <c r="F50" s="172" t="inlineStr">
        <is>
          <t>—</t>
        </is>
      </c>
      <c r="G50" s="172" t="inlineStr">
        <is>
          <t>kankoku_YYYYMMDDhhmmss.gz / subkankoku_YYYYMMDDhhmmss.gz</t>
        </is>
      </c>
      <c r="H50" s="172" t="inlineStr">
        <is>
          <t>松尾申請の連携用バケット。クラウド機PJ外</t>
        </is>
      </c>
    </row>
    <row r="51" ht="48" customHeight="1">
      <c r="A51" s="172" t="inlineStr">
        <is>
          <t>4</t>
        </is>
      </c>
      <c r="B51" s="172" t="inlineStr">
        <is>
          <t>SCM連携クラウド機</t>
        </is>
      </c>
      <c r="C51" s="172" t="inlineStr">
        <is>
          <t>プル・採用判定・変換・プッシュ</t>
        </is>
      </c>
      <c r="D51" s="172" t="inlineStr">
        <is>
          <t>Cloud Run Jobs（ProjectD／仮称）
起動: Hinemos</t>
        </is>
      </c>
      <c r="E51" s="172" t="inlineStr">
        <is>
          <t>TBD-DF-04（Cloud Run 出口／VPCコネクタ／NAT）</t>
        </is>
      </c>
      <c r="F51" s="172" t="inlineStr">
        <is>
          <t>参照のみ（自動発注GCS上）:
JIHA.BUMON_ZONE
JIHA.ZONE_LOGIC</t>
        </is>
      </c>
      <c r="G51" s="172" t="inlineStr">
        <is>
          <t>IN: 代替採用時は昨日の subkankoku_YYYYMMDDhhmmss.gz
（通常は当日 kankoku_*。判定は共通Job）
OUT: SIREJAN_RCMDORDER_LAST_YYYYMMDDhhmmss（7項目）</t>
        </is>
      </c>
      <c r="H51" s="172" t="inlineStr">
        <is>
          <t>本機永続ステージングなし。一時領域のみ。GKE不使用</t>
        </is>
      </c>
    </row>
    <row r="52" ht="48" customHeight="1">
      <c r="A52" s="172" t="inlineStr">
        <is>
          <t>5</t>
        </is>
      </c>
      <c r="B52" s="172" t="inlineStr">
        <is>
          <t>自動発注 GCS</t>
        </is>
      </c>
      <c r="C52" s="172" t="inlineStr">
        <is>
          <t>発注IFの受け皿</t>
        </is>
      </c>
      <c r="D52" s="172" t="inlineStr">
        <is>
          <t>TRIAL 自動発注 GCS（既存。TBD-06）</t>
        </is>
      </c>
      <c r="E52" s="172" t="inlineStr">
        <is>
          <t>TBD-DF-05（自動発注GCS端点）</t>
        </is>
      </c>
      <c r="F52" s="172" t="inlineStr">
        <is>
          <t>JIHA.BUMON_ZONE／JIHA.ZONE_LOGIC（Ordertype参照）</t>
        </is>
      </c>
      <c r="G52" s="172" t="inlineStr">
        <is>
          <t>SIREJAN_RCMDORDER_LAST_YYYYMMDDhhmmss</t>
        </is>
      </c>
      <c r="H52" s="172" t="inlineStr">
        <is>
          <t>連携用GCSとは別。クラウド機PJ外</t>
        </is>
      </c>
    </row>
    <row r="53" ht="48" customHeight="1">
      <c r="A53" s="172" t="inlineStr">
        <is>
          <t>6</t>
        </is>
      </c>
      <c r="B53" s="172" t="inlineStr">
        <is>
          <t>自動発注転送 → OrdreSV</t>
        </is>
      </c>
      <c r="C53" s="172" t="inlineStr">
        <is>
          <t>既存転送で着地</t>
        </is>
      </c>
      <c r="D53" s="172" t="inlineStr">
        <is>
          <t>TRIAL 自動発注転送／OrdreSV</t>
        </is>
      </c>
      <c r="E53" s="172" t="inlineStr">
        <is>
          <t>TBD-DF-06（転送基盤・OrdreSV）</t>
        </is>
      </c>
      <c r="F53" s="172" t="inlineStr">
        <is>
          <t>OrdreSV 側テーブル（本IF設計対象外）</t>
        </is>
      </c>
      <c r="G53" s="172" t="inlineStr">
        <is>
          <t>（転送後の着信ファイル）</t>
        </is>
      </c>
      <c r="H53" s="172" t="inlineStr">
        <is>
          <t>本IF範囲外。クラウド機は直結しない</t>
        </is>
      </c>
    </row>
    <row r="55">
      <c r="A55" s="169" t="inlineStr">
        <is>
          <t>■ データの流れ（矢印）</t>
        </is>
      </c>
      <c r="B55" s="184" t="n"/>
      <c r="C55" s="184" t="n"/>
      <c r="D55" s="184" t="n"/>
      <c r="E55" s="184" t="n"/>
      <c r="F55" s="184" t="n"/>
      <c r="G55" s="184" t="n"/>
      <c r="H55" s="185" t="n"/>
    </row>
    <row r="56" ht="36" customHeight="1">
      <c r="A56" s="173" t="inlineStr">
        <is>
          <t>① Sinops → ② DataSpider(L3) → ③ 連携用GCS（kankoku_*.gz / subkankoku_*.gz の後に .end）</t>
        </is>
      </c>
    </row>
    <row r="57" ht="48" customHeight="1">
      <c r="A57" s="172" t="inlineStr">
        <is>
          <t>③ 連携用GCS → ④ Cloud Run Jobs(L1) ：プル → 採用判定（1本）→ 変換（Ordertype付与）</t>
        </is>
      </c>
      <c r="B57" s="184" t="n"/>
      <c r="C57" s="184" t="n"/>
      <c r="D57" s="184" t="n"/>
      <c r="E57" s="184" t="n"/>
      <c r="F57" s="184" t="n"/>
      <c r="G57" s="184" t="n"/>
      <c r="H57" s="185" t="n"/>
    </row>
    <row r="58" ht="48" customHeight="1">
      <c r="A58" s="172" t="inlineStr">
        <is>
          <t>④ Cloud Run Jobs → ⑤ 自動発注GCS（SIREJAN_RCMDORDER_LAST_YYYYMMDDhhmmss をプッシュ）</t>
        </is>
      </c>
      <c r="B58" s="184" t="n"/>
      <c r="C58" s="184" t="n"/>
      <c r="D58" s="184" t="n"/>
      <c r="E58" s="184" t="n"/>
      <c r="F58" s="184" t="n"/>
      <c r="G58" s="184" t="n"/>
      <c r="H58" s="185" t="n"/>
    </row>
    <row r="59" ht="48" customHeight="1">
      <c r="A59" s="172" t="inlineStr">
        <is>
          <t>⑤ 自動発注GCS → ⑥ 既存転送 → OrdreSV（本IF範囲外）</t>
        </is>
      </c>
      <c r="B59" s="184" t="n"/>
      <c r="C59" s="184" t="n"/>
      <c r="D59" s="184" t="n"/>
      <c r="E59" s="184" t="n"/>
      <c r="F59" s="184" t="n"/>
      <c r="G59" s="184" t="n"/>
      <c r="H59" s="185" t="n"/>
    </row>
    <row r="61">
      <c r="A61" s="169" t="n"/>
      <c r="B61" s="170" t="n"/>
      <c r="C61" s="170" t="n"/>
      <c r="D61" s="170" t="n"/>
      <c r="E61" s="170" t="n"/>
      <c r="F61" s="170" t="n"/>
      <c r="G61" s="170" t="n"/>
      <c r="H61" s="170" t="n"/>
    </row>
    <row r="62" ht="36" customHeight="1">
      <c r="A62" s="173" t="n"/>
    </row>
    <row r="63" ht="36" customHeight="1">
      <c r="A63" s="173" t="n"/>
    </row>
    <row r="64" ht="36" customHeight="1">
      <c r="A64" s="173" t="n"/>
    </row>
    <row r="65" ht="36" customHeight="1">
      <c r="A65" s="173" t="n"/>
    </row>
  </sheetData>
  <mergeCells count="11">
    <mergeCell ref="A56:H56"/>
    <mergeCell ref="A62:H62"/>
    <mergeCell ref="A55:H55"/>
    <mergeCell ref="A59:H59"/>
    <mergeCell ref="A65:H65"/>
    <mergeCell ref="A57:H57"/>
    <mergeCell ref="A63:H63"/>
    <mergeCell ref="A64:H64"/>
    <mergeCell ref="A44:H44"/>
    <mergeCell ref="A45:H45"/>
    <mergeCell ref="A58:H58"/>
  </mergeCells>
  <printOptions horizontalCentered="0" headings="0" gridLines="0"/>
  <pageMargins left="0.7" right="0.7" top="0.75" bottom="0.75" header="0.3" footer="0.3"/>
  <pageSetup pageOrder="downThenOver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FFF00"/>
    <outlinePr summaryBelow="1" summaryRight="1"/>
    <pageSetUpPr/>
  </sheetPr>
  <dimension ref="B1:H32"/>
  <sheetViews>
    <sheetView showGridLines="0" zoomScaleNormal="100" zoomScalePageLayoutView="80" workbookViewId="0">
      <selection activeCell="D20" sqref="D20"/>
    </sheetView>
  </sheetViews>
  <sheetFormatPr baseColWidth="8" defaultColWidth="8.6640625" defaultRowHeight="14.4"/>
  <cols>
    <col width="2" customWidth="1" min="1" max="1"/>
    <col width="18" customWidth="1" min="2" max="2"/>
    <col width="42" customWidth="1" min="3" max="3"/>
    <col width="28" customWidth="1" min="4" max="5"/>
    <col width="28" customWidth="1" min="5" max="5"/>
    <col width="28" customWidth="1" min="6" max="6"/>
    <col width="24" customWidth="1" min="7" max="7"/>
    <col width="18" customWidth="1" min="8" max="8"/>
  </cols>
  <sheetData>
    <row r="1" ht="24" customHeight="1">
      <c r="B1" s="161" t="inlineStr">
        <is>
          <t>2. Layer① 設計（TRIAL ↔ GCS）</t>
        </is>
      </c>
    </row>
    <row r="2" ht="18" customHeight="1"/>
    <row r="3" ht="30" customHeight="1">
      <c r="B3" s="173" t="inlineStr">
        <is>
          <t>2026-09-21: 型変換・選別・コード変換・編集は Layer①。DSS は全フィールド通過</t>
        </is>
      </c>
    </row>
    <row r="4" ht="21.75" customHeight="1"/>
    <row r="5" ht="22" customHeight="1">
      <c r="B5" s="162" t="inlineStr">
        <is>
          <t>■ 設計条件</t>
        </is>
      </c>
      <c r="C5" s="131" t="n"/>
      <c r="D5" s="58" t="n"/>
      <c r="E5" s="59" t="n"/>
    </row>
    <row r="6" ht="72" customHeight="1">
      <c r="B6" s="174" t="inlineStr">
        <is>
          <t>処理概要</t>
        </is>
      </c>
      <c r="C6" s="172" t="inlineStr">
        <is>
          <t>当日 kankoku_* と昨日の subkankoku_* をプル。STEP20 で 1 本を採用し、SIREJAN_RCMDORDER_LAST（7項目）へ変換。自動発注GCSへ SIREJAN_RCMDORDER_LAST_YYYYMMDDhhmmss。24/25 共通 1 ジョブ。2本は重ねない</t>
        </is>
      </c>
      <c r="D6" s="184" t="n"/>
      <c r="E6" s="185" t="n"/>
      <c r="F6" s="29" t="inlineStr"/>
    </row>
    <row r="7" ht="54" customHeight="1">
      <c r="B7" s="174" t="inlineStr">
        <is>
          <t>抽出元テーブル</t>
        </is>
      </c>
      <c r="C7" s="172" t="inlineStr">
        <is>
          <t>連携用GCS（DSS配置）。当日 kankoku_YYYYMMDDhhmmss.gz（論理 kankoku.txt）および昨日の subkankoku_YYYYMMDDhhmmss.gz（論理 subkankoku.txt）。完了印は空の kankoku.end / subkankoku.end</t>
        </is>
      </c>
      <c r="D7" s="184" t="n"/>
      <c r="E7" s="185" t="n"/>
    </row>
    <row r="8" ht="42" customHeight="1">
      <c r="B8" s="174" t="inlineStr">
        <is>
          <t>抽出条件</t>
        </is>
      </c>
      <c r="C8" s="172" t="inlineStr">
        <is>
          <t>STEP20。指定時刻（TBD-19、例 6:00）までに当日作成済 → 当日。障害または未作成 → 昨日の翌日以降。2本は重ねない</t>
        </is>
      </c>
      <c r="D8" s="184" t="n"/>
      <c r="E8" s="185" t="n"/>
      <c r="F8" s="29" t="inlineStr"/>
    </row>
    <row r="9" ht="42" customHeight="1">
      <c r="B9" s="174" t="inlineStr">
        <is>
          <t>出力ファイル名</t>
        </is>
      </c>
      <c r="C9" s="172" t="inlineStr">
        <is>
          <t>論理：SIREJAN_RCMDORDER_LAST／物理：SIREJAN_RCMDORDER_LAST_YYYYMMDDhhmmss（拡張子は自動発注契約に従う）。採用した 1 本のみ出力</t>
        </is>
      </c>
      <c r="D9" s="184" t="n"/>
      <c r="E9" s="185" t="n"/>
    </row>
    <row r="10" ht="30" customHeight="1">
      <c r="B10" s="174" t="inlineStr">
        <is>
          <t>GCS配置先</t>
        </is>
      </c>
      <c r="C10" s="172" t="inlineStr">
        <is>
          <t>IN: gs://ods-seiyu-prod/{TBD-05}/　OUT: 自動発注GCS {TBD-06}（連携用バケットと別）</t>
        </is>
      </c>
      <c r="D10" s="184" t="n"/>
      <c r="E10" s="185" t="n"/>
    </row>
    <row r="11" ht="19.5" customHeight="1">
      <c r="B11" s="174" t="inlineStr">
        <is>
          <t>文字コード</t>
        </is>
      </c>
      <c r="C11" s="172" t="inlineStr">
        <is>
          <t>UTF-8（BOMなし）を候補。確定は TBD-07</t>
        </is>
      </c>
      <c r="D11" s="184" t="n"/>
      <c r="E11" s="185" t="n"/>
    </row>
    <row r="12" ht="18" customHeight="1">
      <c r="B12" s="174" t="inlineStr">
        <is>
          <t>世代管理</t>
        </is>
      </c>
      <c r="C12" s="172" t="inlineStr">
        <is>
          <t>TBD-03（同名上書き時に履歴は残らない。GCSライフサイクル方針に従う）</t>
        </is>
      </c>
      <c r="D12" s="58" t="n"/>
      <c r="E12" s="59" t="n"/>
      <c r="F12" s="29" t="inlineStr"/>
    </row>
    <row r="13" ht="21.75" customHeight="1"/>
    <row r="14" ht="30" customHeight="1">
      <c r="B14" s="162" t="inlineStr">
        <is>
          <t>■ 処理フロー</t>
        </is>
      </c>
      <c r="C14" s="131" t="n"/>
      <c r="D14" s="131" t="n"/>
      <c r="E14" s="131" t="n"/>
      <c r="F14" s="131" t="n"/>
      <c r="G14" s="131" t="n"/>
    </row>
    <row r="15" ht="24" customHeight="1">
      <c r="B15" s="171" t="inlineStr">
        <is>
          <t>STEP</t>
        </is>
      </c>
      <c r="C15" s="171" t="inlineStr">
        <is>
          <t>処理内容</t>
        </is>
      </c>
      <c r="D15" s="171" t="inlineStr">
        <is>
          <t>入力</t>
        </is>
      </c>
      <c r="E15" s="171" t="inlineStr">
        <is>
          <t>出力</t>
        </is>
      </c>
      <c r="F15" s="171" t="inlineStr">
        <is>
          <t>例外時の扱い</t>
        </is>
      </c>
      <c r="G15" s="171" t="inlineStr">
        <is>
          <t>備考</t>
        </is>
      </c>
    </row>
    <row r="16" ht="60" customHeight="1">
      <c r="B16" s="172" t="n">
        <v>10</v>
      </c>
      <c r="C16" s="172" t="inlineStr">
        <is>
          <t>kankoku.end / subkankoku.end を確認してから gz を取得・展開し、クラウド機へステージング</t>
        </is>
      </c>
      <c r="D16" s="172" t="inlineStr">
        <is>
          <t>gs://ods-seiyu-prod/{TBD-05}/ 当日 ＋ 昨日の翌日以降</t>
        </is>
      </c>
      <c r="E16" s="172" t="inlineStr">
        <is>
          <t>本機ステージング（最大 2 ファイル）</t>
        </is>
      </c>
      <c r="F16" s="172" t="inlineStr">
        <is>
          <t>両方取れない場合は ER-004。当日0件は判定へ（ER-012）</t>
        </is>
      </c>
      <c r="G16" s="172" t="inlineStr">
        <is>
          <t>Hinemos 起動 Layer①（24/25 共通）</t>
        </is>
      </c>
      <c r="H16" s="173" t="inlineStr">
        <is>
          <t>共通 1 ジョブ</t>
        </is>
      </c>
    </row>
    <row r="17" ht="84" customHeight="1">
      <c r="B17" s="172" t="n">
        <v>20</v>
      </c>
      <c r="C17" s="172" t="inlineStr">
        <is>
          <t>採用判定。当日ファイルが指定時刻（TBD-19、例 6:00）までに作成済 → 当日を採用。障害、または当日未作成 → 昨日作成の翌日以降を採用。2 本を後勝ちで重ねない</t>
        </is>
      </c>
      <c r="D17" s="172" t="inlineStr">
        <is>
          <t>ステージング上の当日 ＋ 昨日の翌日以降</t>
        </is>
      </c>
      <c r="E17" s="172" t="inlineStr">
        <is>
          <t>採用する 1 ファイル</t>
        </is>
      </c>
      <c r="F17" s="172" t="inlineStr">
        <is>
          <t>当日未作成・障害は ER-012 で昨日分を採用。昨日分も無ければ中断</t>
        </is>
      </c>
      <c r="G17" s="172" t="inlineStr">
        <is>
          <t>TBD-13/19。後勝ちしない</t>
        </is>
      </c>
      <c r="H17" s="173" t="inlineStr">
        <is>
          <t>判定は本機。自動発注側では選ばない</t>
        </is>
      </c>
    </row>
    <row r="18" ht="72" customHeight="1">
      <c r="B18" s="172" t="n">
        <v>30</v>
      </c>
      <c r="C18" s="172" t="inlineStr">
        <is>
          <t>採用した 1 本を SIREJAN_RCMDORDER_LAST へ変換。数量は×1000しない。発注単位の整数倍であれば発注バラ数を直接設定（倍数に丸めない）。Ordertype は勧告ファイルの西友中分類（西友ライン＝部門）を部門CDとし、自動発注GCS JIHA.BUMON_ZONE（部門CD, ZONECD）→ JIHA.ZONE_LOGIC（ZONECD, 論理区分）。論理区分 01→0（非日配）、02→1（日配）、03→1（生鮮）。TRIAL 商品マスタは参照しない。</t>
        </is>
      </c>
      <c r="D18" s="172" t="inlineStr">
        <is>
          <t>採用した 1 本（部門＝西友中分類／西友ライン）＋ JIHA.BUMON_ZONE / JIHA.ZONE_LOGIC（自動発注GCS）</t>
        </is>
      </c>
      <c r="E18" s="172" t="inlineStr">
        <is>
          <t>7項目ファイル 1 本</t>
        </is>
      </c>
      <c r="F18" s="172" t="inlineStr">
        <is>
          <t>必須項目欠落・桁超過は ER-005。未確定項目は TBD のまま</t>
        </is>
      </c>
      <c r="G18" s="172" t="inlineStr">
        <is>
          <t>R01/R04/R06/R07 確定。部門は勧告ファイル。商品マスタは見ない。数量は発注単位の整数倍。店・仕入先・商品はマスタ統合に追随</t>
        </is>
      </c>
      <c r="H18" s="173" t="inlineStr">
        <is>
          <t>変換対象は採用した 1 本のみ</t>
        </is>
      </c>
    </row>
    <row r="19" ht="21.75" customHeight="1">
      <c r="B19" s="172" t="n">
        <v>40</v>
      </c>
      <c r="C19" s="172" t="inlineStr">
        <is>
          <t>変換後ファイル（採用した 1 本）を TRIAL 自動発注GCSへアップロード</t>
        </is>
      </c>
      <c r="D19" s="172" t="inlineStr">
        <is>
          <t>7項目ファイル 1 本</t>
        </is>
      </c>
      <c r="E19" s="172" t="inlineStr">
        <is>
          <t>gs://{TBD-06}/</t>
        </is>
      </c>
      <c r="F19" s="172" t="inlineStr">
        <is>
          <t>配置失敗は ER-006 で中断</t>
        </is>
      </c>
      <c r="G19" s="172" t="inlineStr">
        <is>
          <t>OrdreSV へは既存自動発注転送。本STEPの外</t>
        </is>
      </c>
      <c r="H19" s="173" t="inlineStr">
        <is>
          <t>出力は常に 1 本</t>
        </is>
      </c>
    </row>
    <row r="20" ht="21.75" customHeight="1">
      <c r="B20" s="10" t="n"/>
      <c r="C20" s="10" t="n"/>
      <c r="D20" s="10" t="n"/>
      <c r="E20" s="10" t="n"/>
      <c r="F20" s="10" t="n"/>
      <c r="G20" s="10" t="n"/>
    </row>
    <row r="21" ht="21.75" customHeight="1">
      <c r="B21" s="10" t="n"/>
      <c r="C21" s="10" t="n"/>
      <c r="D21" s="10" t="n"/>
      <c r="E21" s="10" t="n"/>
      <c r="F21" s="10" t="n"/>
      <c r="G21" s="10" t="n"/>
    </row>
    <row r="22" ht="21.75" customHeight="1">
      <c r="B22" s="10" t="n"/>
      <c r="C22" s="10" t="n"/>
      <c r="D22" s="10" t="n"/>
      <c r="E22" s="10" t="n"/>
      <c r="F22" s="10" t="n"/>
      <c r="G22" s="10" t="n"/>
    </row>
    <row r="23" ht="21.75" customHeight="1">
      <c r="B23" s="10" t="n"/>
      <c r="C23" s="10" t="n"/>
      <c r="D23" s="10" t="n"/>
      <c r="E23" s="10" t="n"/>
      <c r="F23" s="10" t="n"/>
      <c r="G23" s="10" t="n"/>
    </row>
    <row r="24" ht="21.75" customHeight="1">
      <c r="B24" s="10" t="n"/>
      <c r="C24" s="10" t="n"/>
      <c r="D24" s="10" t="n"/>
      <c r="E24" s="10" t="n"/>
      <c r="F24" s="10" t="n"/>
      <c r="G24" s="10" t="n"/>
    </row>
    <row r="25" ht="21.75" customHeight="1">
      <c r="B25" s="10" t="n"/>
      <c r="C25" s="10" t="n"/>
      <c r="D25" s="10" t="n"/>
      <c r="E25" s="10" t="n"/>
      <c r="F25" s="10" t="n"/>
      <c r="G25" s="10" t="n"/>
    </row>
    <row r="26" ht="21.75" customHeight="1">
      <c r="B26" s="10" t="n"/>
      <c r="C26" s="10" t="n"/>
      <c r="D26" s="10" t="n"/>
      <c r="E26" s="10" t="n"/>
      <c r="F26" s="10" t="n"/>
      <c r="G26" s="10" t="n"/>
    </row>
    <row r="27" ht="21.75" customHeight="1">
      <c r="B27" s="10" t="n"/>
      <c r="C27" s="10" t="n"/>
      <c r="D27" s="10" t="n"/>
      <c r="E27" s="10" t="n"/>
      <c r="F27" s="10" t="n"/>
      <c r="G27" s="10" t="n"/>
    </row>
    <row r="28" ht="21.75" customHeight="1">
      <c r="B28" s="10" t="n"/>
      <c r="C28" s="10" t="n"/>
      <c r="D28" s="10" t="n"/>
      <c r="E28" s="10" t="n"/>
      <c r="F28" s="10" t="n"/>
      <c r="G28" s="10" t="n"/>
    </row>
    <row r="29" ht="18" customHeight="1">
      <c r="B29" s="10" t="n"/>
      <c r="C29" s="10" t="n"/>
      <c r="D29" s="10" t="n"/>
      <c r="E29" s="10" t="n"/>
      <c r="F29" s="10" t="n"/>
      <c r="G29" s="10" t="n"/>
    </row>
    <row r="30" ht="18" customHeight="1"/>
    <row r="31" ht="18" customHeight="1">
      <c r="B31" s="11" t="n"/>
    </row>
    <row r="32" ht="18" customHeight="1">
      <c r="B32" s="2" t="n"/>
    </row>
  </sheetData>
  <mergeCells count="7">
    <mergeCell ref="C11:E11"/>
    <mergeCell ref="C5:E5"/>
    <mergeCell ref="C8:E8"/>
    <mergeCell ref="C9:E9"/>
    <mergeCell ref="C7:E7"/>
    <mergeCell ref="C6:E6"/>
    <mergeCell ref="C10:E10"/>
  </mergeCell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5.xml><?xml version="1.0" encoding="utf-8"?>
<worksheet xmlns="http://schemas.openxmlformats.org/spreadsheetml/2006/main">
  <sheetPr>
    <tabColor rgb="00FFFF00"/>
    <outlinePr summaryBelow="1" summaryRight="1"/>
    <pageSetUpPr/>
  </sheetPr>
  <dimension ref="B1:G29"/>
  <sheetViews>
    <sheetView showGridLines="0" topLeftCell="A3" zoomScaleNormal="100" zoomScalePageLayoutView="80" workbookViewId="0">
      <selection activeCell="C13" sqref="C13"/>
    </sheetView>
  </sheetViews>
  <sheetFormatPr baseColWidth="8" defaultColWidth="8.6640625" defaultRowHeight="14.4"/>
  <cols>
    <col width="2" customWidth="1" min="1" max="1"/>
    <col width="18" customWidth="1" min="2" max="2"/>
    <col width="42" customWidth="1" min="3" max="3"/>
    <col width="28" customWidth="1" min="4" max="5"/>
    <col width="28" customWidth="1" min="5" max="5"/>
    <col width="28" customWidth="1" min="6" max="6"/>
    <col width="24" customWidth="1" min="7" max="7"/>
    <col width="18" customWidth="1" min="8" max="8"/>
  </cols>
  <sheetData>
    <row r="1" ht="24" customHeight="1">
      <c r="B1" s="161" t="inlineStr">
        <is>
          <t>3. Layer② 設計（GCS → DWH）</t>
        </is>
      </c>
    </row>
    <row r="2" ht="18" customHeight="1"/>
    <row r="3" ht="18" customHeight="1"/>
    <row r="4" ht="22" customHeight="1">
      <c r="B4" s="162" t="inlineStr">
        <is>
          <t>■ 設計条件</t>
        </is>
      </c>
      <c r="C4" s="131" t="n"/>
      <c r="D4" s="131" t="n"/>
      <c r="E4" s="131" t="n"/>
    </row>
    <row r="5" ht="19.5" customHeight="1">
      <c r="B5" s="174" t="inlineStr">
        <is>
          <t>取込対象ファイル</t>
        </is>
      </c>
      <c r="C5" s="172" t="inlineStr">
        <is>
          <t>対象外（本IFはトラン。IF一覧どおり Layer2 無）</t>
        </is>
      </c>
      <c r="D5" s="184" t="n"/>
      <c r="E5" s="185" t="n"/>
    </row>
    <row r="6" ht="19.5" customHeight="1">
      <c r="B6" s="174" t="inlineStr">
        <is>
          <t>Intakeテーブル</t>
        </is>
      </c>
      <c r="C6" s="172" t="inlineStr">
        <is>
          <t>－</t>
        </is>
      </c>
      <c r="D6" s="184" t="n"/>
      <c r="E6" s="185" t="n"/>
    </row>
    <row r="7" ht="19.5" customHeight="1">
      <c r="B7" s="174" t="inlineStr">
        <is>
          <t>格納方式</t>
        </is>
      </c>
      <c r="C7" s="172" t="inlineStr">
        <is>
          <t>－</t>
        </is>
      </c>
      <c r="D7" s="184" t="n"/>
      <c r="E7" s="185" t="n"/>
      <c r="F7" s="53" t="n"/>
    </row>
    <row r="8" ht="19.5" customHeight="1">
      <c r="B8" s="174" t="inlineStr">
        <is>
          <t>実行トリガ</t>
        </is>
      </c>
      <c r="C8" s="172" t="inlineStr">
        <is>
          <t>－</t>
        </is>
      </c>
      <c r="D8" s="184" t="n"/>
      <c r="E8" s="185" t="n"/>
    </row>
    <row r="9" ht="19.5" customHeight="1">
      <c r="B9" s="174" t="inlineStr">
        <is>
          <t>エラー時の扱い</t>
        </is>
      </c>
      <c r="C9" s="172" t="inlineStr">
        <is>
          <t>－</t>
        </is>
      </c>
      <c r="D9" s="184" t="n"/>
      <c r="E9" s="185" t="n"/>
    </row>
    <row r="10" ht="18" customHeight="1"/>
    <row r="11" ht="22" customHeight="1">
      <c r="B11" s="162" t="inlineStr">
        <is>
          <t>■ 処理フロー</t>
        </is>
      </c>
      <c r="C11" s="131" t="n"/>
      <c r="D11" s="131" t="n"/>
      <c r="E11" s="131" t="n"/>
      <c r="F11" s="131" t="n"/>
      <c r="G11" s="131" t="n"/>
    </row>
    <row r="12" ht="24" customHeight="1">
      <c r="B12" s="171" t="inlineStr">
        <is>
          <t>STEP</t>
        </is>
      </c>
      <c r="C12" s="171" t="inlineStr">
        <is>
          <t>処理内容</t>
        </is>
      </c>
      <c r="D12" s="171" t="inlineStr">
        <is>
          <t>入力</t>
        </is>
      </c>
      <c r="E12" s="171" t="inlineStr">
        <is>
          <t>出力</t>
        </is>
      </c>
      <c r="F12" s="171" t="inlineStr">
        <is>
          <t>例外時の扱い</t>
        </is>
      </c>
      <c r="G12" s="171" t="inlineStr">
        <is>
          <t>備考</t>
        </is>
      </c>
    </row>
    <row r="13" ht="31.5" customHeight="1">
      <c r="B13" s="172" t="n">
        <v>1</v>
      </c>
      <c r="C13" s="172" t="inlineStr">
        <is>
          <t>対象外。Intake しない</t>
        </is>
      </c>
      <c r="D13" s="172" t="inlineStr">
        <is>
          <t>－</t>
        </is>
      </c>
      <c r="E13" s="172" t="inlineStr">
        <is>
          <t>－</t>
        </is>
      </c>
      <c r="F13" s="172" t="inlineStr">
        <is>
          <t>－</t>
        </is>
      </c>
      <c r="G13" s="145" t="n"/>
    </row>
    <row r="14" ht="31.5" customHeight="1">
      <c r="B14" s="10" t="n"/>
      <c r="C14" s="10" t="n"/>
      <c r="D14" s="10" t="n"/>
      <c r="E14" s="10" t="n"/>
      <c r="F14" s="10" t="n"/>
      <c r="G14" s="10" t="n"/>
    </row>
    <row r="15" ht="21.75" customHeight="1">
      <c r="B15" s="10" t="n"/>
      <c r="C15" s="10" t="n"/>
      <c r="D15" s="10" t="n"/>
      <c r="E15" s="10" t="n"/>
      <c r="F15" s="10" t="n"/>
      <c r="G15" s="10" t="n"/>
    </row>
    <row r="16" ht="21.75" customHeight="1">
      <c r="B16" s="10" t="n"/>
      <c r="C16" s="10" t="n"/>
      <c r="D16" s="10" t="n"/>
      <c r="E16" s="10" t="n"/>
      <c r="F16" s="10" t="n"/>
      <c r="G16" s="10" t="n"/>
    </row>
    <row r="17" ht="21.75" customHeight="1">
      <c r="B17" s="10" t="n"/>
      <c r="C17" s="10" t="n"/>
      <c r="D17" s="10" t="n"/>
      <c r="E17" s="10" t="n"/>
      <c r="F17" s="10" t="n"/>
      <c r="G17" s="10" t="n"/>
    </row>
    <row r="18" ht="21.75" customHeight="1">
      <c r="B18" s="10" t="n"/>
      <c r="C18" s="10" t="n"/>
      <c r="D18" s="10" t="n"/>
      <c r="E18" s="10" t="n"/>
      <c r="F18" s="10" t="n"/>
      <c r="G18" s="10" t="n"/>
    </row>
    <row r="19" ht="21.75" customHeight="1">
      <c r="B19" s="10" t="n"/>
      <c r="C19" s="10" t="n"/>
      <c r="D19" s="10" t="n"/>
      <c r="E19" s="10" t="n"/>
      <c r="F19" s="10" t="n"/>
      <c r="G19" s="10" t="n"/>
    </row>
    <row r="20" ht="21.75" customHeight="1">
      <c r="B20" s="10" t="n"/>
      <c r="C20" s="10" t="n"/>
      <c r="D20" s="10" t="n"/>
      <c r="E20" s="10" t="n"/>
      <c r="F20" s="10" t="n"/>
      <c r="G20" s="10" t="n"/>
    </row>
    <row r="21" ht="21.75" customHeight="1">
      <c r="B21" s="10" t="n"/>
      <c r="C21" s="10" t="n"/>
      <c r="D21" s="10" t="n"/>
      <c r="E21" s="10" t="n"/>
      <c r="F21" s="10" t="n"/>
      <c r="G21" s="10" t="n"/>
    </row>
    <row r="22" ht="21.75" customHeight="1">
      <c r="B22" s="10" t="n"/>
      <c r="C22" s="10" t="n"/>
      <c r="D22" s="10" t="n"/>
      <c r="E22" s="10" t="n"/>
      <c r="F22" s="10" t="n"/>
      <c r="G22" s="10" t="n"/>
    </row>
    <row r="23" ht="21.75" customHeight="1">
      <c r="B23" s="10" t="n"/>
      <c r="C23" s="10" t="n"/>
      <c r="D23" s="10" t="n"/>
      <c r="E23" s="10" t="n"/>
      <c r="F23" s="10" t="n"/>
      <c r="G23" s="10" t="n"/>
    </row>
    <row r="24" ht="21.75" customHeight="1">
      <c r="B24" s="10" t="n"/>
      <c r="C24" s="10" t="n"/>
      <c r="D24" s="10" t="n"/>
      <c r="E24" s="10" t="n"/>
      <c r="F24" s="10" t="n"/>
      <c r="G24" s="10" t="n"/>
    </row>
    <row r="25" ht="21.75" customHeight="1">
      <c r="B25" s="10" t="n"/>
      <c r="C25" s="10" t="n"/>
      <c r="D25" s="10" t="n"/>
      <c r="E25" s="10" t="n"/>
      <c r="F25" s="10" t="n"/>
      <c r="G25" s="10" t="n"/>
    </row>
    <row r="26" ht="21.75" customHeight="1">
      <c r="B26" s="10" t="n"/>
      <c r="C26" s="10" t="n"/>
      <c r="D26" s="10" t="n"/>
      <c r="E26" s="10" t="n"/>
      <c r="F26" s="10" t="n"/>
      <c r="G26" s="10" t="n"/>
    </row>
    <row r="27" ht="18" customHeight="1"/>
    <row r="28" ht="18" customHeight="1">
      <c r="B28" s="173" t="n"/>
    </row>
    <row r="29" ht="30" customHeight="1">
      <c r="B29" s="173" t="n"/>
    </row>
  </sheetData>
  <mergeCells count="5">
    <mergeCell ref="C5:E5"/>
    <mergeCell ref="C8:E8"/>
    <mergeCell ref="C9:E9"/>
    <mergeCell ref="C7:E7"/>
    <mergeCell ref="C6:E6"/>
  </mergeCell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6.xml><?xml version="1.0" encoding="utf-8"?>
<worksheet xmlns="http://schemas.openxmlformats.org/spreadsheetml/2006/main">
  <sheetPr>
    <tabColor rgb="00FFFF00"/>
    <outlinePr summaryBelow="1" summaryRight="1"/>
    <pageSetUpPr/>
  </sheetPr>
  <dimension ref="B1:G30"/>
  <sheetViews>
    <sheetView showGridLines="0" zoomScaleNormal="100" zoomScalePageLayoutView="80" workbookViewId="0">
      <selection activeCell="E16" sqref="E16"/>
    </sheetView>
  </sheetViews>
  <sheetFormatPr baseColWidth="8" defaultColWidth="8.6640625" defaultRowHeight="14.4"/>
  <cols>
    <col width="2" customWidth="1" min="1" max="1"/>
    <col width="18" customWidth="1" min="2" max="2"/>
    <col width="42" customWidth="1" min="3" max="3"/>
    <col width="28" customWidth="1" min="4" max="5"/>
    <col width="28" customWidth="1" min="5" max="5"/>
    <col width="28" customWidth="1" min="6" max="6"/>
    <col width="24" customWidth="1" min="7" max="7"/>
    <col width="18" customWidth="1" min="8" max="8"/>
  </cols>
  <sheetData>
    <row r="1" ht="24" customHeight="1">
      <c r="B1" s="161" t="inlineStr">
        <is>
          <t>4. Layer③ 設計（DWH・GCS ↔ 業務システム）</t>
        </is>
      </c>
    </row>
    <row r="2" ht="18" customHeight="1"/>
    <row r="3" ht="42" customHeight="1">
      <c r="B3" s="173" t="inlineStr">
        <is>
          <t>全フィールド通過。型変換・選別・編集は Layer①</t>
        </is>
      </c>
    </row>
    <row r="4" ht="21.75" customHeight="1"/>
    <row r="5" ht="22" customHeight="1">
      <c r="B5" s="162" t="inlineStr">
        <is>
          <t>■ 設計条件</t>
        </is>
      </c>
      <c r="C5" s="131" t="n"/>
      <c r="D5" s="58" t="n"/>
      <c r="E5" s="59" t="n"/>
    </row>
    <row r="6" ht="19.5" customHeight="1">
      <c r="B6" s="174" t="inlineStr">
        <is>
          <t>連携先システム</t>
        </is>
      </c>
      <c r="C6" s="172" t="inlineStr">
        <is>
          <t>連携用GCSへ gz と空の .end。OrdreSV 直送なし。自動発注GCSは gz ではない</t>
        </is>
      </c>
      <c r="D6" s="184" t="n"/>
      <c r="E6" s="185" t="n"/>
    </row>
    <row r="7" ht="54" customHeight="1">
      <c r="B7" s="174" t="inlineStr">
        <is>
          <t>出力対象</t>
        </is>
      </c>
      <c r="C7" s="172" t="inlineStr">
        <is>
          <t>Sinops-25 翌日以降勧告。論理 subkankoku.txt。連携用GCS物理名 subkankoku_YYYYMMDDhhmmss.gz。毎日作成。Layer① 共通ジョブの代替入力（昨日分が当日の代わり）</t>
        </is>
      </c>
      <c r="D7" s="184" t="n"/>
      <c r="E7" s="185" t="n"/>
    </row>
    <row r="8" ht="19.5" customHeight="1">
      <c r="B8" s="174" t="inlineStr">
        <is>
          <t>参照テーブル</t>
        </is>
      </c>
      <c r="C8" s="172" t="inlineStr">
        <is>
          <t>Sinops 発注勧告（翌日以降）。二次加工しない</t>
        </is>
      </c>
      <c r="D8" s="184" t="n"/>
      <c r="E8" s="185" t="n"/>
    </row>
    <row r="9" ht="19.5" customHeight="1">
      <c r="B9" s="174" t="inlineStr">
        <is>
          <t>出力先</t>
        </is>
      </c>
      <c r="C9" s="172" t="inlineStr">
        <is>
          <t>gs://ods-seiyu-prod/{TBD-05}/</t>
        </is>
      </c>
      <c r="D9" s="184" t="n"/>
      <c r="E9" s="185" t="n"/>
    </row>
    <row r="10" ht="18" customHeight="1">
      <c r="B10" s="174" t="inlineStr">
        <is>
          <t>連携タイミング</t>
        </is>
      </c>
      <c r="C10" s="172" t="inlineStr">
        <is>
          <t>勧告計算後（TBD-02）</t>
        </is>
      </c>
      <c r="D10" s="58" t="n"/>
      <c r="E10" s="59" t="n"/>
      <c r="F10" s="173" t="inlineStr">
        <is>
          <t>Layer①は本配置後にプル</t>
        </is>
      </c>
    </row>
    <row r="11" ht="21.75" customHeight="1"/>
    <row r="12" ht="30" customHeight="1">
      <c r="B12" s="162" t="inlineStr">
        <is>
          <t>■ 処理フロー</t>
        </is>
      </c>
      <c r="C12" s="131" t="n"/>
      <c r="D12" s="131" t="n"/>
      <c r="E12" s="131" t="n"/>
      <c r="F12" s="131" t="n"/>
      <c r="G12" s="131" t="n"/>
    </row>
    <row r="13" ht="24" customHeight="1">
      <c r="B13" s="171" t="inlineStr">
        <is>
          <t>STEP</t>
        </is>
      </c>
      <c r="C13" s="171" t="inlineStr">
        <is>
          <t>処理内容</t>
        </is>
      </c>
      <c r="D13" s="171" t="inlineStr">
        <is>
          <t>入力</t>
        </is>
      </c>
      <c r="E13" s="171" t="inlineStr">
        <is>
          <t>出力</t>
        </is>
      </c>
      <c r="F13" s="171" t="inlineStr">
        <is>
          <t>例外時の扱い</t>
        </is>
      </c>
      <c r="G13" s="171" t="inlineStr">
        <is>
          <t>備考</t>
        </is>
      </c>
    </row>
    <row r="14" ht="31.5" customHeight="1">
      <c r="B14" s="172" t="n">
        <v>10</v>
      </c>
      <c r="C14" s="172" t="inlineStr">
        <is>
          <t>Sinops から翌日以降勧告を取得</t>
        </is>
      </c>
      <c r="D14" s="172" t="inlineStr">
        <is>
          <t>Sinops</t>
        </is>
      </c>
      <c r="E14" s="172" t="inlineStr">
        <is>
          <t>DSS 作業領域</t>
        </is>
      </c>
      <c r="F14" s="172" t="inlineStr">
        <is>
          <t>取得失敗は処理中断・通知</t>
        </is>
      </c>
      <c r="G14" s="145" t="inlineStr"/>
    </row>
    <row r="15" ht="21.75" customHeight="1">
      <c r="B15" s="172" t="n">
        <v>20</v>
      </c>
      <c r="C15" s="172" t="inlineStr">
        <is>
          <t>連携用GCSへ gz を置く。続けて空の subkankoku.end</t>
        </is>
      </c>
      <c r="D15" s="172" t="inlineStr">
        <is>
          <t>DSS 作業領域</t>
        </is>
      </c>
      <c r="E15" s="172" t="inlineStr">
        <is>
          <t>gs://ods-seiyu-prod/{TBD-05}/</t>
        </is>
      </c>
      <c r="F15" s="172" t="inlineStr">
        <is>
          <t>配置失敗は処理中断・通知</t>
        </is>
      </c>
      <c r="G15" s="172" t="inlineStr">
        <is>
          <t>UTF-8。フォルダ名は西友 from_to_連番（TBD-05）</t>
        </is>
      </c>
    </row>
    <row r="16" ht="21.75" customHeight="1">
      <c r="B16" s="10" t="n"/>
      <c r="C16" s="10" t="n"/>
      <c r="D16" s="10" t="n"/>
      <c r="E16" s="10" t="n"/>
      <c r="F16" s="10" t="n"/>
      <c r="G16" s="10" t="n"/>
    </row>
    <row r="17" ht="21.75" customHeight="1">
      <c r="B17" s="10" t="n"/>
      <c r="C17" s="10" t="n"/>
      <c r="D17" s="10" t="n"/>
      <c r="E17" s="10" t="n"/>
      <c r="F17" s="10" t="n"/>
      <c r="G17" s="10" t="n"/>
    </row>
    <row r="18" ht="21.75" customHeight="1">
      <c r="B18" s="10" t="n"/>
      <c r="C18" s="10" t="n"/>
      <c r="D18" s="10" t="n"/>
      <c r="E18" s="10" t="n"/>
      <c r="F18" s="10" t="n"/>
      <c r="G18" s="10" t="n"/>
    </row>
    <row r="19" ht="21.75" customHeight="1">
      <c r="B19" s="10" t="n"/>
      <c r="C19" s="10" t="n"/>
      <c r="D19" s="10" t="n"/>
      <c r="E19" s="10" t="n"/>
      <c r="F19" s="10" t="n"/>
      <c r="G19" s="10" t="n"/>
    </row>
    <row r="20" ht="21.75" customHeight="1">
      <c r="B20" s="10" t="n"/>
      <c r="C20" s="10" t="n"/>
      <c r="D20" s="10" t="n"/>
      <c r="E20" s="10" t="n"/>
      <c r="F20" s="10" t="n"/>
      <c r="G20" s="10" t="n"/>
    </row>
    <row r="21" ht="21.75" customHeight="1">
      <c r="B21" s="10" t="n"/>
      <c r="C21" s="10" t="n"/>
      <c r="D21" s="10" t="n"/>
      <c r="E21" s="10" t="n"/>
      <c r="F21" s="10" t="n"/>
      <c r="G21" s="10" t="n"/>
    </row>
    <row r="22" ht="21.75" customHeight="1">
      <c r="B22" s="10" t="n"/>
      <c r="C22" s="10" t="n"/>
      <c r="D22" s="10" t="n"/>
      <c r="E22" s="10" t="n"/>
      <c r="F22" s="10" t="n"/>
      <c r="G22" s="10" t="n"/>
    </row>
    <row r="23" ht="21.75" customHeight="1">
      <c r="B23" s="10" t="n"/>
      <c r="C23" s="10" t="n"/>
      <c r="D23" s="10" t="n"/>
      <c r="E23" s="10" t="n"/>
      <c r="F23" s="10" t="n"/>
      <c r="G23" s="10" t="n"/>
    </row>
    <row r="24" ht="21.75" customHeight="1">
      <c r="B24" s="10" t="n"/>
      <c r="C24" s="10" t="n"/>
      <c r="D24" s="10" t="n"/>
      <c r="E24" s="10" t="n"/>
      <c r="F24" s="10" t="n"/>
      <c r="G24" s="10" t="n"/>
    </row>
    <row r="25" ht="21.75" customHeight="1">
      <c r="B25" s="10" t="n"/>
      <c r="C25" s="10" t="n"/>
      <c r="D25" s="10" t="n"/>
      <c r="E25" s="10" t="n"/>
      <c r="F25" s="10" t="n"/>
      <c r="G25" s="10" t="n"/>
    </row>
    <row r="26" ht="21.75" customHeight="1">
      <c r="B26" s="10" t="n"/>
      <c r="C26" s="10" t="n"/>
      <c r="D26" s="10" t="n"/>
      <c r="E26" s="10" t="n"/>
      <c r="F26" s="10" t="n"/>
      <c r="G26" s="10" t="n"/>
    </row>
    <row r="27" ht="18" customHeight="1">
      <c r="B27" s="10" t="n"/>
      <c r="C27" s="10" t="n"/>
      <c r="D27" s="10" t="n"/>
      <c r="E27" s="10" t="n"/>
      <c r="F27" s="10" t="n"/>
      <c r="G27" s="10" t="n"/>
    </row>
    <row r="28" ht="18" customHeight="1"/>
    <row r="29" ht="18" customHeight="1">
      <c r="B29" s="173" t="n"/>
    </row>
    <row r="30" ht="30" customHeight="1">
      <c r="B30" s="173" t="n"/>
    </row>
  </sheetData>
  <mergeCells count="5">
    <mergeCell ref="C5:E5"/>
    <mergeCell ref="C8:E8"/>
    <mergeCell ref="C9:E9"/>
    <mergeCell ref="C7:E7"/>
    <mergeCell ref="C6:E6"/>
  </mergeCell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7.xml><?xml version="1.0" encoding="utf-8"?>
<worksheet xmlns="http://schemas.openxmlformats.org/spreadsheetml/2006/main">
  <sheetPr>
    <tabColor rgb="00C2D69B"/>
    <outlinePr summaryBelow="1" summaryRight="1"/>
    <pageSetUpPr/>
  </sheetPr>
  <dimension ref="B1:T125"/>
  <sheetViews>
    <sheetView showGridLines="0" topLeftCell="D1" zoomScale="70" zoomScaleNormal="70" zoomScalePageLayoutView="80" workbookViewId="0">
      <selection pane="topRight" activeCell="A1" sqref="A1"/>
      <selection pane="bottomLeft" activeCell="A1" sqref="A1"/>
      <selection pane="bottomRight" activeCell="P7" sqref="P7:P30"/>
    </sheetView>
  </sheetViews>
  <sheetFormatPr baseColWidth="8" defaultColWidth="8.6640625" defaultRowHeight="14.4"/>
  <cols>
    <col width="2" customWidth="1" min="1" max="1"/>
    <col width="6" customWidth="1" min="2" max="2"/>
    <col width="28" customWidth="1" min="3" max="3"/>
    <col width="8" customWidth="1" min="4" max="4"/>
    <col width="6" customWidth="1" min="5" max="5"/>
    <col width="18" customWidth="1" min="6" max="6"/>
    <col width="18" customWidth="1" min="7" max="7"/>
    <col width="10" customWidth="1" min="8" max="8"/>
    <col width="8" customWidth="1" min="9" max="9"/>
    <col width="22" customWidth="1" min="10" max="10"/>
    <col width="18" customWidth="1" min="11" max="11"/>
    <col width="16" customWidth="1" min="12" max="12"/>
    <col width="10" customWidth="1" min="13" max="13"/>
    <col width="8" customWidth="1" min="14" max="14"/>
    <col width="14" customWidth="1" min="15" max="15"/>
    <col width="28" customWidth="1" min="16" max="16"/>
    <col width="8.77734375" customWidth="1" min="17" max="19"/>
    <col width="31.88671875" customWidth="1" min="20" max="20"/>
  </cols>
  <sheetData>
    <row r="1" ht="24" customHeight="1">
      <c r="B1" s="161" t="inlineStr">
        <is>
          <t>5. 項目マッピング（Layer①）</t>
        </is>
      </c>
    </row>
    <row r="2" ht="36" customHeight="1">
      <c r="B2" s="176" t="n"/>
    </row>
    <row r="3" ht="42" customHeight="1">
      <c r="B3" s="177" t="inlineStr">
        <is>
          <t>型変換・選別・コード変換・編集</t>
        </is>
      </c>
      <c r="C3" s="184" t="n"/>
      <c r="D3" s="184" t="n"/>
      <c r="E3" s="184" t="n"/>
      <c r="F3" s="184" t="n"/>
      <c r="G3" s="184" t="n"/>
      <c r="H3" s="184" t="n"/>
      <c r="I3" s="184" t="n"/>
      <c r="J3" s="184" t="n"/>
      <c r="K3" s="184" t="n"/>
      <c r="L3" s="184" t="n"/>
      <c r="M3" s="184" t="n"/>
      <c r="N3" s="184" t="n"/>
      <c r="O3" s="184" t="n"/>
      <c r="P3" s="185" t="n"/>
    </row>
    <row r="4" ht="18" customHeight="1"/>
    <row r="5" ht="42" customHeight="1">
      <c r="Q5" s="29" t="n"/>
      <c r="R5" s="29" t="n"/>
      <c r="S5" s="29" t="n"/>
    </row>
    <row r="6" ht="24" customHeight="1">
      <c r="B6" s="171" t="inlineStr">
        <is>
          <t>No</t>
        </is>
      </c>
      <c r="C6" s="171" t="inlineStr">
        <is>
          <t>【受信先】テーブル</t>
        </is>
      </c>
      <c r="D6" s="171" t="inlineStr">
        <is>
          <t>【受信先】項目名</t>
        </is>
      </c>
      <c r="E6" s="171" t="inlineStr">
        <is>
          <t>物理名</t>
        </is>
      </c>
      <c r="F6" s="171" t="inlineStr">
        <is>
          <t>型</t>
        </is>
      </c>
      <c r="G6" s="171" t="inlineStr">
        <is>
          <t>桁</t>
        </is>
      </c>
      <c r="H6" s="171" t="inlineStr">
        <is>
          <t>必須</t>
        </is>
      </c>
      <c r="I6" s="171" t="inlineStr">
        <is>
          <t>【送信元】テーブル</t>
        </is>
      </c>
      <c r="J6" s="171" t="inlineStr">
        <is>
          <t>【送信元】項目名</t>
        </is>
      </c>
      <c r="K6" s="171" t="inlineStr">
        <is>
          <t>物理名</t>
        </is>
      </c>
      <c r="L6" s="171" t="inlineStr">
        <is>
          <t>型</t>
        </is>
      </c>
      <c r="M6" s="171" t="inlineStr">
        <is>
          <t>桁</t>
        </is>
      </c>
      <c r="N6" s="171" t="inlineStr">
        <is>
          <t>必須</t>
        </is>
      </c>
      <c r="O6" s="171" t="inlineStr">
        <is>
          <t>マッピング区分</t>
        </is>
      </c>
      <c r="P6" s="171" t="inlineStr">
        <is>
          <t>変換ルールID／変換内容</t>
        </is>
      </c>
      <c r="Q6" s="171" t="inlineStr">
        <is>
          <t>Phase1 GAP No.</t>
        </is>
      </c>
      <c r="R6" s="171" t="inlineStr">
        <is>
          <t>関連課題No.</t>
        </is>
      </c>
      <c r="S6" s="171" t="inlineStr">
        <is>
          <t>確定状況</t>
        </is>
      </c>
      <c r="T6" s="171" t="inlineStr">
        <is>
          <t>備考</t>
        </is>
      </c>
    </row>
    <row r="7" ht="42" customHeight="1">
      <c r="B7" s="172" t="n">
        <v>1</v>
      </c>
      <c r="C7" s="172" t="inlineStr">
        <is>
          <t>発注IF SIREJAN_RCMDORDER_LAST</t>
        </is>
      </c>
      <c r="D7" s="172" t="inlineStr">
        <is>
          <t>店舗CD</t>
        </is>
      </c>
      <c r="E7" s="172" t="inlineStr">
        <is>
          <t>BranchCD</t>
        </is>
      </c>
      <c r="F7" s="172" t="inlineStr">
        <is>
          <t>固定長</t>
        </is>
      </c>
      <c r="G7" s="172" t="inlineStr">
        <is>
          <t>4</t>
        </is>
      </c>
      <c r="H7" s="172" t="inlineStr">
        <is>
          <t>○</t>
        </is>
      </c>
      <c r="I7" s="172" t="inlineStr">
        <is>
          <t>Sinops subkankoku.txt</t>
        </is>
      </c>
      <c r="J7" s="172" t="inlineStr">
        <is>
          <t>店舗コード</t>
        </is>
      </c>
      <c r="K7" s="145" t="inlineStr"/>
      <c r="L7" s="172" t="inlineStr">
        <is>
          <t>固定長</t>
        </is>
      </c>
      <c r="M7" s="172" t="inlineStr">
        <is>
          <t>6</t>
        </is>
      </c>
      <c r="N7" s="172" t="inlineStr">
        <is>
          <t>○</t>
        </is>
      </c>
      <c r="O7" s="172" t="inlineStr">
        <is>
          <t>編集</t>
        </is>
      </c>
      <c r="P7" s="172" t="inlineStr">
        <is>
          <t>マスタ統合後の店CD。6→4 の独自切捨てなし。桁は統合後 TBD-01</t>
        </is>
      </c>
      <c r="Q7" s="172" t="inlineStr">
        <is>
          <t>G02</t>
        </is>
      </c>
      <c r="R7" s="172" t="inlineStr">
        <is>
          <t>G-05</t>
        </is>
      </c>
      <c r="S7" s="172" t="inlineStr">
        <is>
          <t>一部確定</t>
        </is>
      </c>
      <c r="T7" s="172" t="inlineStr">
        <is>
          <t>マスタ統合で紐付け解決</t>
        </is>
      </c>
    </row>
    <row r="8" ht="31.5" customHeight="1">
      <c r="B8" s="172" t="n">
        <v>2</v>
      </c>
      <c r="C8" s="172" t="inlineStr">
        <is>
          <t>発注IF SIREJAN_RCMDORDER_LAST</t>
        </is>
      </c>
      <c r="D8" s="172" t="inlineStr">
        <is>
          <t>仕入発注JAN</t>
        </is>
      </c>
      <c r="E8" s="172" t="inlineStr">
        <is>
          <t>SireJAN</t>
        </is>
      </c>
      <c r="F8" s="172" t="inlineStr">
        <is>
          <t>固定長</t>
        </is>
      </c>
      <c r="G8" s="172" t="inlineStr">
        <is>
          <t>20</t>
        </is>
      </c>
      <c r="H8" s="172" t="inlineStr">
        <is>
          <t>○</t>
        </is>
      </c>
      <c r="I8" s="172" t="inlineStr">
        <is>
          <t>Sinops subkankoku.txt</t>
        </is>
      </c>
      <c r="J8" s="172" t="inlineStr">
        <is>
          <t>商品コード</t>
        </is>
      </c>
      <c r="K8" s="145" t="inlineStr"/>
      <c r="L8" s="172" t="inlineStr">
        <is>
          <t>固定長</t>
        </is>
      </c>
      <c r="M8" s="172" t="inlineStr">
        <is>
          <t>13</t>
        </is>
      </c>
      <c r="N8" s="172" t="inlineStr">
        <is>
          <t>○</t>
        </is>
      </c>
      <c r="O8" s="172" t="inlineStr">
        <is>
          <t>編集</t>
        </is>
      </c>
      <c r="P8" s="172" t="inlineStr">
        <is>
          <t>統合後の商品コード。独自の仕入JAN変換なし。先頭ゼロ保持</t>
        </is>
      </c>
      <c r="Q8" s="172" t="inlineStr">
        <is>
          <t>G11</t>
        </is>
      </c>
      <c r="R8" s="172" t="inlineStr">
        <is>
          <t>G-05</t>
        </is>
      </c>
      <c r="S8" s="172" t="inlineStr">
        <is>
          <t>一部確定</t>
        </is>
      </c>
      <c r="T8" s="172" t="inlineStr">
        <is>
          <t>マスタ統合で紐付け解決</t>
        </is>
      </c>
    </row>
    <row r="9" ht="21.75" customHeight="1">
      <c r="B9" s="172" t="n">
        <v>3</v>
      </c>
      <c r="C9" s="172" t="inlineStr">
        <is>
          <t>発注IF SIREJAN_RCMDORDER_LAST</t>
        </is>
      </c>
      <c r="D9" s="172" t="inlineStr">
        <is>
          <t>推奨発注数量</t>
        </is>
      </c>
      <c r="E9" s="172" t="inlineStr">
        <is>
          <t>SireJAN_rcmd_end</t>
        </is>
      </c>
      <c r="F9" s="172" t="inlineStr">
        <is>
          <t>可変長</t>
        </is>
      </c>
      <c r="G9" s="172" t="inlineStr">
        <is>
          <t>－</t>
        </is>
      </c>
      <c r="H9" s="172" t="inlineStr">
        <is>
          <t>○</t>
        </is>
      </c>
      <c r="I9" s="172" t="inlineStr">
        <is>
          <t>Sinops subkankoku.txt</t>
        </is>
      </c>
      <c r="J9" s="172" t="inlineStr">
        <is>
          <t>発注バラ数</t>
        </is>
      </c>
      <c r="K9" s="145" t="inlineStr"/>
      <c r="L9" s="172" t="inlineStr">
        <is>
          <t>数値</t>
        </is>
      </c>
      <c r="M9" s="172" t="inlineStr">
        <is>
          <t>－</t>
        </is>
      </c>
      <c r="N9" s="172" t="inlineStr">
        <is>
          <t>○</t>
        </is>
      </c>
      <c r="O9" s="172" t="inlineStr">
        <is>
          <t>直連携</t>
        </is>
      </c>
      <c r="P9" s="172" t="inlineStr">
        <is>
          <t>R04／×1000しない。発注単位の整数倍であれば可（発注バラ数を直接）。倍数へ丸めない</t>
        </is>
      </c>
      <c r="Q9" s="172" t="inlineStr">
        <is>
          <t>G04</t>
        </is>
      </c>
      <c r="R9" s="172" t="inlineStr">
        <is>
          <t>G-05</t>
        </is>
      </c>
      <c r="S9" s="172" t="inlineStr">
        <is>
          <t>確定</t>
        </is>
      </c>
      <c r="T9" s="145" t="inlineStr"/>
    </row>
    <row r="10" ht="30" customHeight="1">
      <c r="B10" s="148" t="n">
        <v>4</v>
      </c>
      <c r="C10" s="148" t="inlineStr">
        <is>
          <t>発注IF SIREJAN_RCMDORDER_LAST</t>
        </is>
      </c>
      <c r="D10" s="148" t="inlineStr">
        <is>
          <t>ベンダーCD</t>
        </is>
      </c>
      <c r="E10" s="10" t="inlineStr"/>
      <c r="F10" s="148" t="inlineStr">
        <is>
          <t>固定長</t>
        </is>
      </c>
      <c r="G10" s="148" t="inlineStr">
        <is>
          <t>8</t>
        </is>
      </c>
      <c r="H10" s="148" t="inlineStr">
        <is>
          <t>○</t>
        </is>
      </c>
      <c r="I10" s="148" t="inlineStr">
        <is>
          <t>Sinops subkankoku.txt</t>
        </is>
      </c>
      <c r="J10" s="148" t="inlineStr">
        <is>
          <t>仕入先コード</t>
        </is>
      </c>
      <c r="K10" s="10" t="inlineStr"/>
      <c r="L10" s="148" t="inlineStr">
        <is>
          <t>固定長</t>
        </is>
      </c>
      <c r="M10" s="148" t="inlineStr">
        <is>
          <t>9</t>
        </is>
      </c>
      <c r="N10" s="148" t="inlineStr">
        <is>
          <t>○</t>
        </is>
      </c>
      <c r="O10" s="148" t="inlineStr">
        <is>
          <t>編集</t>
        </is>
      </c>
      <c r="P10" s="148" t="inlineStr">
        <is>
          <t>マスタ統合後の仕入先。9→8 の独自切捨てなし。桁は統合後 TBD-08</t>
        </is>
      </c>
      <c r="Q10" s="148" t="inlineStr">
        <is>
          <t>G03</t>
        </is>
      </c>
      <c r="R10" s="148" t="inlineStr">
        <is>
          <t>G-05</t>
        </is>
      </c>
      <c r="S10" s="148" t="inlineStr">
        <is>
          <t>一部確定</t>
        </is>
      </c>
      <c r="T10" s="148" t="inlineStr">
        <is>
          <t>マスタ統合で紐付け解決</t>
        </is>
      </c>
    </row>
    <row r="11" ht="21.75" customHeight="1">
      <c r="B11" s="148" t="n">
        <v>5</v>
      </c>
      <c r="C11" s="148" t="inlineStr">
        <is>
          <t>発注IF SIREJAN_RCMDORDER_LAST</t>
        </is>
      </c>
      <c r="D11" s="148" t="inlineStr">
        <is>
          <t>納品日</t>
        </is>
      </c>
      <c r="E11" s="148" t="inlineStr">
        <is>
          <t>ShippingDate</t>
        </is>
      </c>
      <c r="F11" s="148" t="inlineStr">
        <is>
          <t>固定長</t>
        </is>
      </c>
      <c r="G11" s="148" t="inlineStr">
        <is>
          <t>8</t>
        </is>
      </c>
      <c r="H11" s="148" t="inlineStr">
        <is>
          <t>○</t>
        </is>
      </c>
      <c r="I11" s="148" t="inlineStr">
        <is>
          <t>Sinops subkankoku.txt</t>
        </is>
      </c>
      <c r="J11" s="148" t="inlineStr">
        <is>
          <t>納品日</t>
        </is>
      </c>
      <c r="K11" s="10" t="inlineStr"/>
      <c r="L11" s="148" t="inlineStr">
        <is>
          <t>固定長</t>
        </is>
      </c>
      <c r="M11" s="148" t="inlineStr">
        <is>
          <t>8</t>
        </is>
      </c>
      <c r="N11" s="148" t="inlineStr">
        <is>
          <t>○</t>
        </is>
      </c>
      <c r="O11" s="148" t="inlineStr">
        <is>
          <t>直連携</t>
        </is>
      </c>
      <c r="P11" s="148" t="inlineStr">
        <is>
          <t>R06／yyyymmdd のまま</t>
        </is>
      </c>
      <c r="Q11" s="10" t="inlineStr"/>
      <c r="R11" s="148" t="inlineStr">
        <is>
          <t>G-05</t>
        </is>
      </c>
      <c r="S11" s="148" t="inlineStr">
        <is>
          <t>確定</t>
        </is>
      </c>
      <c r="T11" s="10" t="inlineStr"/>
    </row>
    <row r="12" ht="66" customHeight="1">
      <c r="B12" s="148" t="n">
        <v>6</v>
      </c>
      <c r="C12" s="148" t="inlineStr">
        <is>
          <t>発注IF SIREJAN_RCMDORDER_LAST</t>
        </is>
      </c>
      <c r="D12" s="148" t="inlineStr">
        <is>
          <t>Ordertype</t>
        </is>
      </c>
      <c r="E12" s="10" t="inlineStr"/>
      <c r="F12" s="148" t="inlineStr">
        <is>
          <t>固定長</t>
        </is>
      </c>
      <c r="G12" s="148" t="inlineStr">
        <is>
          <t>1</t>
        </is>
      </c>
      <c r="H12" s="148" t="inlineStr">
        <is>
          <t>○</t>
        </is>
      </c>
      <c r="I12" s="148" t="inlineStr">
        <is>
          <t>Sinops 勧告ファイル 西友中分類（西友ライン＝部門）／自動発注GCS JIHA.BUMON_ZONE／JIHA.ZONE_LOGIC</t>
        </is>
      </c>
      <c r="J12" s="148" t="inlineStr">
        <is>
          <t>部門（西友ライン）→ ZONECD → 論理区分</t>
        </is>
      </c>
      <c r="K12" s="148" t="inlineStr">
        <is>
          <t>BUMON_CD / ZONECD / 論理区分</t>
        </is>
      </c>
      <c r="L12" s="148" t="inlineStr">
        <is>
          <t>－</t>
        </is>
      </c>
      <c r="M12" s="148" t="inlineStr">
        <is>
          <t>－</t>
        </is>
      </c>
      <c r="N12" s="148" t="inlineStr">
        <is>
          <t>○</t>
        </is>
      </c>
      <c r="O12" s="148" t="inlineStr">
        <is>
          <t>編集</t>
        </is>
      </c>
      <c r="P12" s="148" t="inlineStr">
        <is>
          <t>R07／Ordertypeはsinopsに無い。部門CDは勧告ファイルの西友中分類（西友ライン＝階層4）。大分類（デパ）＝ディビジョン、小分類（ファインライン）＝カテゴリ、JAN＝単品JAN。TRIAL商品マスタは見ない。論理区分01→0、02→1、03→1。JIHA.BUMON_ZONE / ZONE_LOGIC（自動発注GCS）</t>
        </is>
      </c>
      <c r="Q12" s="148" t="inlineStr">
        <is>
          <t>G05</t>
        </is>
      </c>
      <c r="R12" s="148" t="inlineStr">
        <is>
          <t>G-05</t>
        </is>
      </c>
      <c r="S12" s="148" t="inlineStr">
        <is>
          <t>確定</t>
        </is>
      </c>
      <c r="T12" s="148" t="inlineStr">
        <is>
          <t>Layer① で付与。商品マスタは見ない。02と03はどちらも1</t>
        </is>
      </c>
    </row>
    <row r="13" ht="21.75" customHeight="1">
      <c r="B13" s="148" t="n">
        <v>7</v>
      </c>
      <c r="C13" s="148" t="inlineStr">
        <is>
          <t>発注IF SIREJAN_RCMDORDER_LAST</t>
        </is>
      </c>
      <c r="D13" s="148" t="inlineStr">
        <is>
          <t>更新日</t>
        </is>
      </c>
      <c r="E13" s="10" t="inlineStr"/>
      <c r="F13" s="148" t="inlineStr">
        <is>
          <t>固定長</t>
        </is>
      </c>
      <c r="G13" s="148" t="inlineStr">
        <is>
          <t>8</t>
        </is>
      </c>
      <c r="H13" s="148" t="inlineStr">
        <is>
          <t>○</t>
        </is>
      </c>
      <c r="I13" s="148" t="inlineStr">
        <is>
          <t>Sinops subkankoku.txt</t>
        </is>
      </c>
      <c r="J13" s="148" t="inlineStr">
        <is>
          <t>発注日（候補）</t>
        </is>
      </c>
      <c r="K13" s="10" t="inlineStr"/>
      <c r="L13" s="148" t="inlineStr">
        <is>
          <t>固定長</t>
        </is>
      </c>
      <c r="M13" s="148" t="inlineStr">
        <is>
          <t>8</t>
        </is>
      </c>
      <c r="N13" s="148" t="inlineStr">
        <is>
          <t>△</t>
        </is>
      </c>
      <c r="O13" s="148" t="inlineStr">
        <is>
          <t>編集</t>
        </is>
      </c>
      <c r="P13" s="148" t="inlineStr">
        <is>
          <t>業務日かDB更新日か TBD-10</t>
        </is>
      </c>
      <c r="Q13" s="148" t="inlineStr">
        <is>
          <t>G07</t>
        </is>
      </c>
      <c r="R13" s="148" t="inlineStr">
        <is>
          <t>G-05</t>
        </is>
      </c>
      <c r="S13" s="148" t="inlineStr">
        <is>
          <t>未確定</t>
        </is>
      </c>
      <c r="T13" s="10" t="inlineStr"/>
    </row>
    <row r="14" ht="21.75" customHeight="1"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</row>
    <row r="15" ht="21.75" customHeight="1"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</row>
    <row r="16" ht="21.75" customHeight="1"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</row>
    <row r="17" ht="21.75" customHeight="1"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</row>
    <row r="18" ht="21.75" customHeight="1"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</row>
    <row r="19" ht="21.75" customHeight="1"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</row>
    <row r="20" ht="21.75" customHeight="1"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</row>
    <row r="21" ht="21.75" customHeight="1"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</row>
    <row r="22" ht="21.75" customHeight="1"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</row>
    <row r="23" ht="21.75" customHeight="1"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</row>
    <row r="24" ht="21.75" customHeight="1"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</row>
    <row r="25" ht="21.75" customHeight="1"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</row>
    <row r="26" ht="21.75" customHeight="1"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</row>
    <row r="27" ht="21.75" customHeight="1"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</row>
    <row r="28" ht="21.75" customHeight="1"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</row>
    <row r="29" ht="21.75" customHeight="1"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</row>
    <row r="30" ht="21.75" customHeight="1"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</row>
    <row r="31" ht="21.75" customHeight="1"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</row>
    <row r="32" ht="21.75" customHeight="1"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</row>
    <row r="33" ht="21.75" customHeight="1"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</row>
    <row r="34" ht="21.75" customHeight="1"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</row>
    <row r="35" ht="21.75" customHeight="1"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</row>
    <row r="36" ht="21.75" customHeight="1"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</row>
    <row r="37" ht="21.75" customHeight="1"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</row>
    <row r="38" ht="21.75" customHeight="1"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</row>
    <row r="39" ht="21.75" customHeight="1"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</row>
    <row r="40" ht="21.75" customHeight="1"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</row>
    <row r="41" ht="21.75" customHeight="1"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</row>
    <row r="42" ht="21.75" customHeight="1"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</row>
    <row r="43" ht="21.75" customHeight="1"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</row>
    <row r="44" ht="21.75" customHeight="1"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</row>
    <row r="45" ht="21.75" customHeight="1"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</row>
    <row r="46" ht="21.75" customHeight="1"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</row>
    <row r="47" ht="21.75" customHeight="1"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</row>
    <row r="48" ht="21.75" customHeight="1"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</row>
    <row r="49" ht="18" customHeight="1"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</row>
    <row r="50" ht="21.75" customHeight="1"/>
    <row r="51" ht="30" customHeight="1">
      <c r="B51" s="162" t="inlineStr">
        <is>
          <t>■ 集計（手入力）</t>
        </is>
      </c>
      <c r="C51" s="131" t="n"/>
      <c r="D51" s="131" t="n"/>
      <c r="E51" s="131" t="n"/>
      <c r="F51" s="131" t="n"/>
      <c r="G51" s="131" t="n"/>
    </row>
    <row r="52" ht="18" customHeight="1">
      <c r="B52" s="172" t="inlineStr">
        <is>
          <t>項目数</t>
        </is>
      </c>
      <c r="C52" s="172" t="n">
        <v>7</v>
      </c>
      <c r="D52" s="145" t="n"/>
      <c r="E52" s="145" t="n"/>
      <c r="F52" s="145" t="n"/>
      <c r="G52" s="145" t="n"/>
    </row>
    <row r="53" ht="18" customHeight="1">
      <c r="B53" s="172" t="inlineStr">
        <is>
          <t>確定</t>
        </is>
      </c>
      <c r="C53" s="172" t="n">
        <v>3</v>
      </c>
      <c r="D53" s="172" t="inlineStr">
        <is>
          <t>一部確定</t>
        </is>
      </c>
      <c r="E53" s="172" t="n">
        <v>1</v>
      </c>
      <c r="F53" s="172" t="inlineStr">
        <is>
          <t>未確定</t>
        </is>
      </c>
      <c r="G53" s="172" t="n">
        <v>3</v>
      </c>
    </row>
    <row r="54" ht="18" customHeight="1"/>
    <row r="55" ht="18" customHeight="1">
      <c r="B55" s="2" t="n"/>
    </row>
    <row r="56" ht="18" customHeight="1">
      <c r="B56" s="2" t="n"/>
    </row>
    <row r="57" ht="18" customHeight="1">
      <c r="B57" s="11" t="n"/>
    </row>
    <row r="58" ht="18" customHeight="1">
      <c r="B58" s="11" t="n"/>
    </row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409.6" customHeight="1"/>
    <row r="73" ht="18" customHeight="1">
      <c r="T73" s="57" t="n"/>
    </row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28.8" customHeight="1"/>
    <row r="84" ht="18" customHeight="1">
      <c r="P84" s="57" t="n"/>
    </row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72" customHeight="1"/>
    <row r="94" ht="18" customHeight="1">
      <c r="I94" s="57" t="n"/>
    </row>
    <row r="95" ht="316.8" customHeight="1"/>
    <row r="96" ht="18" customHeight="1">
      <c r="T96" s="57" t="n"/>
    </row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403.2" customHeight="1"/>
    <row r="125" ht="18" customHeight="1">
      <c r="I125" s="57" t="n"/>
      <c r="T125" s="57" t="n"/>
    </row>
  </sheetData>
  <mergeCells count="1">
    <mergeCell ref="B3:P3"/>
  </mergeCells>
  <dataValidations disablePrompts="1" count="3">
    <dataValidation sqref="O9:O49" showDropDown="0" showInputMessage="0" showErrorMessage="0" allowBlank="1" type="list">
      <formula1>"直連携,変換,固定値,編集,対象外,TBD"</formula1>
      <formula2>0</formula2>
    </dataValidation>
    <dataValidation sqref="S9:S49" showDropDown="0" showInputMessage="0" showErrorMessage="0" allowBlank="1" type="list">
      <formula1>"確定,確認中,未確定"</formula1>
      <formula2>0</formula2>
    </dataValidation>
    <dataValidation sqref="H9:I49 N9:N49" showDropDown="0" showInputMessage="0" showErrorMessage="0" allowBlank="1" type="list">
      <formula1>"○,－"</formula1>
      <formula2>0</formula2>
    </dataValidation>
  </dataValidation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8.xml><?xml version="1.0" encoding="utf-8"?>
<worksheet xmlns="http://schemas.openxmlformats.org/spreadsheetml/2006/main">
  <sheetPr>
    <tabColor rgb="00C2D69B"/>
    <outlinePr summaryBelow="1" summaryRight="1"/>
    <pageSetUpPr/>
  </sheetPr>
  <dimension ref="B1:P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28" customWidth="1" min="3" max="3"/>
    <col width="8" customWidth="1" min="4" max="4"/>
    <col width="6" customWidth="1" min="5" max="5"/>
    <col width="18" customWidth="1" min="6" max="6"/>
    <col width="18" customWidth="1" min="7" max="7"/>
    <col width="10" customWidth="1" min="8" max="8"/>
    <col width="8" customWidth="1" min="9" max="9"/>
    <col width="22" customWidth="1" min="10" max="10"/>
    <col width="18" customWidth="1" min="11" max="11"/>
    <col width="16" customWidth="1" min="12" max="12"/>
    <col width="10" customWidth="1" min="13" max="13"/>
    <col width="8" customWidth="1" min="14" max="14"/>
    <col width="14" customWidth="1" min="15" max="15"/>
    <col width="28" customWidth="1" min="16" max="16"/>
  </cols>
  <sheetData>
    <row r="1" ht="24" customHeight="1">
      <c r="B1" s="161" t="inlineStr">
        <is>
          <t>5. 項目マッピング（Layer②）</t>
        </is>
      </c>
    </row>
    <row r="2" ht="36" customHeight="1">
      <c r="B2" s="176" t="inlineStr">
        <is>
          <t>対象外。Intake しない</t>
        </is>
      </c>
    </row>
    <row r="3" ht="18" customHeight="1"/>
    <row r="4" ht="22" customHeight="1">
      <c r="B4" s="162" t="inlineStr">
        <is>
          <t>■ 適用</t>
        </is>
      </c>
    </row>
    <row r="5" ht="30" customHeight="1">
      <c r="B5" s="173" t="n"/>
    </row>
    <row r="6" ht="18" customHeight="1"/>
    <row r="7" ht="24" customHeight="1">
      <c r="B7" s="171" t="inlineStr">
        <is>
          <t>No</t>
        </is>
      </c>
      <c r="C7" s="171" t="inlineStr">
        <is>
          <t>【受信先】テーブル</t>
        </is>
      </c>
      <c r="D7" s="171" t="inlineStr">
        <is>
          <t>【受信先】項目名</t>
        </is>
      </c>
      <c r="E7" s="171" t="inlineStr">
        <is>
          <t>物理名</t>
        </is>
      </c>
      <c r="F7" s="171" t="inlineStr">
        <is>
          <t>型</t>
        </is>
      </c>
      <c r="G7" s="171" t="inlineStr">
        <is>
          <t>桁</t>
        </is>
      </c>
      <c r="H7" s="171" t="inlineStr">
        <is>
          <t>必須</t>
        </is>
      </c>
      <c r="I7" s="171" t="inlineStr">
        <is>
          <t>【送信元】テーブル</t>
        </is>
      </c>
      <c r="J7" s="171" t="inlineStr">
        <is>
          <t>【送信元】項目名</t>
        </is>
      </c>
      <c r="K7" s="171" t="inlineStr">
        <is>
          <t>物理名</t>
        </is>
      </c>
      <c r="L7" s="171" t="inlineStr">
        <is>
          <t>型</t>
        </is>
      </c>
      <c r="M7" s="171" t="inlineStr">
        <is>
          <t>桁</t>
        </is>
      </c>
      <c r="N7" s="171" t="inlineStr">
        <is>
          <t>必須</t>
        </is>
      </c>
      <c r="O7" s="171" t="inlineStr">
        <is>
          <t>マッピング区分</t>
        </is>
      </c>
      <c r="P7" s="171" t="inlineStr">
        <is>
          <t>備考</t>
        </is>
      </c>
    </row>
  </sheetData>
  <mergeCells count="1">
    <mergeCell ref="B2:P2"/>
  </mergeCells>
  <pageMargins left="0.5" right="0.5" top="0.5" bottom="0.5" header="0.5" footer="0.5"/>
</worksheet>
</file>

<file path=xl/worksheets/sheet9.xml><?xml version="1.0" encoding="utf-8"?>
<worksheet xmlns="http://schemas.openxmlformats.org/spreadsheetml/2006/main">
  <sheetPr>
    <tabColor rgb="00C2D69B"/>
    <outlinePr summaryBelow="1" summaryRight="1"/>
    <pageSetUpPr/>
  </sheetPr>
  <dimension ref="B1:P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28" customWidth="1" min="3" max="3"/>
    <col width="8" customWidth="1" min="4" max="4"/>
    <col width="6" customWidth="1" min="5" max="5"/>
    <col width="18" customWidth="1" min="6" max="6"/>
    <col width="18" customWidth="1" min="7" max="7"/>
    <col width="10" customWidth="1" min="8" max="8"/>
    <col width="8" customWidth="1" min="9" max="9"/>
    <col width="22" customWidth="1" min="10" max="10"/>
    <col width="18" customWidth="1" min="11" max="11"/>
    <col width="16" customWidth="1" min="12" max="12"/>
    <col width="10" customWidth="1" min="13" max="13"/>
    <col width="8" customWidth="1" min="14" max="14"/>
    <col width="14" customWidth="1" min="15" max="15"/>
    <col width="28" customWidth="1" min="16" max="16"/>
  </cols>
  <sheetData>
    <row r="1" ht="24" customHeight="1">
      <c r="B1" s="161" t="inlineStr">
        <is>
          <t>5. 項目マッピング（Layer③）</t>
        </is>
      </c>
    </row>
    <row r="2" ht="40" customHeight="1">
      <c r="B2" s="176" t="inlineStr">
        <is>
          <t>全フィールド転送。物理名 subkankoku_YYYYMMDDhhmmss.gz（論理 subkankoku.txt）。完了印は空の subkankoku.end</t>
        </is>
      </c>
    </row>
    <row r="3" ht="30" customHeight="1">
      <c r="B3" s="173" t="inlineStr">
        <is>
          <t>区分は直連携（全項目通過）</t>
        </is>
      </c>
    </row>
    <row r="4" ht="18" customHeight="1"/>
    <row r="5" ht="24" customHeight="1">
      <c r="B5" s="171" t="inlineStr">
        <is>
          <t>No</t>
        </is>
      </c>
      <c r="C5" s="171" t="inlineStr">
        <is>
          <t>【受信先】テーブル</t>
        </is>
      </c>
      <c r="D5" s="171" t="inlineStr">
        <is>
          <t>【受信先】項目名</t>
        </is>
      </c>
      <c r="E5" s="171" t="inlineStr">
        <is>
          <t>物理名</t>
        </is>
      </c>
      <c r="F5" s="171" t="inlineStr">
        <is>
          <t>型</t>
        </is>
      </c>
      <c r="G5" s="171" t="inlineStr">
        <is>
          <t>桁</t>
        </is>
      </c>
      <c r="H5" s="171" t="inlineStr">
        <is>
          <t>必須</t>
        </is>
      </c>
      <c r="I5" s="171" t="inlineStr">
        <is>
          <t>【送信元】テーブル</t>
        </is>
      </c>
      <c r="J5" s="171" t="inlineStr">
        <is>
          <t>【送信元】項目名</t>
        </is>
      </c>
      <c r="K5" s="171" t="inlineStr">
        <is>
          <t>物理名</t>
        </is>
      </c>
      <c r="L5" s="171" t="inlineStr">
        <is>
          <t>型</t>
        </is>
      </c>
      <c r="M5" s="171" t="inlineStr">
        <is>
          <t>桁</t>
        </is>
      </c>
      <c r="N5" s="171" t="inlineStr">
        <is>
          <t>必須</t>
        </is>
      </c>
      <c r="O5" s="171" t="inlineStr">
        <is>
          <t>マッピング区分</t>
        </is>
      </c>
      <c r="P5" s="171" t="inlineStr">
        <is>
          <t>備考</t>
        </is>
      </c>
    </row>
    <row r="6" ht="30" customHeight="1">
      <c r="B6" s="152" t="n">
        <v>1</v>
      </c>
      <c r="C6" s="152" t="inlineStr">
        <is>
          <t>連携用GCS / subkankoku_YYYYMMDDhhmmss.gz（論理 subkankoku.txt）</t>
        </is>
      </c>
      <c r="D6" s="152" t="inlineStr">
        <is>
          <t>店舗コード</t>
        </is>
      </c>
      <c r="E6" s="152" t="inlineStr">
        <is>
          <t>—</t>
        </is>
      </c>
      <c r="F6" s="152" t="inlineStr">
        <is>
          <t>文字</t>
        </is>
      </c>
      <c r="G6" s="152" t="inlineStr">
        <is>
          <t>6</t>
        </is>
      </c>
      <c r="H6" s="152" t="inlineStr">
        <is>
          <t>○</t>
        </is>
      </c>
      <c r="I6" s="152" t="inlineStr">
        <is>
          <t>Sinops 発注勧告（subkankoku.txt 元）</t>
        </is>
      </c>
      <c r="J6" s="152" t="inlineStr">
        <is>
          <t>店舗コード</t>
        </is>
      </c>
      <c r="K6" s="152" t="inlineStr">
        <is>
          <t>—</t>
        </is>
      </c>
      <c r="L6" s="152" t="inlineStr">
        <is>
          <t>文字</t>
        </is>
      </c>
      <c r="M6" s="152" t="inlineStr">
        <is>
          <t>6</t>
        </is>
      </c>
      <c r="N6" s="152" t="inlineStr">
        <is>
          <t>○</t>
        </is>
      </c>
      <c r="O6" s="179" t="inlineStr">
        <is>
          <t>直連携（全項目通過）</t>
        </is>
      </c>
      <c r="P6" s="152" t="n"/>
    </row>
    <row r="7" ht="30" customHeight="1">
      <c r="B7" s="152" t="n">
        <v>2</v>
      </c>
      <c r="C7" s="152" t="inlineStr">
        <is>
          <t>連携用GCS / subkankoku_YYYYMMDDhhmmss.gz（論理 subkankoku.txt）</t>
        </is>
      </c>
      <c r="D7" s="152" t="inlineStr">
        <is>
          <t>発注日</t>
        </is>
      </c>
      <c r="E7" s="152" t="inlineStr">
        <is>
          <t>—</t>
        </is>
      </c>
      <c r="F7" s="152" t="inlineStr">
        <is>
          <t>yyyymmdd</t>
        </is>
      </c>
      <c r="G7" s="152" t="inlineStr">
        <is>
          <t>8</t>
        </is>
      </c>
      <c r="H7" s="152" t="inlineStr">
        <is>
          <t>－</t>
        </is>
      </c>
      <c r="I7" s="152" t="inlineStr">
        <is>
          <t>Sinops 発注勧告（subkankoku.txt 元）</t>
        </is>
      </c>
      <c r="J7" s="152" t="inlineStr">
        <is>
          <t>発注日</t>
        </is>
      </c>
      <c r="K7" s="152" t="inlineStr">
        <is>
          <t>—</t>
        </is>
      </c>
      <c r="L7" s="152" t="inlineStr">
        <is>
          <t>yyyymmdd</t>
        </is>
      </c>
      <c r="M7" s="152" t="inlineStr">
        <is>
          <t>8</t>
        </is>
      </c>
      <c r="N7" s="152" t="inlineStr">
        <is>
          <t>－</t>
        </is>
      </c>
      <c r="O7" s="179" t="inlineStr">
        <is>
          <t>直連携（全項目通過）</t>
        </is>
      </c>
      <c r="P7" s="152" t="n"/>
    </row>
    <row r="8" ht="30" customHeight="1">
      <c r="B8" s="152" t="n">
        <v>3</v>
      </c>
      <c r="C8" s="152" t="inlineStr">
        <is>
          <t>連携用GCS / subkankoku_YYYYMMDDhhmmss.gz（論理 subkankoku.txt）</t>
        </is>
      </c>
      <c r="D8" s="152" t="inlineStr">
        <is>
          <t>商品コード</t>
        </is>
      </c>
      <c r="E8" s="152" t="inlineStr">
        <is>
          <t>—</t>
        </is>
      </c>
      <c r="F8" s="152" t="inlineStr">
        <is>
          <t>文字</t>
        </is>
      </c>
      <c r="G8" s="152" t="inlineStr">
        <is>
          <t>13</t>
        </is>
      </c>
      <c r="H8" s="152" t="inlineStr">
        <is>
          <t>○</t>
        </is>
      </c>
      <c r="I8" s="152" t="inlineStr">
        <is>
          <t>Sinops 発注勧告（subkankoku.txt 元）</t>
        </is>
      </c>
      <c r="J8" s="152" t="inlineStr">
        <is>
          <t>商品コード</t>
        </is>
      </c>
      <c r="K8" s="152" t="inlineStr">
        <is>
          <t>—</t>
        </is>
      </c>
      <c r="L8" s="152" t="inlineStr">
        <is>
          <t>文字</t>
        </is>
      </c>
      <c r="M8" s="152" t="inlineStr">
        <is>
          <t>13</t>
        </is>
      </c>
      <c r="N8" s="152" t="inlineStr">
        <is>
          <t>○</t>
        </is>
      </c>
      <c r="O8" s="179" t="inlineStr">
        <is>
          <t>直連携（全項目通過）</t>
        </is>
      </c>
      <c r="P8" s="152" t="n"/>
    </row>
    <row r="9" ht="30" customHeight="1">
      <c r="B9" s="152" t="n">
        <v>4</v>
      </c>
      <c r="C9" s="152" t="inlineStr">
        <is>
          <t>連携用GCS / subkankoku_YYYYMMDDhhmmss.gz（論理 subkankoku.txt）</t>
        </is>
      </c>
      <c r="D9" s="152" t="inlineStr">
        <is>
          <t>納品日</t>
        </is>
      </c>
      <c r="E9" s="152" t="inlineStr">
        <is>
          <t>—</t>
        </is>
      </c>
      <c r="F9" s="152" t="inlineStr">
        <is>
          <t>yyyymmdd</t>
        </is>
      </c>
      <c r="G9" s="152" t="inlineStr">
        <is>
          <t>8</t>
        </is>
      </c>
      <c r="H9" s="152" t="inlineStr">
        <is>
          <t>○</t>
        </is>
      </c>
      <c r="I9" s="152" t="inlineStr">
        <is>
          <t>Sinops 発注勧告（subkankoku.txt 元）</t>
        </is>
      </c>
      <c r="J9" s="152" t="inlineStr">
        <is>
          <t>納品日</t>
        </is>
      </c>
      <c r="K9" s="152" t="inlineStr">
        <is>
          <t>—</t>
        </is>
      </c>
      <c r="L9" s="152" t="inlineStr">
        <is>
          <t>yyyymmdd</t>
        </is>
      </c>
      <c r="M9" s="152" t="inlineStr">
        <is>
          <t>8</t>
        </is>
      </c>
      <c r="N9" s="152" t="inlineStr">
        <is>
          <t>○</t>
        </is>
      </c>
      <c r="O9" s="179" t="inlineStr">
        <is>
          <t>直連携（全項目通過）</t>
        </is>
      </c>
      <c r="P9" s="152" t="n"/>
    </row>
    <row r="10" ht="30" customHeight="1">
      <c r="B10" s="152" t="n">
        <v>5</v>
      </c>
      <c r="C10" s="152" t="inlineStr">
        <is>
          <t>連携用GCS / subkankoku_YYYYMMDDhhmmss.gz（論理 subkankoku.txt）</t>
        </is>
      </c>
      <c r="D10" s="152" t="inlineStr">
        <is>
          <t>便区分</t>
        </is>
      </c>
      <c r="E10" s="152" t="inlineStr">
        <is>
          <t>—</t>
        </is>
      </c>
      <c r="F10" s="152" t="inlineStr">
        <is>
          <t>文字</t>
        </is>
      </c>
      <c r="G10" s="152" t="inlineStr">
        <is>
          <t>2</t>
        </is>
      </c>
      <c r="H10" s="152" t="inlineStr">
        <is>
          <t>○</t>
        </is>
      </c>
      <c r="I10" s="152" t="inlineStr">
        <is>
          <t>Sinops 発注勧告（subkankoku.txt 元）</t>
        </is>
      </c>
      <c r="J10" s="152" t="inlineStr">
        <is>
          <t>便区分</t>
        </is>
      </c>
      <c r="K10" s="152" t="inlineStr">
        <is>
          <t>—</t>
        </is>
      </c>
      <c r="L10" s="152" t="inlineStr">
        <is>
          <t>文字</t>
        </is>
      </c>
      <c r="M10" s="152" t="inlineStr">
        <is>
          <t>2</t>
        </is>
      </c>
      <c r="N10" s="152" t="inlineStr">
        <is>
          <t>○</t>
        </is>
      </c>
      <c r="O10" s="179" t="inlineStr">
        <is>
          <t>直連携（全項目通過）</t>
        </is>
      </c>
      <c r="P10" s="152" t="n"/>
    </row>
    <row r="11" ht="30" customHeight="1">
      <c r="B11" s="152" t="n">
        <v>6</v>
      </c>
      <c r="C11" s="152" t="inlineStr">
        <is>
          <t>連携用GCS / subkankoku_YYYYMMDDhhmmss.gz（論理 subkankoku.txt）</t>
        </is>
      </c>
      <c r="D11" s="152" t="inlineStr">
        <is>
          <t>仕入先コード</t>
        </is>
      </c>
      <c r="E11" s="152" t="inlineStr">
        <is>
          <t>—</t>
        </is>
      </c>
      <c r="F11" s="152" t="inlineStr">
        <is>
          <t>文字</t>
        </is>
      </c>
      <c r="G11" s="152" t="inlineStr">
        <is>
          <t>9</t>
        </is>
      </c>
      <c r="H11" s="152" t="inlineStr">
        <is>
          <t>○</t>
        </is>
      </c>
      <c r="I11" s="152" t="inlineStr">
        <is>
          <t>Sinops 発注勧告（subkankoku.txt 元）</t>
        </is>
      </c>
      <c r="J11" s="152" t="inlineStr">
        <is>
          <t>仕入先コード</t>
        </is>
      </c>
      <c r="K11" s="152" t="inlineStr">
        <is>
          <t>—</t>
        </is>
      </c>
      <c r="L11" s="152" t="inlineStr">
        <is>
          <t>文字</t>
        </is>
      </c>
      <c r="M11" s="152" t="inlineStr">
        <is>
          <t>9</t>
        </is>
      </c>
      <c r="N11" s="152" t="inlineStr">
        <is>
          <t>○</t>
        </is>
      </c>
      <c r="O11" s="179" t="inlineStr">
        <is>
          <t>直連携（全項目通過）</t>
        </is>
      </c>
      <c r="P11" s="152" t="n"/>
    </row>
    <row r="12" ht="30" customHeight="1">
      <c r="B12" s="152" t="n">
        <v>7</v>
      </c>
      <c r="C12" s="152" t="inlineStr">
        <is>
          <t>連携用GCS / subkankoku_YYYYMMDDhhmmss.gz（論理 subkankoku.txt）</t>
        </is>
      </c>
      <c r="D12" s="152" t="inlineStr">
        <is>
          <t>大分類コード</t>
        </is>
      </c>
      <c r="E12" s="152" t="inlineStr">
        <is>
          <t>—</t>
        </is>
      </c>
      <c r="F12" s="152" t="inlineStr">
        <is>
          <t>文字</t>
        </is>
      </c>
      <c r="G12" s="152" t="inlineStr">
        <is>
          <t>2</t>
        </is>
      </c>
      <c r="H12" s="152" t="inlineStr">
        <is>
          <t>－</t>
        </is>
      </c>
      <c r="I12" s="152" t="inlineStr">
        <is>
          <t>Sinops 発注勧告（subkankoku.txt 元）</t>
        </is>
      </c>
      <c r="J12" s="152" t="inlineStr">
        <is>
          <t>大分類コード</t>
        </is>
      </c>
      <c r="K12" s="152" t="inlineStr">
        <is>
          <t>—</t>
        </is>
      </c>
      <c r="L12" s="152" t="inlineStr">
        <is>
          <t>文字</t>
        </is>
      </c>
      <c r="M12" s="152" t="inlineStr">
        <is>
          <t>2</t>
        </is>
      </c>
      <c r="N12" s="152" t="inlineStr">
        <is>
          <t>－</t>
        </is>
      </c>
      <c r="O12" s="179" t="inlineStr">
        <is>
          <t>直連携（全項目通過）</t>
        </is>
      </c>
      <c r="P12" s="152" t="n"/>
    </row>
    <row r="13" ht="30" customHeight="1">
      <c r="B13" s="152" t="n">
        <v>8</v>
      </c>
      <c r="C13" s="152" t="inlineStr">
        <is>
          <t>連携用GCS / subkankoku_YYYYMMDDhhmmss.gz（論理 subkankoku.txt）</t>
        </is>
      </c>
      <c r="D13" s="152" t="inlineStr">
        <is>
          <t>中分類コード</t>
        </is>
      </c>
      <c r="E13" s="152" t="inlineStr">
        <is>
          <t>—</t>
        </is>
      </c>
      <c r="F13" s="152" t="inlineStr">
        <is>
          <t>文字</t>
        </is>
      </c>
      <c r="G13" s="152" t="inlineStr">
        <is>
          <t>4</t>
        </is>
      </c>
      <c r="H13" s="152" t="inlineStr">
        <is>
          <t>－</t>
        </is>
      </c>
      <c r="I13" s="152" t="inlineStr">
        <is>
          <t>Sinops 発注勧告（subkankoku.txt 元）</t>
        </is>
      </c>
      <c r="J13" s="152" t="inlineStr">
        <is>
          <t>中分類コード</t>
        </is>
      </c>
      <c r="K13" s="152" t="inlineStr">
        <is>
          <t>—</t>
        </is>
      </c>
      <c r="L13" s="152" t="inlineStr">
        <is>
          <t>文字</t>
        </is>
      </c>
      <c r="M13" s="152" t="inlineStr">
        <is>
          <t>4</t>
        </is>
      </c>
      <c r="N13" s="152" t="inlineStr">
        <is>
          <t>－</t>
        </is>
      </c>
      <c r="O13" s="179" t="inlineStr">
        <is>
          <t>直連携（全項目通過）</t>
        </is>
      </c>
      <c r="P13" s="152" t="n"/>
    </row>
    <row r="14" ht="30" customHeight="1">
      <c r="B14" s="152" t="n">
        <v>9</v>
      </c>
      <c r="C14" s="152" t="inlineStr">
        <is>
          <t>連携用GCS / subkankoku_YYYYMMDDhhmmss.gz（論理 subkankoku.txt）</t>
        </is>
      </c>
      <c r="D14" s="152" t="inlineStr">
        <is>
          <t>小分類コード</t>
        </is>
      </c>
      <c r="E14" s="152" t="inlineStr">
        <is>
          <t>—</t>
        </is>
      </c>
      <c r="F14" s="152" t="inlineStr">
        <is>
          <t>文字</t>
        </is>
      </c>
      <c r="G14" s="152" t="inlineStr">
        <is>
          <t>8</t>
        </is>
      </c>
      <c r="H14" s="152" t="inlineStr">
        <is>
          <t>－</t>
        </is>
      </c>
      <c r="I14" s="152" t="inlineStr">
        <is>
          <t>Sinops 発注勧告（subkankoku.txt 元）</t>
        </is>
      </c>
      <c r="J14" s="152" t="inlineStr">
        <is>
          <t>小分類コード</t>
        </is>
      </c>
      <c r="K14" s="152" t="inlineStr">
        <is>
          <t>—</t>
        </is>
      </c>
      <c r="L14" s="152" t="inlineStr">
        <is>
          <t>文字</t>
        </is>
      </c>
      <c r="M14" s="152" t="inlineStr">
        <is>
          <t>8</t>
        </is>
      </c>
      <c r="N14" s="152" t="inlineStr">
        <is>
          <t>－</t>
        </is>
      </c>
      <c r="O14" s="179" t="inlineStr">
        <is>
          <t>直連携（全項目通過）</t>
        </is>
      </c>
      <c r="P14" s="152" t="n"/>
    </row>
    <row r="15" ht="30" customHeight="1">
      <c r="B15" s="152" t="n">
        <v>10</v>
      </c>
      <c r="C15" s="152" t="inlineStr">
        <is>
          <t>連携用GCS / subkankoku_YYYYMMDDhhmmss.gz（論理 subkankoku.txt）</t>
        </is>
      </c>
      <c r="D15" s="152" t="inlineStr">
        <is>
          <t>細目コード</t>
        </is>
      </c>
      <c r="E15" s="152" t="inlineStr">
        <is>
          <t>—</t>
        </is>
      </c>
      <c r="F15" s="152" t="inlineStr">
        <is>
          <t>文字</t>
        </is>
      </c>
      <c r="G15" s="152" t="inlineStr">
        <is>
          <t>－</t>
        </is>
      </c>
      <c r="H15" s="152" t="inlineStr">
        <is>
          <t>－</t>
        </is>
      </c>
      <c r="I15" s="152" t="inlineStr">
        <is>
          <t>Sinops 発注勧告（subkankoku.txt 元）</t>
        </is>
      </c>
      <c r="J15" s="152" t="inlineStr">
        <is>
          <t>細目コード</t>
        </is>
      </c>
      <c r="K15" s="152" t="inlineStr">
        <is>
          <t>—</t>
        </is>
      </c>
      <c r="L15" s="152" t="inlineStr">
        <is>
          <t>文字</t>
        </is>
      </c>
      <c r="M15" s="152" t="inlineStr">
        <is>
          <t>－</t>
        </is>
      </c>
      <c r="N15" s="152" t="inlineStr">
        <is>
          <t>－</t>
        </is>
      </c>
      <c r="O15" s="179" t="inlineStr">
        <is>
          <t>直連携（全項目通過）</t>
        </is>
      </c>
      <c r="P15" s="152" t="n"/>
    </row>
    <row r="16" ht="30" customHeight="1">
      <c r="B16" s="152" t="n">
        <v>11</v>
      </c>
      <c r="C16" s="152" t="inlineStr">
        <is>
          <t>連携用GCS / subkankoku_YYYYMMDDhhmmss.gz（論理 subkankoku.txt）</t>
        </is>
      </c>
      <c r="D16" s="152" t="inlineStr">
        <is>
          <t>発注バラ数</t>
        </is>
      </c>
      <c r="E16" s="152" t="inlineStr">
        <is>
          <t>—</t>
        </is>
      </c>
      <c r="F16" s="152" t="inlineStr">
        <is>
          <t>整数</t>
        </is>
      </c>
      <c r="G16" s="152" t="inlineStr">
        <is>
          <t>8</t>
        </is>
      </c>
      <c r="H16" s="152" t="inlineStr">
        <is>
          <t>－</t>
        </is>
      </c>
      <c r="I16" s="152" t="inlineStr">
        <is>
          <t>Sinops 発注勧告（subkankoku.txt 元）</t>
        </is>
      </c>
      <c r="J16" s="152" t="inlineStr">
        <is>
          <t>発注バラ数</t>
        </is>
      </c>
      <c r="K16" s="152" t="inlineStr">
        <is>
          <t>—</t>
        </is>
      </c>
      <c r="L16" s="152" t="inlineStr">
        <is>
          <t>整数</t>
        </is>
      </c>
      <c r="M16" s="152" t="inlineStr">
        <is>
          <t>8</t>
        </is>
      </c>
      <c r="N16" s="152" t="inlineStr">
        <is>
          <t>－</t>
        </is>
      </c>
      <c r="O16" s="179" t="inlineStr">
        <is>
          <t>直連携（全項目通過）</t>
        </is>
      </c>
      <c r="P16" s="152" t="n"/>
    </row>
    <row r="17" ht="30" customHeight="1">
      <c r="B17" s="152" t="n">
        <v>12</v>
      </c>
      <c r="C17" s="152" t="inlineStr">
        <is>
          <t>連携用GCS / subkankoku_YYYYMMDDhhmmss.gz（論理 subkankoku.txt）</t>
        </is>
      </c>
      <c r="D17" s="152" t="inlineStr">
        <is>
          <t>発注単位数</t>
        </is>
      </c>
      <c r="E17" s="152" t="inlineStr">
        <is>
          <t>—</t>
        </is>
      </c>
      <c r="F17" s="152" t="inlineStr">
        <is>
          <t>整数</t>
        </is>
      </c>
      <c r="G17" s="152" t="inlineStr">
        <is>
          <t>8</t>
        </is>
      </c>
      <c r="H17" s="152" t="inlineStr">
        <is>
          <t>－</t>
        </is>
      </c>
      <c r="I17" s="152" t="inlineStr">
        <is>
          <t>Sinops 発注勧告（subkankoku.txt 元）</t>
        </is>
      </c>
      <c r="J17" s="152" t="inlineStr">
        <is>
          <t>発注単位数</t>
        </is>
      </c>
      <c r="K17" s="152" t="inlineStr">
        <is>
          <t>—</t>
        </is>
      </c>
      <c r="L17" s="152" t="inlineStr">
        <is>
          <t>整数</t>
        </is>
      </c>
      <c r="M17" s="152" t="inlineStr">
        <is>
          <t>8</t>
        </is>
      </c>
      <c r="N17" s="152" t="inlineStr">
        <is>
          <t>－</t>
        </is>
      </c>
      <c r="O17" s="179" t="inlineStr">
        <is>
          <t>直連携（全項目通過）</t>
        </is>
      </c>
      <c r="P17" s="152" t="n"/>
    </row>
    <row r="18" ht="30" customHeight="1">
      <c r="B18" s="152" t="n">
        <v>13</v>
      </c>
      <c r="C18" s="152" t="inlineStr">
        <is>
          <t>連携用GCS / subkankoku_YYYYMMDDhhmmss.gz（論理 subkankoku.txt）</t>
        </is>
      </c>
      <c r="D18" s="152" t="inlineStr">
        <is>
          <t>標準仕入単価</t>
        </is>
      </c>
      <c r="E18" s="152" t="inlineStr">
        <is>
          <t>—</t>
        </is>
      </c>
      <c r="F18" s="152" t="inlineStr">
        <is>
          <t>整数</t>
        </is>
      </c>
      <c r="G18" s="152" t="inlineStr">
        <is>
          <t>－</t>
        </is>
      </c>
      <c r="H18" s="152" t="inlineStr">
        <is>
          <t>－</t>
        </is>
      </c>
      <c r="I18" s="152" t="inlineStr">
        <is>
          <t>Sinops 発注勧告（subkankoku.txt 元）</t>
        </is>
      </c>
      <c r="J18" s="152" t="inlineStr">
        <is>
          <t>標準仕入単価</t>
        </is>
      </c>
      <c r="K18" s="152" t="inlineStr">
        <is>
          <t>—</t>
        </is>
      </c>
      <c r="L18" s="152" t="inlineStr">
        <is>
          <t>整数</t>
        </is>
      </c>
      <c r="M18" s="152" t="inlineStr">
        <is>
          <t>－</t>
        </is>
      </c>
      <c r="N18" s="152" t="inlineStr">
        <is>
          <t>－</t>
        </is>
      </c>
      <c r="O18" s="179" t="inlineStr">
        <is>
          <t>直連携（全項目通過）</t>
        </is>
      </c>
      <c r="P18" s="152" t="n"/>
    </row>
    <row r="19" ht="30" customHeight="1">
      <c r="B19" s="152" t="n">
        <v>14</v>
      </c>
      <c r="C19" s="152" t="inlineStr">
        <is>
          <t>連携用GCS / subkankoku_YYYYMMDDhhmmss.gz（論理 subkankoku.txt）</t>
        </is>
      </c>
      <c r="D19" s="152" t="inlineStr">
        <is>
          <t>標準売価</t>
        </is>
      </c>
      <c r="E19" s="152" t="inlineStr">
        <is>
          <t>—</t>
        </is>
      </c>
      <c r="F19" s="152" t="inlineStr">
        <is>
          <t>整数</t>
        </is>
      </c>
      <c r="G19" s="152" t="inlineStr">
        <is>
          <t>－</t>
        </is>
      </c>
      <c r="H19" s="152" t="inlineStr">
        <is>
          <t>－</t>
        </is>
      </c>
      <c r="I19" s="152" t="inlineStr">
        <is>
          <t>Sinops 発注勧告（subkankoku.txt 元）</t>
        </is>
      </c>
      <c r="J19" s="152" t="inlineStr">
        <is>
          <t>標準売価</t>
        </is>
      </c>
      <c r="K19" s="152" t="inlineStr">
        <is>
          <t>—</t>
        </is>
      </c>
      <c r="L19" s="152" t="inlineStr">
        <is>
          <t>整数</t>
        </is>
      </c>
      <c r="M19" s="152" t="inlineStr">
        <is>
          <t>－</t>
        </is>
      </c>
      <c r="N19" s="152" t="inlineStr">
        <is>
          <t>－</t>
        </is>
      </c>
      <c r="O19" s="179" t="inlineStr">
        <is>
          <t>直連携（全項目通過）</t>
        </is>
      </c>
      <c r="P19" s="152" t="n"/>
    </row>
    <row r="20" ht="30" customHeight="1">
      <c r="B20" s="152" t="n">
        <v>15</v>
      </c>
      <c r="C20" s="152" t="inlineStr">
        <is>
          <t>連携用GCS / subkankoku_YYYYMMDDhhmmss.gz（論理 subkankoku.txt）</t>
        </is>
      </c>
      <c r="D20" s="152" t="inlineStr">
        <is>
          <t>発注単位</t>
        </is>
      </c>
      <c r="E20" s="152" t="inlineStr">
        <is>
          <t>—</t>
        </is>
      </c>
      <c r="F20" s="152" t="inlineStr">
        <is>
          <t>整数</t>
        </is>
      </c>
      <c r="G20" s="152" t="inlineStr">
        <is>
          <t>8</t>
        </is>
      </c>
      <c r="H20" s="152" t="inlineStr">
        <is>
          <t>－</t>
        </is>
      </c>
      <c r="I20" s="152" t="inlineStr">
        <is>
          <t>Sinops 発注勧告（subkankoku.txt 元）</t>
        </is>
      </c>
      <c r="J20" s="152" t="inlineStr">
        <is>
          <t>発注単位</t>
        </is>
      </c>
      <c r="K20" s="152" t="inlineStr">
        <is>
          <t>—</t>
        </is>
      </c>
      <c r="L20" s="152" t="inlineStr">
        <is>
          <t>整数</t>
        </is>
      </c>
      <c r="M20" s="152" t="inlineStr">
        <is>
          <t>8</t>
        </is>
      </c>
      <c r="N20" s="152" t="inlineStr">
        <is>
          <t>－</t>
        </is>
      </c>
      <c r="O20" s="179" t="inlineStr">
        <is>
          <t>直連携（全項目通過）</t>
        </is>
      </c>
      <c r="P20" s="152" t="n"/>
    </row>
  </sheetData>
  <mergeCells count="2">
    <mergeCell ref="B3:P3"/>
    <mergeCell ref="B2:P2"/>
  </mergeCells>
  <pageMargins left="0.5" right="0.5" top="0.5" bottom="0.5" header="0.5" footer="0.5"/>
</worksheet>
</file>

<file path=xl/worksheets/sheet10.xml><?xml version="1.0" encoding="utf-8"?>
<worksheet xmlns="http://schemas.openxmlformats.org/spreadsheetml/2006/main">
  <sheetPr>
    <tabColor rgb="00FBD4B4"/>
    <outlinePr summaryBelow="1" summaryRight="1"/>
    <pageSetUpPr/>
  </sheetPr>
  <dimension ref="B1:K143"/>
  <sheetViews>
    <sheetView showGridLines="0" topLeftCell="A6" zoomScaleNormal="100" zoomScalePageLayoutView="80" workbookViewId="0">
      <selection pane="topRight" activeCell="A1" sqref="A1"/>
      <selection pane="bottomLeft" activeCell="A1" sqref="A1"/>
      <selection pane="bottomRight" activeCell="J25" sqref="J25"/>
    </sheetView>
  </sheetViews>
  <sheetFormatPr baseColWidth="8" defaultColWidth="8.6640625" defaultRowHeight="14.4"/>
  <cols>
    <col width="2" customWidth="1" min="1" max="1"/>
    <col width="18" customWidth="1" min="2" max="2"/>
    <col width="10" customWidth="1" min="3" max="3"/>
    <col width="42" customWidth="1" min="4" max="4"/>
    <col width="14" customWidth="1" min="5" max="5"/>
    <col width="10" customWidth="1" min="6" max="7"/>
    <col width="10" customWidth="1" min="7" max="7"/>
    <col width="24" customWidth="1" min="8" max="8"/>
    <col width="14" customWidth="1" min="9" max="9"/>
    <col width="24" customWidth="1" min="10" max="10"/>
    <col width="20" customWidth="1" min="11" max="11"/>
  </cols>
  <sheetData>
    <row r="1" ht="24" customHeight="1">
      <c r="B1" s="161" t="inlineStr">
        <is>
          <t>7. ファイルレイアウト（成果物No. A-3）</t>
        </is>
      </c>
    </row>
    <row r="2" ht="18" customHeight="1">
      <c r="B2" s="173" t="inlineStr">
        <is>
          <t>連携ファイルの物理仕様</t>
        </is>
      </c>
    </row>
    <row r="3" ht="18" customHeight="1"/>
    <row r="4" ht="18" customHeight="1">
      <c r="I4" s="173" t="inlineStr">
        <is>
          <t>Layer③ OUT＝Layer① IN（連携用GCS・物理名 _YYYYMMDDhhmmss）</t>
        </is>
      </c>
    </row>
    <row r="5" ht="42" customHeight="1">
      <c r="B5" s="162" t="inlineStr">
        <is>
          <t>■ ファイル仕様</t>
        </is>
      </c>
      <c r="C5" s="131" t="n"/>
      <c r="D5" s="131" t="n"/>
      <c r="E5" s="131" t="n"/>
      <c r="F5" s="131" t="n"/>
      <c r="G5" s="131" t="n"/>
      <c r="I5" s="173" t="inlineStr">
        <is>
          <t>Layer① OUT＝自動発注GCS（物理: SIREJAN_RCMDORDER_LAST_YYYYMMDDhhmmss／TBD-06パス）</t>
        </is>
      </c>
    </row>
    <row r="6" ht="19.5" customHeight="1">
      <c r="B6" s="174" t="inlineStr">
        <is>
          <t>ファイル論理名</t>
        </is>
      </c>
      <c r="C6" s="185" t="n"/>
      <c r="D6" s="172" t="inlineStr">
        <is>
          <t>発注勧告（翌日以降分）連携ファイル</t>
        </is>
      </c>
      <c r="E6" s="184" t="n"/>
      <c r="F6" s="184" t="n"/>
      <c r="G6" s="185" t="n"/>
      <c r="I6" s="173" t="inlineStr">
        <is>
          <t>Layer②　OUT、Layer③　IN</t>
        </is>
      </c>
    </row>
    <row r="7" ht="54" customHeight="1">
      <c r="B7" s="174" t="inlineStr">
        <is>
          <t>ファイル物理名</t>
        </is>
      </c>
      <c r="C7" s="185" t="n"/>
      <c r="D7" s="172" t="inlineStr">
        <is>
          <t>OUT物理: SIREJAN_RCMDORDER_LAST_YYYYMMDDhhmmss。IN論理: subkankoku.txt → IN物理: subkankoku_YYYYMMDDhhmmss.gz。24と混同しない</t>
        </is>
      </c>
      <c r="E7" s="184" t="n"/>
      <c r="F7" s="184" t="n"/>
      <c r="G7" s="185" t="n"/>
    </row>
    <row r="8" ht="19.5" customHeight="1">
      <c r="B8" s="174" t="inlineStr">
        <is>
          <t>レコード種別</t>
        </is>
      </c>
      <c r="C8" s="185" t="n"/>
      <c r="D8" s="172" t="inlineStr">
        <is>
          <t>単一</t>
        </is>
      </c>
      <c r="E8" s="184" t="n"/>
      <c r="F8" s="184" t="n"/>
      <c r="G8" s="185" t="n"/>
    </row>
    <row r="9" ht="19.5" customHeight="1">
      <c r="B9" s="174" t="inlineStr">
        <is>
          <t>文字コード</t>
        </is>
      </c>
      <c r="C9" s="185" t="n"/>
      <c r="D9" s="172" t="inlineStr">
        <is>
          <t>UTF-8（BOMなし）候補 TBD-07</t>
        </is>
      </c>
      <c r="E9" s="184" t="n"/>
      <c r="F9" s="184" t="n"/>
      <c r="G9" s="185" t="n"/>
    </row>
    <row r="10" ht="19.5" customHeight="1">
      <c r="B10" s="174" t="inlineStr">
        <is>
          <t>改行コード</t>
        </is>
      </c>
      <c r="C10" s="185" t="n"/>
      <c r="D10" s="172" t="inlineStr">
        <is>
          <t>LF 候補（TBD-07）</t>
        </is>
      </c>
      <c r="E10" s="184" t="n"/>
      <c r="F10" s="184" t="n"/>
      <c r="G10" s="185" t="n"/>
    </row>
    <row r="11" ht="19.5" customHeight="1">
      <c r="B11" s="174" t="inlineStr">
        <is>
          <t>区切り文字</t>
        </is>
      </c>
      <c r="C11" s="185" t="n"/>
      <c r="D11" s="172" t="inlineStr">
        <is>
          <t>固定長混在（数量のみ可変長）。区切り TBD-15</t>
        </is>
      </c>
      <c r="E11" s="184" t="n"/>
      <c r="F11" s="184" t="n"/>
      <c r="G11" s="185" t="n"/>
    </row>
    <row r="12" ht="19.5" customHeight="1">
      <c r="B12" s="174" t="inlineStr">
        <is>
          <t>囲み文字</t>
        </is>
      </c>
      <c r="C12" s="185" t="n"/>
      <c r="D12" s="172" t="inlineStr">
        <is>
          <t>なし</t>
        </is>
      </c>
      <c r="E12" s="184" t="n"/>
      <c r="F12" s="184" t="n"/>
      <c r="G12" s="185" t="n"/>
    </row>
    <row r="13" ht="19.5" customHeight="1">
      <c r="B13" s="174" t="inlineStr">
        <is>
          <t>ヘッダ行</t>
        </is>
      </c>
      <c r="C13" s="185" t="n"/>
      <c r="D13" s="172" t="inlineStr">
        <is>
          <t>無</t>
        </is>
      </c>
      <c r="E13" s="184" t="n"/>
      <c r="F13" s="184" t="n"/>
      <c r="G13" s="185" t="n"/>
    </row>
    <row r="14" ht="19.5" customHeight="1">
      <c r="B14" s="174" t="inlineStr">
        <is>
          <t>圧縮</t>
        </is>
      </c>
      <c r="C14" s="185" t="n"/>
      <c r="D14" s="172" t="inlineStr">
        <is>
          <t>西友GCSは gz＋空の機能名.end。自動発注GCSは gz ではない</t>
        </is>
      </c>
      <c r="E14" s="184" t="n"/>
      <c r="F14" s="184" t="n"/>
      <c r="G14" s="185" t="n"/>
    </row>
    <row r="15" ht="18" customHeight="1">
      <c r="J15" s="173" t="inlineStr">
        <is>
          <t>×</t>
        </is>
      </c>
    </row>
    <row r="16" ht="22" customHeight="1">
      <c r="B16" s="162" t="inlineStr">
        <is>
          <t>■ 項目明細</t>
        </is>
      </c>
      <c r="C16" s="131" t="n"/>
      <c r="D16" s="131" t="n"/>
      <c r="E16" s="131" t="n"/>
      <c r="F16" s="131" t="n"/>
      <c r="G16" s="131" t="n"/>
      <c r="H16" s="131" t="n"/>
      <c r="I16" s="131" t="n"/>
      <c r="J16" s="131" t="n"/>
      <c r="K16" s="131" t="n"/>
    </row>
    <row r="17" ht="24" customHeight="1">
      <c r="B17" s="171" t="inlineStr">
        <is>
          <t>No</t>
        </is>
      </c>
      <c r="C17" s="171" t="inlineStr">
        <is>
          <t>項目名</t>
        </is>
      </c>
      <c r="D17" s="171" t="inlineStr">
        <is>
          <t>物理名</t>
        </is>
      </c>
      <c r="E17" s="171" t="inlineStr">
        <is>
          <t>型</t>
        </is>
      </c>
      <c r="F17" s="171" t="inlineStr">
        <is>
          <t>桁</t>
        </is>
      </c>
      <c r="G17" s="171" t="inlineStr">
        <is>
          <t>小数</t>
        </is>
      </c>
      <c r="H17" s="171" t="inlineStr">
        <is>
          <t>必須</t>
        </is>
      </c>
      <c r="I17" s="171" t="inlineStr">
        <is>
          <t>初期値・固定値</t>
        </is>
      </c>
      <c r="J17" s="171" t="inlineStr">
        <is>
          <t>編集仕様</t>
        </is>
      </c>
      <c r="K17" s="171" t="inlineStr">
        <is>
          <t>備考</t>
        </is>
      </c>
    </row>
    <row r="18" ht="31.5" customHeight="1">
      <c r="B18" s="172" t="n">
        <v>1</v>
      </c>
      <c r="C18" s="172" t="inlineStr">
        <is>
          <t>店舗CD</t>
        </is>
      </c>
      <c r="D18" s="172" t="inlineStr">
        <is>
          <t>BranchCD</t>
        </is>
      </c>
      <c r="E18" s="172" t="inlineStr">
        <is>
          <t>固定長</t>
        </is>
      </c>
      <c r="F18" s="172" t="n">
        <v>4</v>
      </c>
      <c r="G18" s="172" t="inlineStr">
        <is>
          <t>－</t>
        </is>
      </c>
      <c r="H18" s="172" t="inlineStr">
        <is>
          <t>○</t>
        </is>
      </c>
      <c r="I18" s="172" t="inlineStr">
        <is>
          <t>－</t>
        </is>
      </c>
      <c r="J18" s="172" t="inlineStr">
        <is>
          <t>マスタ統合後の店CD。独自切捨てなし TBD-01</t>
        </is>
      </c>
      <c r="K18" s="172" t="inlineStr">
        <is>
          <t>受信側制約 4桁</t>
        </is>
      </c>
    </row>
    <row r="19" ht="31.5" customHeight="1">
      <c r="B19" s="172" t="n">
        <v>2</v>
      </c>
      <c r="C19" s="172" t="inlineStr">
        <is>
          <t>仕入発注JAN</t>
        </is>
      </c>
      <c r="D19" s="172" t="inlineStr">
        <is>
          <t>SireJAN</t>
        </is>
      </c>
      <c r="E19" s="172" t="inlineStr">
        <is>
          <t>固定長</t>
        </is>
      </c>
      <c r="F19" s="172" t="n">
        <v>20</v>
      </c>
      <c r="G19" s="172" t="inlineStr">
        <is>
          <t>－</t>
        </is>
      </c>
      <c r="H19" s="172" t="inlineStr">
        <is>
          <t>○</t>
        </is>
      </c>
      <c r="I19" s="172" t="inlineStr">
        <is>
          <t>－</t>
        </is>
      </c>
      <c r="J19" s="172" t="inlineStr">
        <is>
          <t>マスタ統合後の商品コード。先頭ゼロ保持</t>
        </is>
      </c>
      <c r="K19" s="145" t="inlineStr"/>
    </row>
    <row r="20" ht="21.75" customHeight="1">
      <c r="B20" s="148" t="n">
        <v>3</v>
      </c>
      <c r="C20" s="148" t="inlineStr">
        <is>
          <t>推奨発注数量</t>
        </is>
      </c>
      <c r="D20" s="148" t="inlineStr">
        <is>
          <t>SireJAN_rcmd_end</t>
        </is>
      </c>
      <c r="E20" s="148" t="inlineStr">
        <is>
          <t>可変長</t>
        </is>
      </c>
      <c r="F20" s="148" t="inlineStr">
        <is>
          <t>－</t>
        </is>
      </c>
      <c r="G20" s="148" t="inlineStr">
        <is>
          <t>－</t>
        </is>
      </c>
      <c r="H20" s="148" t="inlineStr">
        <is>
          <t>○</t>
        </is>
      </c>
      <c r="I20" s="148" t="inlineStr">
        <is>
          <t>－</t>
        </is>
      </c>
      <c r="J20" s="148" t="inlineStr">
        <is>
          <t>×1000しない。発注単位の整数倍であれば可</t>
        </is>
      </c>
      <c r="K20" s="148" t="inlineStr">
        <is>
          <t>G04 確定</t>
        </is>
      </c>
    </row>
    <row r="21" ht="21.75" customHeight="1">
      <c r="B21" s="148" t="n">
        <v>4</v>
      </c>
      <c r="C21" s="148" t="inlineStr">
        <is>
          <t>ベンダーCD</t>
        </is>
      </c>
      <c r="D21" s="10" t="inlineStr"/>
      <c r="E21" s="148" t="inlineStr">
        <is>
          <t>固定長</t>
        </is>
      </c>
      <c r="F21" s="148" t="n">
        <v>8</v>
      </c>
      <c r="G21" s="148" t="inlineStr">
        <is>
          <t>－</t>
        </is>
      </c>
      <c r="H21" s="148" t="inlineStr">
        <is>
          <t>○</t>
        </is>
      </c>
      <c r="I21" s="148" t="inlineStr">
        <is>
          <t>－</t>
        </is>
      </c>
      <c r="J21" s="148" t="inlineStr">
        <is>
          <t>マスタ統合後の仕入先CD。独自切捨てなし TBD-08</t>
        </is>
      </c>
      <c r="K21" s="10" t="inlineStr"/>
    </row>
    <row r="22" ht="21.75" customHeight="1">
      <c r="B22" s="148" t="n">
        <v>5</v>
      </c>
      <c r="C22" s="148" t="inlineStr">
        <is>
          <t>納品日</t>
        </is>
      </c>
      <c r="D22" s="148" t="inlineStr">
        <is>
          <t>ShippingDate</t>
        </is>
      </c>
      <c r="E22" s="148" t="inlineStr">
        <is>
          <t>固定長</t>
        </is>
      </c>
      <c r="F22" s="148" t="n">
        <v>8</v>
      </c>
      <c r="G22" s="148" t="inlineStr">
        <is>
          <t>－</t>
        </is>
      </c>
      <c r="H22" s="148" t="inlineStr">
        <is>
          <t>○</t>
        </is>
      </c>
      <c r="I22" s="148" t="inlineStr">
        <is>
          <t>－</t>
        </is>
      </c>
      <c r="J22" s="148" t="inlineStr">
        <is>
          <t>yyyymmdd</t>
        </is>
      </c>
      <c r="K22" s="10" t="inlineStr"/>
    </row>
    <row r="23" ht="21.75" customHeight="1">
      <c r="B23" s="148" t="n">
        <v>6</v>
      </c>
      <c r="C23" s="148" t="inlineStr">
        <is>
          <t>Ordertype</t>
        </is>
      </c>
      <c r="D23" s="10" t="inlineStr"/>
      <c r="E23" s="148" t="inlineStr">
        <is>
          <t>固定長</t>
        </is>
      </c>
      <c r="F23" s="148" t="n">
        <v>1</v>
      </c>
      <c r="G23" s="148" t="inlineStr">
        <is>
          <t>－</t>
        </is>
      </c>
      <c r="H23" s="148" t="inlineStr">
        <is>
          <t>○</t>
        </is>
      </c>
      <c r="I23" s="148" t="inlineStr">
        <is>
          <t>0=非日配、1=日配または生鮮</t>
        </is>
      </c>
      <c r="J23" s="148" t="inlineStr">
        <is>
          <t>R07。部門は勧告の西友ライン。商品マスタ見ない。01→0、02/03→1</t>
        </is>
      </c>
      <c r="K23" s="148" t="inlineStr">
        <is>
          <t>G05 確定</t>
        </is>
      </c>
    </row>
    <row r="24" ht="21.75" customHeight="1">
      <c r="B24" s="148" t="n">
        <v>7</v>
      </c>
      <c r="C24" s="148" t="inlineStr">
        <is>
          <t>更新日</t>
        </is>
      </c>
      <c r="D24" s="10" t="inlineStr"/>
      <c r="E24" s="148" t="inlineStr">
        <is>
          <t>固定長</t>
        </is>
      </c>
      <c r="F24" s="148" t="n">
        <v>8</v>
      </c>
      <c r="G24" s="148" t="inlineStr">
        <is>
          <t>－</t>
        </is>
      </c>
      <c r="H24" s="148" t="inlineStr">
        <is>
          <t>○</t>
        </is>
      </c>
      <c r="I24" s="148" t="inlineStr">
        <is>
          <t>－</t>
        </is>
      </c>
      <c r="J24" s="148" t="inlineStr">
        <is>
          <t>TBD-10</t>
        </is>
      </c>
      <c r="K24" s="10" t="inlineStr"/>
    </row>
    <row r="25" ht="21.75" customHeight="1"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</row>
    <row r="26" ht="21.75" customHeight="1"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 ht="21.75" customHeight="1"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</row>
    <row r="28" ht="21.75" customHeight="1"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 ht="21.75" customHeight="1"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</row>
    <row r="30" ht="21.75" customHeight="1"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 ht="21.75" customHeight="1"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</row>
    <row r="32" ht="21.75" customHeight="1"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 ht="21.75" customHeight="1"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</row>
    <row r="34" ht="21.75" customHeight="1"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 ht="21.75" customHeight="1"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</row>
    <row r="36" ht="21.75" customHeight="1"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</row>
    <row r="37" ht="21.75" customHeight="1"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</row>
    <row r="38" ht="21.75" customHeight="1"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</row>
    <row r="39" ht="21.75" customHeight="1"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</row>
    <row r="40" ht="21.75" customHeight="1"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</row>
    <row r="41" ht="21.75" customHeight="1"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</row>
    <row r="42" ht="21.75" customHeight="1"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</row>
    <row r="43" ht="21.75" customHeight="1"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</row>
    <row r="44" ht="21.75" customHeight="1"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</row>
    <row r="45" ht="21.75" customHeight="1"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</row>
    <row r="46" ht="21.75" customHeight="1"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</row>
    <row r="47" ht="21.75" customHeight="1"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</row>
    <row r="48" ht="21.75" customHeight="1"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</row>
    <row r="49" ht="21.75" customHeight="1"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</row>
    <row r="50" ht="21.75" customHeight="1"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</row>
    <row r="51" ht="21.75" customHeight="1"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</row>
    <row r="52" ht="21.75" customHeight="1"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</row>
    <row r="53" ht="21.75" customHeight="1"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</row>
    <row r="54" ht="21.75" customHeight="1"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</row>
    <row r="55" ht="18" customHeight="1"/>
    <row r="56" ht="18" customHeight="1">
      <c r="B56" s="173" t="inlineStr">
        <is>
          <t>※ 項目Noはファイル内の並び順。05 の No とは一致しない場合あり</t>
        </is>
      </c>
      <c r="C56" s="173" t="inlineStr">
        <is>
          <t>ＣＧＣ分類デプト名</t>
        </is>
      </c>
      <c r="E56" s="173" t="inlineStr">
        <is>
          <t>VARCHAR2(24)</t>
        </is>
      </c>
    </row>
    <row r="57" ht="30" customHeight="1">
      <c r="B57" s="173" t="inlineStr">
        <is>
          <t>※ 桁・型は受信側の制約を優先。桁あふれは 09 へ起票</t>
        </is>
      </c>
      <c r="C57" s="173" t="inlineStr">
        <is>
          <t>ＣＧＣ分類ラインコード</t>
        </is>
      </c>
      <c r="E57" s="173" t="inlineStr">
        <is>
          <t>VARCHAR2(3)</t>
        </is>
      </c>
    </row>
    <row r="58" ht="18" customHeight="1">
      <c r="C58" s="173" t="inlineStr">
        <is>
          <t>ＣＧＣ分類ライン名</t>
        </is>
      </c>
      <c r="E58" s="173" t="inlineStr">
        <is>
          <t>VARCHAR2(24)</t>
        </is>
      </c>
    </row>
    <row r="59" ht="18" customHeight="1">
      <c r="C59" s="173" t="inlineStr">
        <is>
          <t>ＣＧＣ分類クラスコード</t>
        </is>
      </c>
      <c r="E59" s="173" t="inlineStr">
        <is>
          <t>VARCHAR2(4)</t>
        </is>
      </c>
    </row>
    <row r="60" ht="18" customHeight="1">
      <c r="C60" s="173" t="inlineStr">
        <is>
          <t>ＣＧＣ分類クラス名</t>
        </is>
      </c>
      <c r="E60" s="173" t="inlineStr">
        <is>
          <t>VARCHAR2(24)</t>
        </is>
      </c>
    </row>
    <row r="61" ht="18" customHeight="1">
      <c r="C61" s="173" t="inlineStr">
        <is>
          <t>ＣＧＣＪＩＣＦＳ分類コード</t>
        </is>
      </c>
      <c r="E61" s="173" t="inlineStr">
        <is>
          <t>VARCHAR2(6)</t>
        </is>
      </c>
    </row>
    <row r="62" ht="18" customHeight="1">
      <c r="C62" s="173" t="inlineStr">
        <is>
          <t>ＰＢ商品区分</t>
        </is>
      </c>
      <c r="E62" s="173" t="inlineStr">
        <is>
          <t>VARCHAR2(1)</t>
        </is>
      </c>
    </row>
    <row r="63" ht="18" customHeight="1">
      <c r="C63" s="173" t="inlineStr">
        <is>
          <t>売価送信区分</t>
        </is>
      </c>
      <c r="E63" s="173" t="inlineStr">
        <is>
          <t>VARCHAR2(1)</t>
        </is>
      </c>
    </row>
    <row r="64" ht="18" customHeight="1">
      <c r="C64" s="173" t="inlineStr">
        <is>
          <t>商品区分</t>
        </is>
      </c>
      <c r="E64" s="173" t="inlineStr">
        <is>
          <t>VARCHAR2(1)</t>
        </is>
      </c>
    </row>
    <row r="65" ht="18" customHeight="1">
      <c r="C65" s="173" t="inlineStr">
        <is>
          <t>廃番日</t>
        </is>
      </c>
      <c r="E65" s="173" t="inlineStr">
        <is>
          <t>VARCHAR2(8)</t>
        </is>
      </c>
    </row>
    <row r="66" ht="18" customHeight="1">
      <c r="C66" s="173" t="inlineStr">
        <is>
          <t>酒類区分１</t>
        </is>
      </c>
      <c r="E66" s="173" t="inlineStr">
        <is>
          <t>VARCHAR2(2)</t>
        </is>
      </c>
    </row>
    <row r="67" ht="18" customHeight="1">
      <c r="C67" s="173" t="inlineStr">
        <is>
          <t>度数１</t>
        </is>
      </c>
      <c r="E67" s="173" t="inlineStr">
        <is>
          <t>NUMBER(3, 1)</t>
        </is>
      </c>
    </row>
    <row r="68" ht="18" customHeight="1">
      <c r="C68" s="173" t="inlineStr">
        <is>
          <t>発泡区分１</t>
        </is>
      </c>
      <c r="E68" s="173" t="inlineStr">
        <is>
          <t>VARCHAR2(2)</t>
        </is>
      </c>
    </row>
    <row r="69" ht="18" customHeight="1">
      <c r="C69" s="173" t="inlineStr">
        <is>
          <t>容量１</t>
        </is>
      </c>
      <c r="E69" s="173" t="inlineStr">
        <is>
          <t>NUMBER(8, 0)</t>
        </is>
      </c>
    </row>
    <row r="70" ht="18" customHeight="1">
      <c r="C70" s="173" t="inlineStr">
        <is>
          <t>酒類区分２</t>
        </is>
      </c>
      <c r="E70" s="173" t="inlineStr">
        <is>
          <t>VARCHAR2(2)</t>
        </is>
      </c>
    </row>
    <row r="71" ht="18" customHeight="1">
      <c r="C71" s="173" t="inlineStr">
        <is>
          <t>度数２</t>
        </is>
      </c>
      <c r="E71" s="173" t="inlineStr">
        <is>
          <t>NUMBER(3, 1)</t>
        </is>
      </c>
    </row>
    <row r="72" ht="18" customHeight="1">
      <c r="C72" s="173" t="inlineStr">
        <is>
          <t>発泡区分２</t>
        </is>
      </c>
      <c r="E72" s="173" t="inlineStr">
        <is>
          <t>VARCHAR2(2)</t>
        </is>
      </c>
    </row>
    <row r="73" ht="18" customHeight="1">
      <c r="C73" s="173" t="inlineStr">
        <is>
          <t>容量２</t>
        </is>
      </c>
      <c r="E73" s="173" t="inlineStr">
        <is>
          <t>NUMBER(8, 0)</t>
        </is>
      </c>
    </row>
    <row r="74" ht="18" customHeight="1">
      <c r="C74" s="173" t="inlineStr">
        <is>
          <t>酒類区分３</t>
        </is>
      </c>
      <c r="E74" s="173" t="inlineStr">
        <is>
          <t>VARCHAR2(2)</t>
        </is>
      </c>
    </row>
    <row r="75" ht="18" customHeight="1">
      <c r="C75" s="173" t="inlineStr">
        <is>
          <t>度数３</t>
        </is>
      </c>
      <c r="E75" s="173" t="inlineStr">
        <is>
          <t>NUMBER(3, 1)</t>
        </is>
      </c>
    </row>
    <row r="76" ht="18" customHeight="1">
      <c r="C76" s="173" t="inlineStr">
        <is>
          <t>発泡区分３</t>
        </is>
      </c>
      <c r="E76" s="173" t="inlineStr">
        <is>
          <t>VARCHAR2(2)</t>
        </is>
      </c>
    </row>
    <row r="77" ht="18" customHeight="1">
      <c r="C77" s="173" t="inlineStr">
        <is>
          <t>容量３</t>
        </is>
      </c>
      <c r="E77" s="173" t="inlineStr">
        <is>
          <t>NUMBER(8, 0)</t>
        </is>
      </c>
    </row>
    <row r="78" ht="18" customHeight="1">
      <c r="C78" s="173" t="inlineStr">
        <is>
          <t>PCコメント</t>
        </is>
      </c>
      <c r="E78" s="173" t="inlineStr">
        <is>
          <t>VARCHAR2(50)</t>
        </is>
      </c>
    </row>
    <row r="79" ht="18" customHeight="1">
      <c r="C79" s="173" t="inlineStr">
        <is>
          <t>作成ユーザＩＤ</t>
        </is>
      </c>
      <c r="E79" s="173" t="inlineStr">
        <is>
          <t>VARCHAR2(20)</t>
        </is>
      </c>
    </row>
    <row r="80" ht="18" customHeight="1">
      <c r="C80" s="173" t="inlineStr">
        <is>
          <t>作成プログラムＩＤ</t>
        </is>
      </c>
      <c r="E80" s="173" t="inlineStr">
        <is>
          <t>VARCHAR2(20)</t>
        </is>
      </c>
    </row>
    <row r="81" ht="18" customHeight="1">
      <c r="C81" s="173" t="inlineStr">
        <is>
          <t>作成日時</t>
        </is>
      </c>
      <c r="E81" s="173" t="inlineStr">
        <is>
          <t>DATE</t>
        </is>
      </c>
    </row>
    <row r="82" ht="18" customHeight="1">
      <c r="C82" s="173" t="inlineStr">
        <is>
          <t>更新ユーザＩＤ</t>
        </is>
      </c>
      <c r="E82" s="173" t="inlineStr">
        <is>
          <t>VARCHAR2(20)</t>
        </is>
      </c>
    </row>
    <row r="83" ht="18" customHeight="1">
      <c r="C83" s="173" t="inlineStr">
        <is>
          <t>更新プログラムＩＤ</t>
        </is>
      </c>
      <c r="E83" s="173" t="inlineStr">
        <is>
          <t>VARCHAR2(20)</t>
        </is>
      </c>
    </row>
    <row r="84" ht="18" customHeight="1">
      <c r="C84" s="173" t="inlineStr">
        <is>
          <t>更新日時</t>
        </is>
      </c>
      <c r="E84" s="173" t="inlineStr">
        <is>
          <t>DATE</t>
        </is>
      </c>
    </row>
    <row r="85" ht="18" customHeight="1">
      <c r="C85" s="173" t="inlineStr">
        <is>
          <t>削除フラグ</t>
        </is>
      </c>
      <c r="E85" s="173" t="inlineStr">
        <is>
          <t>NUMBER(1, 0)</t>
        </is>
      </c>
    </row>
    <row r="86" ht="18" customHeight="1">
      <c r="C86" s="173" t="inlineStr">
        <is>
          <t>更新回数</t>
        </is>
      </c>
      <c r="E86" s="173" t="inlineStr">
        <is>
          <t>NUMBER(6, 0)</t>
        </is>
      </c>
    </row>
    <row r="87" ht="18" customHeight="1">
      <c r="C87" s="173" t="inlineStr">
        <is>
          <t>単価訂正フラグ</t>
        </is>
      </c>
      <c r="E87" s="173" t="inlineStr">
        <is>
          <t>VARCHAR2(1)</t>
        </is>
      </c>
    </row>
    <row r="88" ht="18" customHeight="1">
      <c r="C88" s="173" t="inlineStr">
        <is>
          <t>レジ現金フラグ</t>
        </is>
      </c>
      <c r="E88" s="173" t="inlineStr">
        <is>
          <t>VARCHAR2(1)</t>
        </is>
      </c>
    </row>
    <row r="89" ht="18" customHeight="1">
      <c r="C89" s="173" t="inlineStr">
        <is>
          <t>クレジット不可区分</t>
        </is>
      </c>
      <c r="E89" s="173" t="inlineStr">
        <is>
          <t>VARCHAR2(1)</t>
        </is>
      </c>
    </row>
    <row r="90" ht="18" customHeight="1">
      <c r="C90" s="173" t="inlineStr">
        <is>
          <t>掛不可区分</t>
        </is>
      </c>
      <c r="E90" s="173" t="inlineStr">
        <is>
          <t>VARCHAR2(1)</t>
        </is>
      </c>
    </row>
    <row r="91" ht="18" customHeight="1">
      <c r="C91" s="173" t="inlineStr">
        <is>
          <t>値引不可区分</t>
        </is>
      </c>
      <c r="E91" s="173" t="inlineStr">
        <is>
          <t>VARCHAR2(1)</t>
        </is>
      </c>
    </row>
    <row r="92" ht="18" customHeight="1">
      <c r="C92" s="173" t="inlineStr">
        <is>
          <t>電子マネー不可区分</t>
        </is>
      </c>
      <c r="E92" s="173" t="inlineStr">
        <is>
          <t>VARCHAR2(1)</t>
        </is>
      </c>
    </row>
    <row r="93" ht="18" customHeight="1">
      <c r="C93" s="173" t="inlineStr">
        <is>
          <t>ＱＲ決済不可区分</t>
        </is>
      </c>
      <c r="E93" s="173" t="inlineStr">
        <is>
          <t>VARCHAR2(1)</t>
        </is>
      </c>
    </row>
    <row r="94" ht="18" customHeight="1">
      <c r="C94" s="173" t="inlineStr">
        <is>
          <t>特殊アラート商品区分</t>
        </is>
      </c>
      <c r="E94" s="173" t="inlineStr">
        <is>
          <t>VARCHAR2(1)</t>
        </is>
      </c>
    </row>
    <row r="95" ht="18" customHeight="1">
      <c r="C95" s="173" t="inlineStr">
        <is>
          <t>スタイルNo</t>
        </is>
      </c>
      <c r="E95" s="173" t="inlineStr">
        <is>
          <t>VARCHAR2(8)</t>
        </is>
      </c>
    </row>
    <row r="96" ht="18" customHeight="1">
      <c r="C96" s="173" t="inlineStr">
        <is>
          <t>週販予測数量</t>
        </is>
      </c>
      <c r="E96" s="173" t="inlineStr">
        <is>
          <t>NUMBER(3, 0)</t>
        </is>
      </c>
    </row>
    <row r="97" ht="18" customHeight="1">
      <c r="C97" s="173" t="inlineStr">
        <is>
          <t>アソシエイト割引フラグ</t>
        </is>
      </c>
      <c r="E97" s="173" t="inlineStr">
        <is>
          <t>VARCHAR2(1)</t>
        </is>
      </c>
    </row>
    <row r="98" ht="18" customHeight="1">
      <c r="C98" s="173" t="inlineStr">
        <is>
          <t>価格プロンプトフラグ</t>
        </is>
      </c>
      <c r="E98" s="173" t="inlineStr">
        <is>
          <t>VARCHAR2(1)</t>
        </is>
      </c>
    </row>
    <row r="99" ht="18" customHeight="1">
      <c r="C99" s="173" t="inlineStr">
        <is>
          <t>楽天ポイント対象外フラグ</t>
        </is>
      </c>
      <c r="E99" s="173" t="inlineStr">
        <is>
          <t>VARCHAR2(1)</t>
        </is>
      </c>
    </row>
    <row r="100" ht="18" customHeight="1">
      <c r="C100" s="173" t="inlineStr">
        <is>
          <t>レジ年齢確認フラグ</t>
        </is>
      </c>
      <c r="E100" s="173" t="inlineStr">
        <is>
          <t>VARCHAR2(1)</t>
        </is>
      </c>
    </row>
    <row r="101" ht="18" customHeight="1">
      <c r="C101" s="173" t="inlineStr">
        <is>
          <t>医薬品レジフラグ</t>
        </is>
      </c>
      <c r="E101" s="173" t="inlineStr">
        <is>
          <t>VARCHAR2(1)</t>
        </is>
      </c>
    </row>
    <row r="102" ht="18" customHeight="1">
      <c r="C102" s="173" t="inlineStr">
        <is>
          <t>販売制限フラグ</t>
        </is>
      </c>
      <c r="E102" s="173" t="inlineStr">
        <is>
          <t>VARCHAR2(1)</t>
        </is>
      </c>
    </row>
    <row r="103" ht="18" customHeight="1">
      <c r="C103" s="173" t="inlineStr">
        <is>
          <t>口座No.</t>
        </is>
      </c>
      <c r="E103" s="173" t="inlineStr">
        <is>
          <t>NUMBER(10, 0)</t>
        </is>
      </c>
    </row>
    <row r="104" ht="18" customHeight="1">
      <c r="C104" s="173" t="inlineStr">
        <is>
          <t>サイズ</t>
        </is>
      </c>
      <c r="E104" s="173" t="inlineStr">
        <is>
          <t>VARCHAR2(10)</t>
        </is>
      </c>
    </row>
    <row r="105" ht="18" customHeight="1">
      <c r="C105" s="173" t="inlineStr">
        <is>
          <t>カラー</t>
        </is>
      </c>
      <c r="E105" s="173" t="inlineStr">
        <is>
          <t>VARCHAR2(10)</t>
        </is>
      </c>
    </row>
    <row r="106" ht="18" customHeight="1">
      <c r="C106" s="173" t="inlineStr">
        <is>
          <t>コンベア可否フラグ</t>
        </is>
      </c>
      <c r="E106" s="173" t="inlineStr">
        <is>
          <t>VARCHAR2(1)</t>
        </is>
      </c>
    </row>
    <row r="107" ht="18" customHeight="1">
      <c r="C107" s="173" t="inlineStr">
        <is>
          <t>ケースJAN(ITFコード)</t>
        </is>
      </c>
      <c r="E107" s="173" t="inlineStr">
        <is>
          <t>VARCHAR2(14)</t>
        </is>
      </c>
    </row>
    <row r="108" ht="18" customHeight="1">
      <c r="C108" s="173" t="inlineStr">
        <is>
          <t>DCロケーション</t>
        </is>
      </c>
      <c r="E108" s="173" t="inlineStr">
        <is>
          <t>NUMBER(10, 0)</t>
        </is>
      </c>
    </row>
    <row r="109" ht="18" customHeight="1">
      <c r="C109" s="173" t="inlineStr">
        <is>
          <t>ロット管理区分</t>
        </is>
      </c>
      <c r="E109" s="173" t="inlineStr">
        <is>
          <t>VARCHAR2(2)</t>
        </is>
      </c>
    </row>
    <row r="110" ht="18" customHeight="1">
      <c r="C110" s="173" t="inlineStr">
        <is>
          <t>パレット平置可能箱数</t>
        </is>
      </c>
      <c r="E110" s="173" t="inlineStr">
        <is>
          <t>NUMBER(5, 0)</t>
        </is>
      </c>
    </row>
    <row r="111" ht="18" customHeight="1">
      <c r="C111" s="173" t="inlineStr">
        <is>
          <t>パレット積載可能段数</t>
        </is>
      </c>
      <c r="E111" s="173" t="inlineStr">
        <is>
          <t>NUMBER(5, 0)</t>
        </is>
      </c>
    </row>
    <row r="112" ht="18" customHeight="1">
      <c r="C112" s="173" t="inlineStr">
        <is>
          <t>賞味期間基準日区分</t>
        </is>
      </c>
      <c r="E112" s="173" t="inlineStr">
        <is>
          <t>VARCHAR2(2)</t>
        </is>
      </c>
    </row>
    <row r="113" ht="18" customHeight="1">
      <c r="C113" s="173" t="inlineStr">
        <is>
          <t>賞味期間単位区分</t>
        </is>
      </c>
      <c r="E113" s="173" t="inlineStr">
        <is>
          <t>VARCHAR2(2)</t>
        </is>
      </c>
    </row>
    <row r="114" ht="18" customHeight="1">
      <c r="C114" s="173" t="inlineStr">
        <is>
          <t>賞味期間</t>
        </is>
      </c>
      <c r="E114" s="173" t="inlineStr">
        <is>
          <t>NUMBER(4, 0)</t>
        </is>
      </c>
    </row>
    <row r="115" ht="18" customHeight="1">
      <c r="C115" s="173" t="inlineStr">
        <is>
          <t>賞味期限</t>
        </is>
      </c>
      <c r="E115" s="173" t="inlineStr">
        <is>
          <t>VARCHAR2(8)</t>
        </is>
      </c>
    </row>
    <row r="116" ht="18" customHeight="1">
      <c r="C116" s="173" t="inlineStr">
        <is>
          <t>倉庫賞味期限管理</t>
        </is>
      </c>
      <c r="E116" s="173" t="inlineStr">
        <is>
          <t>NUMBER(5, 0)</t>
        </is>
      </c>
    </row>
    <row r="117" ht="18" customHeight="1">
      <c r="C117" s="173" t="inlineStr">
        <is>
          <t>入荷限界期間</t>
        </is>
      </c>
      <c r="E117" s="173" t="inlineStr">
        <is>
          <t>NUMBER(3, 0)</t>
        </is>
      </c>
    </row>
    <row r="118" ht="18" customHeight="1">
      <c r="C118" s="173" t="inlineStr">
        <is>
          <t>出荷限界期間</t>
        </is>
      </c>
      <c r="E118" s="173" t="inlineStr">
        <is>
          <t>NUMBER(3, 0)</t>
        </is>
      </c>
    </row>
    <row r="119" ht="18" customHeight="1">
      <c r="C119" s="173" t="inlineStr">
        <is>
          <t>ピースサイズ（縦）（ｃｍ）</t>
        </is>
      </c>
      <c r="E119" s="173" t="inlineStr">
        <is>
          <t>NUMBER(13, 3)</t>
        </is>
      </c>
    </row>
    <row r="120" ht="18" customHeight="1">
      <c r="C120" s="173" t="inlineStr">
        <is>
          <t>ピースサイズ（横）（ｃｍ）</t>
        </is>
      </c>
      <c r="E120" s="173" t="inlineStr">
        <is>
          <t>NUMBER(13, 3)</t>
        </is>
      </c>
    </row>
    <row r="121" ht="18" customHeight="1">
      <c r="C121" s="173" t="inlineStr">
        <is>
          <t>ピースサイズ（高）（ｃｍ）</t>
        </is>
      </c>
      <c r="E121" s="173" t="inlineStr">
        <is>
          <t>NUMBER(13, 3)</t>
        </is>
      </c>
    </row>
    <row r="122" ht="18" customHeight="1">
      <c r="C122" s="173" t="inlineStr">
        <is>
          <t>ピースサイズ（重量）（ｋｇ）</t>
        </is>
      </c>
      <c r="E122" s="173" t="inlineStr">
        <is>
          <t>NUMBER(15, 4)</t>
        </is>
      </c>
    </row>
    <row r="123" ht="18" customHeight="1">
      <c r="C123" s="173" t="inlineStr">
        <is>
          <t>メーカー発売日</t>
        </is>
      </c>
      <c r="E123" s="173" t="inlineStr">
        <is>
          <t>VARCHAR2(8)</t>
        </is>
      </c>
    </row>
    <row r="124" ht="18" customHeight="1">
      <c r="C124" s="173" t="inlineStr">
        <is>
          <t>情報解禁日</t>
        </is>
      </c>
      <c r="E124" s="173" t="inlineStr">
        <is>
          <t>VARCHAR2(8)</t>
        </is>
      </c>
    </row>
    <row r="125" ht="18" customHeight="1">
      <c r="C125" s="173" t="inlineStr">
        <is>
          <t>価格印字商品フラグ</t>
        </is>
      </c>
      <c r="E125" s="173" t="inlineStr">
        <is>
          <t>VARCHAR2(1)</t>
        </is>
      </c>
    </row>
    <row r="126" ht="18" customHeight="1">
      <c r="C126" s="173" t="inlineStr">
        <is>
          <t>商品サブコード</t>
        </is>
      </c>
      <c r="E126" s="173" t="inlineStr">
        <is>
          <t>VARCHAR2(10)</t>
        </is>
      </c>
    </row>
    <row r="127" ht="18" customHeight="1">
      <c r="C127" s="173" t="inlineStr">
        <is>
          <t>温度管理/保管方法</t>
        </is>
      </c>
      <c r="E127" s="173" t="inlineStr">
        <is>
          <t>VARCHAR2(1)</t>
        </is>
      </c>
    </row>
    <row r="128" ht="18" customHeight="1">
      <c r="C128" s="173" t="inlineStr">
        <is>
          <t>温度帯変更不可フラグ</t>
        </is>
      </c>
      <c r="E128" s="173" t="inlineStr">
        <is>
          <t>VARCHAR2(1)</t>
        </is>
      </c>
    </row>
    <row r="129" ht="18" customHeight="1">
      <c r="C129" s="173" t="inlineStr">
        <is>
          <t>販売可能期間フラグ</t>
        </is>
      </c>
      <c r="E129" s="173" t="inlineStr">
        <is>
          <t>VARCHAR2(1)</t>
        </is>
      </c>
    </row>
    <row r="130" ht="18" customHeight="1">
      <c r="C130" s="173" t="inlineStr">
        <is>
          <t>割れ物（瓶）フラグ</t>
        </is>
      </c>
      <c r="E130" s="173" t="inlineStr">
        <is>
          <t>VARCHAR2(1)</t>
        </is>
      </c>
    </row>
    <row r="131" ht="18" customHeight="1">
      <c r="C131" s="173" t="inlineStr">
        <is>
          <t>販売可能日数</t>
        </is>
      </c>
      <c r="E131" s="173" t="inlineStr">
        <is>
          <t>NUMBER(3, 0)</t>
        </is>
      </c>
    </row>
    <row r="132" ht="18" customHeight="1">
      <c r="C132" s="173" t="inlineStr">
        <is>
          <t>ＭＢＭコード区分</t>
        </is>
      </c>
      <c r="E132" s="173" t="inlineStr">
        <is>
          <t>VARCHAR2(1)</t>
        </is>
      </c>
    </row>
    <row r="133" ht="18" customHeight="1">
      <c r="C133" s="173" t="inlineStr">
        <is>
          <t>ベンダー在庫No</t>
        </is>
      </c>
      <c r="E133" s="173" t="inlineStr">
        <is>
          <t>VARCHAR2(20)</t>
        </is>
      </c>
    </row>
    <row r="134" ht="18" customHeight="1">
      <c r="C134" s="173" t="inlineStr">
        <is>
          <t>原産国コード</t>
        </is>
      </c>
      <c r="E134" s="173" t="inlineStr">
        <is>
          <t>VARCHAR2(256)</t>
        </is>
      </c>
    </row>
    <row r="135" ht="18" customHeight="1">
      <c r="C135" s="173" t="inlineStr">
        <is>
          <t>西友アイテムNo</t>
        </is>
      </c>
      <c r="E135" s="173" t="inlineStr">
        <is>
          <t>VARCHAR2(8)</t>
        </is>
      </c>
    </row>
    <row r="136" ht="18" customHeight="1">
      <c r="C136" s="173" t="inlineStr">
        <is>
          <t>ブランドID</t>
        </is>
      </c>
      <c r="E136" s="173" t="inlineStr">
        <is>
          <t>NUMBER(10, 0)</t>
        </is>
      </c>
    </row>
    <row r="137" ht="18" customHeight="1">
      <c r="C137" s="173" t="inlineStr">
        <is>
          <t>サイズID</t>
        </is>
      </c>
      <c r="E137" s="173" t="inlineStr">
        <is>
          <t>VARCHAR2(10)</t>
        </is>
      </c>
    </row>
    <row r="138" ht="18" customHeight="1">
      <c r="C138" s="173" t="inlineStr">
        <is>
          <t>ファミリーID</t>
        </is>
      </c>
      <c r="E138" s="173" t="inlineStr">
        <is>
          <t>VARCHAR2(10)</t>
        </is>
      </c>
    </row>
    <row r="139" ht="18" customHeight="1">
      <c r="C139" s="173" t="inlineStr">
        <is>
          <t>KVI分類</t>
        </is>
      </c>
      <c r="E139" s="173" t="inlineStr">
        <is>
          <t>VARCHAR2(10)</t>
        </is>
      </c>
    </row>
    <row r="140" ht="18" customHeight="1">
      <c r="C140" s="173" t="inlineStr">
        <is>
          <t>定価販売フラグ</t>
        </is>
      </c>
      <c r="E140" s="173" t="inlineStr">
        <is>
          <t>VARCHAR2(1)</t>
        </is>
      </c>
    </row>
    <row r="141" ht="18" customHeight="1">
      <c r="C141" s="173" t="inlineStr">
        <is>
          <t>SABCランク区分</t>
        </is>
      </c>
      <c r="E141" s="173" t="inlineStr">
        <is>
          <t>VARCHAR2(1)</t>
        </is>
      </c>
    </row>
    <row r="142" ht="18" customHeight="1">
      <c r="C142" s="173" t="inlineStr">
        <is>
          <t>MDsys連携済みフラグ</t>
        </is>
      </c>
      <c r="E142" s="173" t="inlineStr">
        <is>
          <t>VARCHAR2(1)</t>
        </is>
      </c>
    </row>
    <row r="143" ht="18" customHeight="1">
      <c r="C143" s="173" t="inlineStr">
        <is>
          <t>アイテム作成日</t>
        </is>
      </c>
      <c r="E143" s="173" t="inlineStr">
        <is>
          <t>VARCHAR2(8)</t>
        </is>
      </c>
    </row>
  </sheetData>
  <mergeCells count="18">
    <mergeCell ref="B13:C13"/>
    <mergeCell ref="B6:C6"/>
    <mergeCell ref="D9:G9"/>
    <mergeCell ref="B7:C7"/>
    <mergeCell ref="B11:C11"/>
    <mergeCell ref="D12:G12"/>
    <mergeCell ref="D8:G8"/>
    <mergeCell ref="D6:G6"/>
    <mergeCell ref="B10:C10"/>
    <mergeCell ref="D7:G7"/>
    <mergeCell ref="B14:C14"/>
    <mergeCell ref="B9:C9"/>
    <mergeCell ref="D11:G11"/>
    <mergeCell ref="D13:G13"/>
    <mergeCell ref="D10:G10"/>
    <mergeCell ref="B8:C8"/>
    <mergeCell ref="D14:G14"/>
    <mergeCell ref="B12:C12"/>
  </mergeCells>
  <dataValidations count="2">
    <dataValidation sqref="E20:E55" showDropDown="0" showInputMessage="0" showErrorMessage="0" allowBlank="1" type="list">
      <formula1>"CHAR,VARCHAR,NUM,DEC,DATE,TIMESTAMP"</formula1>
      <formula2>0</formula2>
    </dataValidation>
    <dataValidation sqref="H20:H55" showDropDown="0" showInputMessage="0" showErrorMessage="0" allowBlank="1" type="list">
      <formula1>"○,－"</formula1>
      <formula2>0</formula2>
    </dataValidation>
  </dataValidation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H26"/>
  <sheetViews>
    <sheetView showGridLines="0" zoomScale="115" zoomScaleNormal="115" zoomScalePageLayoutView="80" workbookViewId="0">
      <selection pane="topRight" activeCell="A1" sqref="A1"/>
      <selection pane="bottomLeft" activeCell="A1" sqref="A1"/>
      <selection pane="bottomRight" activeCell="H19" sqref="H19"/>
    </sheetView>
  </sheetViews>
  <sheetFormatPr baseColWidth="8" defaultColWidth="8.6640625" defaultRowHeight="14.4"/>
  <cols>
    <col width="2" customWidth="1" min="1" max="1"/>
    <col width="12" customWidth="1" min="2" max="2"/>
    <col width="28" customWidth="1" min="3" max="3"/>
    <col width="36" customWidth="1" min="4" max="4"/>
    <col width="28" customWidth="1" min="5" max="5"/>
    <col width="28" customWidth="1" min="6" max="6"/>
    <col width="18" customWidth="1" min="7" max="7"/>
    <col width="18" customWidth="1" min="8" max="8"/>
  </cols>
  <sheetData>
    <row r="1" ht="24" customHeight="1">
      <c r="B1" s="161" t="inlineStr">
        <is>
          <t>8. エラー処理</t>
        </is>
      </c>
    </row>
    <row r="2" ht="18" customHeight="1">
      <c r="B2" s="173" t="inlineStr">
        <is>
          <t>本IF固有。共通方針は A-7</t>
        </is>
      </c>
    </row>
    <row r="3" ht="18" customHeight="1"/>
    <row r="4" ht="18" customHeight="1"/>
    <row r="5" ht="36" customHeight="1">
      <c r="B5" s="175" t="inlineStr">
        <is>
          <t>エラーID</t>
        </is>
      </c>
      <c r="C5" s="175" t="inlineStr">
        <is>
          <t>発生箇所</t>
        </is>
      </c>
      <c r="D5" s="175" t="inlineStr">
        <is>
          <t>検知条件</t>
        </is>
      </c>
      <c r="E5" s="175" t="inlineStr">
        <is>
          <t>レベル</t>
        </is>
      </c>
      <c r="F5" s="175" t="inlineStr">
        <is>
          <t>処理</t>
        </is>
      </c>
      <c r="G5" s="175" t="inlineStr">
        <is>
          <t>通知先・リラン方法</t>
        </is>
      </c>
      <c r="H5" s="175" t="inlineStr">
        <is>
          <t>備考</t>
        </is>
      </c>
    </row>
    <row r="6" ht="31.5" customHeight="1">
      <c r="B6" s="172" t="inlineStr">
        <is>
          <t>ER-001</t>
        </is>
      </c>
      <c r="C6" s="172" t="inlineStr">
        <is>
          <t>Layer① プル</t>
        </is>
      </c>
      <c r="D6" s="172" t="inlineStr">
        <is>
          <t>対象ファイル0件</t>
        </is>
      </c>
      <c r="E6" s="172" t="inlineStr">
        <is>
          <t>警告</t>
        </is>
      </c>
      <c r="F6" s="172" t="inlineStr">
        <is>
          <t>空ファイル方針 TBD-16。処理継続またはスキップ</t>
        </is>
      </c>
      <c r="G6" s="172" t="inlineStr">
        <is>
          <t>補充/運用へ通知</t>
        </is>
      </c>
      <c r="H6" s="172" t="inlineStr">
        <is>
          <t>空勧告の業務意味を確認</t>
        </is>
      </c>
    </row>
    <row r="7" ht="31.5" customHeight="1">
      <c r="B7" s="172" t="inlineStr">
        <is>
          <t>ER-004</t>
        </is>
      </c>
      <c r="C7" s="172" t="inlineStr">
        <is>
          <t>Layer① プル</t>
        </is>
      </c>
      <c r="D7" s="172" t="inlineStr">
        <is>
          <t>GCS取得失敗・権限・パス不正</t>
        </is>
      </c>
      <c r="E7" s="172" t="inlineStr">
        <is>
          <t>エラー</t>
        </is>
      </c>
      <c r="F7" s="172" t="inlineStr">
        <is>
          <t>処理中断</t>
        </is>
      </c>
      <c r="G7" s="172" t="inlineStr">
        <is>
          <t>Hinemos 通知。パス/SA確認後リラン</t>
        </is>
      </c>
      <c r="H7" s="172" t="inlineStr">
        <is>
          <t>TBD-05</t>
        </is>
      </c>
    </row>
    <row r="8" ht="31.5" customHeight="1">
      <c r="B8" s="172" t="inlineStr">
        <is>
          <t>ER-005</t>
        </is>
      </c>
      <c r="C8" s="172" t="inlineStr">
        <is>
          <t>Layer① 変換</t>
        </is>
      </c>
      <c r="D8" s="172" t="inlineStr">
        <is>
          <t>必須欠落、店CD・仕入先・商品が統合マスタと不一致、数量非数値、発注単位の整数倍でない（×1000しない・倍数に丸めない）</t>
        </is>
      </c>
      <c r="E8" s="172" t="inlineStr">
        <is>
          <t>エラー</t>
        </is>
      </c>
      <c r="F8" s="172" t="inlineStr">
        <is>
          <t>当該ファイル中断（レコード単位は TBD-17）</t>
        </is>
      </c>
      <c r="G8" s="172" t="inlineStr">
        <is>
          <t>Hinemos 通知</t>
        </is>
      </c>
      <c r="H8" s="172" t="inlineStr">
        <is>
          <t>切捨てなし</t>
        </is>
      </c>
    </row>
    <row r="9" ht="21.75" customHeight="1">
      <c r="B9" s="148" t="inlineStr">
        <is>
          <t>ER-006</t>
        </is>
      </c>
      <c r="C9" s="148" t="inlineStr">
        <is>
          <t>Layer① 配置</t>
        </is>
      </c>
      <c r="D9" s="148" t="inlineStr">
        <is>
          <t>自動発注GCSへのアップロード失敗</t>
        </is>
      </c>
      <c r="E9" s="148" t="inlineStr">
        <is>
          <t>エラー</t>
        </is>
      </c>
      <c r="F9" s="148" t="inlineStr">
        <is>
          <t>処理中断</t>
        </is>
      </c>
      <c r="G9" s="148" t="inlineStr">
        <is>
          <t>Hinemos 通知後リラン</t>
        </is>
      </c>
      <c r="H9" s="148" t="inlineStr">
        <is>
          <t>TBD-06</t>
        </is>
      </c>
    </row>
    <row r="10" ht="21.75" customHeight="1">
      <c r="B10" s="148" t="inlineStr">
        <is>
          <t>ER-010</t>
        </is>
      </c>
      <c r="C10" s="148" t="inlineStr">
        <is>
          <t>Layer③ 取得</t>
        </is>
      </c>
      <c r="D10" s="148" t="inlineStr">
        <is>
          <t>Sinops から翌日以降勧告を取得できない</t>
        </is>
      </c>
      <c r="E10" s="148" t="inlineStr">
        <is>
          <t>エラー</t>
        </is>
      </c>
      <c r="F10" s="148" t="inlineStr">
        <is>
          <t>処理中断。Layer① 判定で昨日分も無ければ発注不可</t>
        </is>
      </c>
      <c r="G10" s="148" t="inlineStr">
        <is>
          <t>西友 DSS 運用通知</t>
        </is>
      </c>
      <c r="H10" s="10" t="inlineStr"/>
    </row>
    <row r="11" ht="21.75" customHeight="1">
      <c r="B11" s="148" t="inlineStr">
        <is>
          <t>ER-011</t>
        </is>
      </c>
      <c r="C11" s="148" t="inlineStr">
        <is>
          <t>Layer③ 配置</t>
        </is>
      </c>
      <c r="D11" s="148" t="inlineStr">
        <is>
          <t>連携用GCSへの配置失敗</t>
        </is>
      </c>
      <c r="E11" s="148" t="inlineStr">
        <is>
          <t>エラー</t>
        </is>
      </c>
      <c r="F11" s="148" t="inlineStr">
        <is>
          <t>処理中断</t>
        </is>
      </c>
      <c r="G11" s="148" t="inlineStr">
        <is>
          <t>西友 DSS 運用通知</t>
        </is>
      </c>
      <c r="H11" s="148" t="inlineStr">
        <is>
          <t>TBD-05</t>
        </is>
      </c>
    </row>
    <row r="12" ht="42" customHeight="1">
      <c r="B12" s="148" t="inlineStr">
        <is>
          <t>ER-007</t>
        </is>
      </c>
      <c r="C12" s="148" t="inlineStr">
        <is>
          <t>Layer① 変換 Ordertype</t>
        </is>
      </c>
      <c r="D12" s="148" t="inlineStr">
        <is>
          <t>勧告ファイルの部門（西友ライン）が BUMON_ZONE に無い、または ZONE_LOGIC が引けない、または論理区分が 01/02/03 以外</t>
        </is>
      </c>
      <c r="E12" s="148" t="inlineStr">
        <is>
          <t>エラー</t>
        </is>
      </c>
      <c r="F12" s="148" t="inlineStr">
        <is>
          <t>当該レコード扱い TBD-17。01/02/03 以外は 0/1 にしない</t>
        </is>
      </c>
      <c r="G12" s="148" t="inlineStr">
        <is>
          <t>Hinemos 通知</t>
        </is>
      </c>
      <c r="H12" s="148" t="inlineStr">
        <is>
          <t>R07。03は1</t>
        </is>
      </c>
    </row>
    <row r="13" ht="31.5" customHeight="1">
      <c r="B13" s="172" t="inlineStr">
        <is>
          <t>ER-012</t>
        </is>
      </c>
      <c r="C13" s="172" t="inlineStr">
        <is>
          <t>Layer① STEP20 採用判定</t>
        </is>
      </c>
      <c r="D13" s="172" t="inlineStr">
        <is>
          <t>指定時刻（TBD-19、例 6:00）までに当日ファイル未作成、または障害</t>
        </is>
      </c>
      <c r="E13" s="172" t="inlineStr">
        <is>
          <t>警告</t>
        </is>
      </c>
      <c r="F13" s="172" t="inlineStr">
        <is>
          <t>当日を不採用とし、昨日の翌日以降を 1 本として採用して STEP30 へ</t>
        </is>
      </c>
      <c r="G13" s="172" t="inlineStr">
        <is>
          <t>補充/運用・Hinemos 通知</t>
        </is>
      </c>
      <c r="H13" s="172" t="inlineStr">
        <is>
          <t>TBD-13/19。Layer① 内の分岐</t>
        </is>
      </c>
    </row>
    <row r="14" ht="21.75" customHeight="1">
      <c r="B14" s="10" t="n"/>
      <c r="C14" s="10" t="n"/>
      <c r="D14" s="10" t="n"/>
      <c r="E14" s="10" t="n"/>
      <c r="F14" s="10" t="n"/>
      <c r="G14" s="10" t="n"/>
      <c r="H14" s="10" t="n"/>
    </row>
    <row r="15" ht="21.75" customHeight="1">
      <c r="B15" s="10" t="n"/>
      <c r="C15" s="10" t="n"/>
      <c r="D15" s="10" t="n"/>
      <c r="E15" s="10" t="n"/>
      <c r="F15" s="10" t="n"/>
      <c r="G15" s="10" t="n"/>
      <c r="H15" s="10" t="n"/>
    </row>
    <row r="16" ht="21.75" customHeight="1">
      <c r="B16" s="10" t="n"/>
      <c r="C16" s="10" t="n"/>
      <c r="D16" s="10" t="n"/>
      <c r="E16" s="10" t="n"/>
      <c r="F16" s="10" t="n"/>
      <c r="G16" s="10" t="n"/>
      <c r="H16" s="10" t="n"/>
    </row>
    <row r="17" ht="21.75" customHeight="1">
      <c r="B17" s="10" t="n"/>
      <c r="C17" s="10" t="n"/>
      <c r="D17" s="10" t="n"/>
      <c r="E17" s="10" t="n"/>
      <c r="F17" s="10" t="n"/>
      <c r="G17" s="10" t="n"/>
      <c r="H17" s="10" t="n"/>
    </row>
    <row r="18" ht="21.75" customHeight="1">
      <c r="B18" s="10" t="n"/>
      <c r="C18" s="10" t="n"/>
      <c r="D18" s="10" t="n"/>
      <c r="E18" s="10" t="n"/>
      <c r="F18" s="10" t="n"/>
      <c r="G18" s="10" t="n"/>
      <c r="H18" s="10" t="n"/>
    </row>
    <row r="19" ht="21.75" customHeight="1">
      <c r="B19" s="10" t="n"/>
      <c r="C19" s="10" t="n"/>
      <c r="D19" s="10" t="n"/>
      <c r="E19" s="10" t="n"/>
      <c r="F19" s="10" t="n"/>
      <c r="G19" s="10" t="n"/>
      <c r="H19" s="10" t="n"/>
    </row>
    <row r="20" ht="21.75" customHeight="1">
      <c r="B20" s="10" t="n"/>
      <c r="C20" s="10" t="n"/>
      <c r="D20" s="10" t="n"/>
      <c r="E20" s="10" t="n"/>
      <c r="F20" s="10" t="n"/>
      <c r="G20" s="10" t="n"/>
      <c r="H20" s="10" t="n"/>
    </row>
    <row r="21" ht="21.75" customHeight="1">
      <c r="B21" s="10" t="n"/>
      <c r="C21" s="10" t="n"/>
      <c r="D21" s="10" t="n"/>
      <c r="E21" s="10" t="n"/>
      <c r="F21" s="10" t="n"/>
      <c r="G21" s="10" t="n"/>
      <c r="H21" s="10" t="n"/>
    </row>
    <row r="22" ht="21.75" customHeight="1">
      <c r="B22" s="10" t="n"/>
      <c r="C22" s="10" t="n"/>
      <c r="D22" s="10" t="n"/>
      <c r="E22" s="10" t="n"/>
      <c r="F22" s="10" t="n"/>
      <c r="G22" s="10" t="n"/>
      <c r="H22" s="10" t="n"/>
    </row>
    <row r="23" ht="21.75" customHeight="1">
      <c r="B23" s="10" t="n"/>
      <c r="C23" s="10" t="n"/>
      <c r="D23" s="10" t="n"/>
      <c r="E23" s="10" t="n"/>
      <c r="F23" s="10" t="n"/>
      <c r="G23" s="10" t="n"/>
      <c r="H23" s="10" t="n"/>
    </row>
    <row r="24" ht="21.75" customHeight="1">
      <c r="B24" s="10" t="n"/>
      <c r="C24" s="10" t="n"/>
      <c r="D24" s="10" t="n"/>
      <c r="E24" s="10" t="n"/>
      <c r="F24" s="10" t="n"/>
      <c r="G24" s="10" t="n"/>
      <c r="H24" s="10" t="n"/>
    </row>
    <row r="25" ht="18" customHeight="1"/>
    <row r="26" ht="30" customHeight="1">
      <c r="B26" s="173" t="inlineStr">
        <is>
          <t>※ レベル定義　情報：記録のみ／警告：処理継続＋通知／エラー：処理中断＋通知／致命：即時中断＋緊急連絡</t>
        </is>
      </c>
    </row>
  </sheetData>
  <dataValidations count="1">
    <dataValidation sqref="E9:E25" showDropDown="0" showInputMessage="0" showErrorMessage="0" allowBlank="1" type="list">
      <formula1>"情報,警告,エラー,致命"</formula1>
      <formula2>0</formula2>
    </dataValidation>
  </dataValidation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zoomScale="130" zoomScaleNormal="130" zoomScalePageLayoutView="80" workbookViewId="0">
      <selection pane="topRight" activeCell="A1" sqref="A1"/>
      <selection pane="bottomLeft" activeCell="A1" sqref="A1"/>
      <selection pane="bottomRight" activeCell="D6" sqref="D6"/>
    </sheetView>
  </sheetViews>
  <sheetFormatPr baseColWidth="8" defaultColWidth="8.6640625" defaultRowHeight="14.4"/>
  <cols>
    <col width="2" customWidth="1" min="1" max="1"/>
    <col width="12" customWidth="1" min="2" max="2"/>
    <col width="36" customWidth="1" min="3" max="3"/>
    <col width="18" customWidth="1" min="4" max="4"/>
    <col width="18" customWidth="1" min="5" max="5"/>
    <col width="28" customWidth="1" min="6" max="6"/>
    <col width="18" customWidth="1" min="7" max="7"/>
    <col width="10" customWidth="1" min="8" max="8"/>
    <col width="30" customWidth="1" min="9" max="9"/>
    <col width="14" customWidth="1" min="10" max="10"/>
  </cols>
  <sheetData>
    <row r="1" ht="24" customHeight="1">
      <c r="B1" s="161" t="inlineStr">
        <is>
          <t>9. 確認事項・前提（TBD管理）</t>
        </is>
      </c>
    </row>
    <row r="2" ht="18" customHeight="1">
      <c r="B2" s="173" t="inlineStr">
        <is>
          <t>未確定事項。全件クローズが詳細設計完了条件</t>
        </is>
      </c>
    </row>
    <row r="3" ht="18" customHeight="1"/>
    <row r="4" ht="18" customHeight="1"/>
    <row r="5" ht="36" customHeight="1">
      <c r="B5" s="175" t="inlineStr">
        <is>
          <t>TBD-ID</t>
        </is>
      </c>
      <c r="C5" s="175" t="inlineStr">
        <is>
          <t>区分</t>
        </is>
      </c>
      <c r="D5" s="175" t="inlineStr">
        <is>
          <t>内容</t>
        </is>
      </c>
      <c r="E5" s="175" t="inlineStr">
        <is>
          <t>関連項目・箇所</t>
        </is>
      </c>
      <c r="F5" s="175" t="inlineStr">
        <is>
          <t>依頼先</t>
        </is>
      </c>
      <c r="G5" s="175" t="inlineStr">
        <is>
          <t>期限</t>
        </is>
      </c>
      <c r="H5" s="175" t="inlineStr">
        <is>
          <t>状態</t>
        </is>
      </c>
      <c r="I5" s="175" t="inlineStr">
        <is>
          <t>回答・決着内容</t>
        </is>
      </c>
      <c r="J5" s="175" t="inlineStr">
        <is>
          <t>課題管理表No.</t>
        </is>
      </c>
    </row>
    <row r="6" ht="42" customHeight="1">
      <c r="B6" s="172" t="inlineStr">
        <is>
          <t>TBD-01</t>
        </is>
      </c>
      <c r="C6" s="172" t="inlineStr">
        <is>
          <t>確認事項</t>
        </is>
      </c>
      <c r="D6" s="172" t="inlineStr">
        <is>
          <t>店舗コードとTRIAL店CDの紐付け。6桁→4桁の独自変換はしない</t>
        </is>
      </c>
      <c r="E6" s="172" t="inlineStr">
        <is>
          <t>05 No.1／07 No.1</t>
        </is>
      </c>
      <c r="F6" s="172" t="inlineStr">
        <is>
          <t>波多野さん</t>
        </is>
      </c>
      <c r="G6" s="172" t="inlineStr">
        <is>
          <t>2026/09/22</t>
        </is>
      </c>
      <c r="H6" s="172" t="inlineStr">
        <is>
          <t>一部確定</t>
        </is>
      </c>
      <c r="I6" s="172" t="inlineStr">
        <is>
          <t>店CDはマスタ統合後のコード。6→4 の独自切捨てなし。桁は統合後</t>
        </is>
      </c>
      <c r="J6" s="172" t="inlineStr">
        <is>
          <t>G-05 / G02</t>
        </is>
      </c>
    </row>
    <row r="7" ht="25.5" customHeight="1">
      <c r="B7" s="148" t="inlineStr">
        <is>
          <t>TBD-02</t>
        </is>
      </c>
      <c r="C7" s="148" t="inlineStr">
        <is>
          <t>確認事項</t>
        </is>
      </c>
      <c r="D7" s="148" t="inlineStr">
        <is>
          <t>勧告計算後の Layer③ 配置時刻と Layer① プル窓</t>
        </is>
      </c>
      <c r="E7" s="148" t="inlineStr">
        <is>
          <t>01 連携タイミング</t>
        </is>
      </c>
      <c r="F7" s="148" t="inlineStr">
        <is>
          <t>波多野さん／Sinops</t>
        </is>
      </c>
      <c r="G7" s="148" t="inlineStr">
        <is>
          <t>2026/09/22</t>
        </is>
      </c>
      <c r="H7" s="148" t="inlineStr">
        <is>
          <t>確認中</t>
        </is>
      </c>
      <c r="I7" s="10" t="inlineStr"/>
      <c r="J7" s="148" t="inlineStr">
        <is>
          <t>IF一覧注記</t>
        </is>
      </c>
    </row>
    <row r="8" ht="25.5" customHeight="1">
      <c r="B8" s="148" t="inlineStr">
        <is>
          <t>TBD-03</t>
        </is>
      </c>
      <c r="C8" s="148" t="inlineStr">
        <is>
          <t>確認事項</t>
        </is>
      </c>
      <c r="D8" s="148" t="inlineStr">
        <is>
          <t>同一業務日の再送：上書きか新規か。世代管理</t>
        </is>
      </c>
      <c r="E8" s="148" t="inlineStr">
        <is>
          <t>02 世代管理</t>
        </is>
      </c>
      <c r="F8" s="148" t="inlineStr">
        <is>
          <t>岩瀬・波多野／運用</t>
        </is>
      </c>
      <c r="G8" s="148" t="inlineStr">
        <is>
          <t>2026/09/30</t>
        </is>
      </c>
      <c r="H8" s="148" t="inlineStr">
        <is>
          <t>確認中</t>
        </is>
      </c>
      <c r="I8" s="10" t="inlineStr"/>
      <c r="J8" s="148" t="inlineStr">
        <is>
          <t>GCSポリシー</t>
        </is>
      </c>
    </row>
    <row r="9" ht="66" customHeight="1">
      <c r="B9" s="148" t="inlineStr">
        <is>
          <t>TBD-04</t>
        </is>
      </c>
      <c r="C9" s="148" t="inlineStr">
        <is>
          <t>確認事項</t>
        </is>
      </c>
      <c r="D9" s="148" t="inlineStr">
        <is>
          <t>自動発注GCS上の物理ファイル名</t>
        </is>
      </c>
      <c r="E9" s="148" t="inlineStr">
        <is>
          <t>07 物理名</t>
        </is>
      </c>
      <c r="F9" s="148" t="inlineStr">
        <is>
          <t>自動発注担当</t>
        </is>
      </c>
      <c r="G9" s="148" t="inlineStr">
        <is>
          <t>2026/09/22</t>
        </is>
      </c>
      <c r="H9" s="148" t="inlineStr">
        <is>
          <t>完了</t>
        </is>
      </c>
      <c r="I9" s="148" t="inlineStr">
        <is>
          <t>西友GCSは gz（末尾 _YYYYMMDDhhmmss）。連携用: kankoku_YYYYMMDDhhmmss.gz / subkankoku_YYYYMMDDhhmmss.gz。完了印は空の kankoku.end / subkankoku.end。自動発注: SIREJAN_RCMDORDER_LAST_YYYYMMDDhhmmss（gz ではない）</t>
        </is>
      </c>
      <c r="J9" s="148" t="inlineStr">
        <is>
          <t>G-05</t>
        </is>
      </c>
    </row>
    <row r="10" ht="25.5" customHeight="1">
      <c r="B10" s="148" t="inlineStr">
        <is>
          <t>TBD-05</t>
        </is>
      </c>
      <c r="C10" s="148" t="inlineStr">
        <is>
          <t>確認事項</t>
        </is>
      </c>
      <c r="D10" s="148" t="inlineStr">
        <is>
          <t>連携用GCSフォルダ（from_to_連番）と SYS ID</t>
        </is>
      </c>
      <c r="E10" s="148" t="inlineStr">
        <is>
          <t>02/04 GCSパス</t>
        </is>
      </c>
      <c r="F10" s="148" t="inlineStr">
        <is>
          <t>松尾</t>
        </is>
      </c>
      <c r="G10" s="148" t="inlineStr">
        <is>
          <t>2026/09/30</t>
        </is>
      </c>
      <c r="H10" s="148" t="inlineStr">
        <is>
          <t>確認中</t>
        </is>
      </c>
      <c r="I10" s="10" t="inlineStr"/>
      <c r="J10" s="148" t="inlineStr">
        <is>
          <t>GCSバケット資料</t>
        </is>
      </c>
    </row>
    <row r="11" ht="25.5" customHeight="1">
      <c r="B11" s="148" t="inlineStr">
        <is>
          <t>TBD-06</t>
        </is>
      </c>
      <c r="C11" s="148" t="inlineStr">
        <is>
          <t>確認事項</t>
        </is>
      </c>
      <c r="D11" s="148" t="inlineStr">
        <is>
          <t>TRIAL 自動発注GCSのPJ/バケット/パス</t>
        </is>
      </c>
      <c r="E11" s="148" t="inlineStr">
        <is>
          <t>02 OUT</t>
        </is>
      </c>
      <c r="F11" s="148" t="inlineStr">
        <is>
          <t>自動発注担当</t>
        </is>
      </c>
      <c r="G11" s="148" t="inlineStr">
        <is>
          <t>2026/09/30</t>
        </is>
      </c>
      <c r="H11" s="148" t="inlineStr">
        <is>
          <t>確認中</t>
        </is>
      </c>
      <c r="I11" s="10" t="inlineStr"/>
      <c r="J11" s="148" t="inlineStr">
        <is>
          <t>G-05</t>
        </is>
      </c>
    </row>
    <row r="12" ht="25.5" customHeight="1">
      <c r="B12" s="148" t="inlineStr">
        <is>
          <t>TBD-07</t>
        </is>
      </c>
      <c r="C12" s="148" t="inlineStr">
        <is>
          <t>確認事項</t>
        </is>
      </c>
      <c r="D12" s="148" t="inlineStr">
        <is>
          <t>文字コード・改行・区切り（固定長混在の実体）</t>
        </is>
      </c>
      <c r="E12" s="148" t="inlineStr">
        <is>
          <t>07 ファイル仕様</t>
        </is>
      </c>
      <c r="F12" s="148" t="inlineStr">
        <is>
          <t>波多野さん</t>
        </is>
      </c>
      <c r="G12" s="148" t="inlineStr">
        <is>
          <t>2026/09/22</t>
        </is>
      </c>
      <c r="H12" s="148" t="inlineStr">
        <is>
          <t>確認中</t>
        </is>
      </c>
      <c r="I12" s="10" t="inlineStr"/>
      <c r="J12" s="148" t="inlineStr">
        <is>
          <t>G10</t>
        </is>
      </c>
    </row>
    <row r="13" ht="30" customHeight="1">
      <c r="B13" s="148" t="inlineStr">
        <is>
          <t>TBD-08</t>
        </is>
      </c>
      <c r="C13" s="148" t="inlineStr">
        <is>
          <t>確認事項</t>
        </is>
      </c>
      <c r="D13" s="148" t="inlineStr">
        <is>
          <t>仕入先とTRIALベンダーの紐付け。9桁→8桁の独自変換はしない</t>
        </is>
      </c>
      <c r="E13" s="148" t="inlineStr">
        <is>
          <t>05 No.4</t>
        </is>
      </c>
      <c r="F13" s="148" t="inlineStr">
        <is>
          <t>波多野さん</t>
        </is>
      </c>
      <c r="G13" s="148" t="inlineStr">
        <is>
          <t>2026/09/22</t>
        </is>
      </c>
      <c r="H13" s="148" t="inlineStr">
        <is>
          <t>一部確定</t>
        </is>
      </c>
      <c r="I13" s="148" t="inlineStr">
        <is>
          <t>仕入先はマスタ統合後のコード。9→8 の独自切捨てなし。桁は統合後</t>
        </is>
      </c>
      <c r="J13" s="148" t="inlineStr">
        <is>
          <t>G03</t>
        </is>
      </c>
    </row>
    <row r="14" ht="42" customHeight="1">
      <c r="B14" s="148" t="inlineStr">
        <is>
          <t>TBD-09</t>
        </is>
      </c>
      <c r="C14" s="148" t="inlineStr">
        <is>
          <t>確認事項</t>
        </is>
      </c>
      <c r="D14" s="148" t="inlineStr">
        <is>
          <t>Ordertype 1桁の値定義。sinopsにOrdertype項目なし。部門は勧告ファイルにある</t>
        </is>
      </c>
      <c r="E14" s="148" t="inlineStr">
        <is>
          <t>05 No.6</t>
        </is>
      </c>
      <c r="F14" s="148" t="inlineStr">
        <is>
          <t>自動発注担当</t>
        </is>
      </c>
      <c r="G14" s="148" t="inlineStr">
        <is>
          <t>2026/09/22</t>
        </is>
      </c>
      <c r="H14" s="148" t="inlineStr">
        <is>
          <t>完了</t>
        </is>
      </c>
      <c r="I14" s="148" t="inlineStr">
        <is>
          <t>0=非日配、1=日配または生鮮。部門CDは勧告ファイルの西友中分類（西友ライン）。商品マスタは見ない。JIHA.BUMON_ZONE → JIHA.ZONE_LOGIC。01→0、02→1、03→1</t>
        </is>
      </c>
      <c r="J14" s="148" t="inlineStr">
        <is>
          <t>G05</t>
        </is>
      </c>
    </row>
    <row r="15" ht="25.5" customHeight="1">
      <c r="B15" s="148" t="inlineStr">
        <is>
          <t>TBD-10</t>
        </is>
      </c>
      <c r="C15" s="148" t="inlineStr">
        <is>
          <t>確認事項</t>
        </is>
      </c>
      <c r="D15" s="148" t="inlineStr">
        <is>
          <t>更新日が業務日か DB 更新日か</t>
        </is>
      </c>
      <c r="E15" s="148" t="inlineStr">
        <is>
          <t>05 No.7</t>
        </is>
      </c>
      <c r="F15" s="148" t="inlineStr">
        <is>
          <t>波多野さん</t>
        </is>
      </c>
      <c r="G15" s="148" t="inlineStr">
        <is>
          <t>2026/09/22</t>
        </is>
      </c>
      <c r="H15" s="148" t="inlineStr">
        <is>
          <t>確認中</t>
        </is>
      </c>
      <c r="I15" s="10" t="inlineStr"/>
      <c r="J15" s="148" t="inlineStr">
        <is>
          <t>G07</t>
        </is>
      </c>
    </row>
    <row r="16" ht="30" customHeight="1">
      <c r="B16" s="148" t="inlineStr">
        <is>
          <t>TBD-11</t>
        </is>
      </c>
      <c r="C16" s="148" t="inlineStr">
        <is>
          <t>確認事項</t>
        </is>
      </c>
      <c r="D16" s="148" t="inlineStr">
        <is>
          <t>SireJANとTRIAL商品の紐付け。独自の仕入JAN変換はしない</t>
        </is>
      </c>
      <c r="E16" s="148" t="inlineStr">
        <is>
          <t>05 No.2</t>
        </is>
      </c>
      <c r="F16" s="148" t="inlineStr">
        <is>
          <t>波多野さん</t>
        </is>
      </c>
      <c r="G16" s="148" t="inlineStr">
        <is>
          <t>2026/09/30</t>
        </is>
      </c>
      <c r="H16" s="148" t="inlineStr">
        <is>
          <t>一部確定</t>
        </is>
      </c>
      <c r="I16" s="148" t="inlineStr">
        <is>
          <t>SireJAN は統合後の商品コード。独自変換なし</t>
        </is>
      </c>
      <c r="J16" s="148" t="inlineStr">
        <is>
          <t>G11</t>
        </is>
      </c>
    </row>
    <row r="17" ht="25.5" customHeight="1">
      <c r="B17" s="148" t="inlineStr">
        <is>
          <t>TBD-12</t>
        </is>
      </c>
      <c r="C17" s="148" t="inlineStr">
        <is>
          <t>確認事項</t>
        </is>
      </c>
      <c r="D17" s="148" t="inlineStr">
        <is>
          <t>KEY=BranchCD+SireJAN の最終1件化ルール</t>
        </is>
      </c>
      <c r="E17" s="148" t="inlineStr">
        <is>
          <t>02 STEP20</t>
        </is>
      </c>
      <c r="F17" s="148" t="inlineStr">
        <is>
          <t>波多野さん</t>
        </is>
      </c>
      <c r="G17" s="148" t="inlineStr">
        <is>
          <t>2026/09/22</t>
        </is>
      </c>
      <c r="H17" s="148" t="inlineStr">
        <is>
          <t>確認中</t>
        </is>
      </c>
      <c r="I17" s="10" t="inlineStr"/>
      <c r="J17" s="148" t="inlineStr">
        <is>
          <t>G06</t>
        </is>
      </c>
    </row>
    <row r="18" ht="54" customHeight="1">
      <c r="B18" s="148" t="inlineStr">
        <is>
          <t>TBD-13</t>
        </is>
      </c>
      <c r="C18" s="148" t="inlineStr">
        <is>
          <t>確認事項</t>
        </is>
      </c>
      <c r="D18" s="148" t="inlineStr">
        <is>
          <t>Layer① は 24/25 共通 1 ジョブ。入力は当日ファイルと昨日の翌日以降。判定で 1 本だけ採用する。締切は TBD-19</t>
        </is>
      </c>
      <c r="E18" s="148" t="inlineStr">
        <is>
          <t>01／02／08／Sinops-24</t>
        </is>
      </c>
      <c r="F18" s="148" t="inlineStr">
        <is>
          <t>波多野さん</t>
        </is>
      </c>
      <c r="G18" s="148" t="inlineStr">
        <is>
          <t>2026/09/30</t>
        </is>
      </c>
      <c r="H18" s="148" t="inlineStr">
        <is>
          <t>一部確定</t>
        </is>
      </c>
      <c r="I18" s="148" t="inlineStr">
        <is>
          <t>Layer① は 24/25 共通 1 ジョブ。STEP20 で 1 本採用。Layer③ は kankoku_* と subkankoku_* を毎日出力。締切は TBD-19</t>
        </is>
      </c>
      <c r="J18" s="148" t="inlineStr">
        <is>
          <t>G08</t>
        </is>
      </c>
    </row>
    <row r="19" ht="25.5" customHeight="1">
      <c r="B19" s="148" t="inlineStr">
        <is>
          <t>TBD-14</t>
        </is>
      </c>
      <c r="C19" s="148" t="inlineStr">
        <is>
          <t>確認事項</t>
        </is>
      </c>
      <c r="D19" s="148" t="inlineStr">
        <is>
          <t>想定件数・データ量</t>
        </is>
      </c>
      <c r="E19" s="148" t="inlineStr">
        <is>
          <t>01</t>
        </is>
      </c>
      <c r="F19" s="148" t="inlineStr">
        <is>
          <t>Sinops</t>
        </is>
      </c>
      <c r="G19" s="148" t="inlineStr">
        <is>
          <t>2026/09/30</t>
        </is>
      </c>
      <c r="H19" s="148" t="inlineStr">
        <is>
          <t>確認中</t>
        </is>
      </c>
      <c r="I19" s="10" t="inlineStr"/>
      <c r="J19" s="10" t="inlineStr"/>
    </row>
    <row r="20" ht="25.5" customHeight="1">
      <c r="B20" s="148" t="inlineStr">
        <is>
          <t>TBD-15</t>
        </is>
      </c>
      <c r="C20" s="148" t="inlineStr">
        <is>
          <t>確認事項</t>
        </is>
      </c>
      <c r="D20" s="148" t="inlineStr">
        <is>
          <t>7項目の区切り（固定長連結か区切り文字か）</t>
        </is>
      </c>
      <c r="E20" s="148" t="inlineStr">
        <is>
          <t>07</t>
        </is>
      </c>
      <c r="F20" s="148" t="inlineStr">
        <is>
          <t>自動発注担当</t>
        </is>
      </c>
      <c r="G20" s="148" t="inlineStr">
        <is>
          <t>2026/09/22</t>
        </is>
      </c>
      <c r="H20" s="148" t="inlineStr">
        <is>
          <t>確認中</t>
        </is>
      </c>
      <c r="I20" s="10" t="inlineStr"/>
      <c r="J20" s="148" t="inlineStr">
        <is>
          <t>G10</t>
        </is>
      </c>
    </row>
    <row r="21" ht="25.5" customHeight="1">
      <c r="B21" s="148" t="inlineStr">
        <is>
          <t>TBD-16</t>
        </is>
      </c>
      <c r="C21" s="148" t="inlineStr">
        <is>
          <t>確認事項</t>
        </is>
      </c>
      <c r="D21" s="148" t="inlineStr">
        <is>
          <t>勧告0件ファイルの扱い</t>
        </is>
      </c>
      <c r="E21" s="148" t="inlineStr">
        <is>
          <t>08 ER-001</t>
        </is>
      </c>
      <c r="F21" s="148" t="inlineStr">
        <is>
          <t>補充部</t>
        </is>
      </c>
      <c r="G21" s="148" t="inlineStr">
        <is>
          <t>2026/09/30</t>
        </is>
      </c>
      <c r="H21" s="148" t="inlineStr">
        <is>
          <t>確認中</t>
        </is>
      </c>
      <c r="I21" s="10" t="inlineStr"/>
      <c r="J21" s="148" t="inlineStr">
        <is>
          <t>G09</t>
        </is>
      </c>
    </row>
    <row r="22" ht="25.5" customHeight="1">
      <c r="B22" s="148" t="inlineStr">
        <is>
          <t>TBD-17</t>
        </is>
      </c>
      <c r="C22" s="148" t="inlineStr">
        <is>
          <t>確認事項</t>
        </is>
      </c>
      <c r="D22" s="148" t="inlineStr">
        <is>
          <t>変換エラーをファイル中断かレコード退避か</t>
        </is>
      </c>
      <c r="E22" s="148" t="inlineStr">
        <is>
          <t>08 ER-005</t>
        </is>
      </c>
      <c r="F22" s="148" t="inlineStr">
        <is>
          <t>運用</t>
        </is>
      </c>
      <c r="G22" s="148" t="inlineStr">
        <is>
          <t>2026/09/30</t>
        </is>
      </c>
      <c r="H22" s="148" t="inlineStr">
        <is>
          <t>確認中</t>
        </is>
      </c>
      <c r="I22" s="10" t="inlineStr"/>
      <c r="J22" s="10" t="inlineStr"/>
    </row>
    <row r="23" ht="30" customHeight="1">
      <c r="B23" s="148" t="inlineStr">
        <is>
          <t>TBD-18</t>
        </is>
      </c>
      <c r="C23" s="148" t="inlineStr">
        <is>
          <t>確認事項</t>
        </is>
      </c>
      <c r="D23" s="148" t="inlineStr">
        <is>
          <t>ZONE_LOGIC 論理区分03（生鮮）の Ordertype。0/1 以外の値は未定義。本IFから除外するか未決</t>
        </is>
      </c>
      <c r="E23" s="148" t="inlineStr">
        <is>
          <t>05 No.6／R07</t>
        </is>
      </c>
      <c r="F23" s="148" t="inlineStr">
        <is>
          <t>波多野さん／生鮮IF</t>
        </is>
      </c>
      <c r="G23" s="148" t="inlineStr">
        <is>
          <t>2026/09/30</t>
        </is>
      </c>
      <c r="H23" s="148" t="inlineStr">
        <is>
          <t>完了</t>
        </is>
      </c>
      <c r="I23" s="148" t="inlineStr">
        <is>
          <t>論理区分03（生鮮）の Ordertype は 1（日配と同じ）</t>
        </is>
      </c>
      <c r="J23" s="148" t="inlineStr">
        <is>
          <t>G05 残り／生鮮増分</t>
        </is>
      </c>
    </row>
    <row r="24" ht="40" customHeight="1">
      <c r="B24" s="172" t="inlineStr">
        <is>
          <t>TBD-19</t>
        </is>
      </c>
      <c r="C24" s="172" t="inlineStr">
        <is>
          <t>確認事項</t>
        </is>
      </c>
      <c r="D24" s="172" t="inlineStr">
        <is>
          <t>当日分を未作成とみなす締切時刻（例 6:00）とタイムゾーン。判定そのものは Layer①（SCM連携クラウド機）で行う</t>
        </is>
      </c>
      <c r="E24" s="172" t="inlineStr">
        <is>
          <t>01 処理窓／08 ER-012／Sinops-25</t>
        </is>
      </c>
      <c r="F24" s="172" t="inlineStr">
        <is>
          <t>波多野さん／自動発注担当／運用</t>
        </is>
      </c>
      <c r="G24" s="180" t="n">
        <v>46295</v>
      </c>
      <c r="H24" s="172" t="inlineStr">
        <is>
          <t>確認中</t>
        </is>
      </c>
      <c r="I24" s="172" t="inlineStr">
        <is>
          <t>判定箇所は Layer① に確定。残は締切時刻</t>
        </is>
      </c>
      <c r="J24" s="172" t="inlineStr">
        <is>
          <t>G08 残り</t>
        </is>
      </c>
    </row>
    <row r="25" ht="25.5" customHeight="1"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</row>
    <row r="26" ht="25.5" customHeight="1"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 ht="18" customHeight="1"/>
    <row r="28" ht="22" customHeight="1">
      <c r="B28" s="162" t="inlineStr">
        <is>
          <t>■ 集計（自動計算）</t>
        </is>
      </c>
      <c r="C28" s="131" t="n"/>
      <c r="D28" s="131" t="n"/>
      <c r="E28" s="131" t="n"/>
    </row>
    <row r="29" ht="30" customHeight="1">
      <c r="B29" s="175" t="inlineStr">
        <is>
          <t>起票件数</t>
        </is>
      </c>
      <c r="C29" s="175" t="inlineStr">
        <is>
          <t>完了</t>
        </is>
      </c>
      <c r="D29" s="175" t="inlineStr">
        <is>
          <t>未完了</t>
        </is>
      </c>
      <c r="E29" s="175" t="inlineStr">
        <is>
          <t>詳細設計完了可否</t>
        </is>
      </c>
    </row>
    <row r="30" ht="18" customHeight="1">
      <c r="B30" s="181">
        <f>COUNTA(B7:B27)</f>
        <v/>
      </c>
      <c r="C30" s="181">
        <f>COUNTIF(H7:H27,"完了")</f>
        <v/>
      </c>
      <c r="D30" s="181">
        <f>B30-C30</f>
        <v/>
      </c>
      <c r="E30" s="181">
        <f>IF(D30=0,"完了可","未完了 "&amp;D30&amp;"件あり")</f>
        <v/>
      </c>
    </row>
    <row r="31" ht="18" customHeight="1"/>
    <row r="32" ht="18" customHeight="1">
      <c r="B32" s="173" t="inlineStr">
        <is>
          <t>※ TBD は課題管理表（D-3）にも登録。番号は相互に記載</t>
        </is>
      </c>
    </row>
    <row r="33" ht="18" customHeight="1">
      <c r="B33" s="173" t="inlineStr">
        <is>
          <t>※ 期限は前提クリア管理表（D-4）のゲート（9/30・10/16）に合わせる</t>
        </is>
      </c>
    </row>
    <row r="34" ht="18" customHeight="1"/>
    <row r="35" ht="22" customHeight="1">
      <c r="A35" s="162" t="inlineStr">
        <is>
          <t>■ Data Flow 接続先（Server／IP）</t>
        </is>
      </c>
    </row>
    <row r="36" ht="18" customHeight="1">
      <c r="A36" s="182" t="inlineStr">
        <is>
          <t>TBD ID</t>
        </is>
      </c>
      <c r="B36" s="178" t="inlineStr">
        <is>
          <t>内容</t>
        </is>
      </c>
      <c r="C36" s="178" t="inlineStr">
        <is>
          <t>確認先</t>
        </is>
      </c>
      <c r="D36" s="178" t="inlineStr">
        <is>
          <t>記載箇所</t>
        </is>
      </c>
    </row>
    <row r="37" ht="18" customHeight="1">
      <c r="A37" s="183" t="inlineStr">
        <is>
          <t>TBD-DF-01</t>
        </is>
      </c>
      <c r="B37" s="173" t="inlineStr">
        <is>
          <t>Sinops/MDSCM の正式Server名と接続先IP（または接続方式）</t>
        </is>
      </c>
      <c r="C37" s="173" t="inlineStr">
        <is>
          <t>西友</t>
        </is>
      </c>
      <c r="D37" s="173" t="inlineStr">
        <is>
          <t>Data Flow</t>
        </is>
      </c>
    </row>
    <row r="38" ht="18" customHeight="1">
      <c r="A38" s="183" t="inlineStr">
        <is>
          <t>TBD-DF-02</t>
        </is>
      </c>
      <c r="B38" s="173" t="inlineStr">
        <is>
          <t>西友 DataSpider 実行ホスト／NAT の接続先</t>
        </is>
      </c>
      <c r="C38" s="173" t="inlineStr">
        <is>
          <t>西友</t>
        </is>
      </c>
      <c r="D38" s="173" t="inlineStr">
        <is>
          <t>Data Flow</t>
        </is>
      </c>
    </row>
    <row r="39" ht="18" customHeight="1">
      <c r="A39" s="183" t="inlineStr">
        <is>
          <t>TBD-DF-03</t>
        </is>
      </c>
      <c r="B39" s="173" t="inlineStr">
        <is>
          <t>連携用GCSへの接続経路（PSC/NAT等）と許可端点</t>
        </is>
      </c>
      <c r="C39" s="173" t="inlineStr">
        <is>
          <t>松尾／NW</t>
        </is>
      </c>
      <c r="D39" s="173" t="inlineStr">
        <is>
          <t>Data Flow</t>
        </is>
      </c>
    </row>
    <row r="40" ht="18" customHeight="1">
      <c r="A40" s="183" t="inlineStr">
        <is>
          <t>TBD-DF-04</t>
        </is>
      </c>
      <c r="B40" s="173" t="inlineStr">
        <is>
          <t>Cloud Run Jobs の出口IP／VPCコネクタ／NAT</t>
        </is>
      </c>
      <c r="C40" s="173" t="inlineStr">
        <is>
          <t>TRIAL GCP</t>
        </is>
      </c>
      <c r="D40" s="173" t="inlineStr">
        <is>
          <t>Data Flow</t>
        </is>
      </c>
    </row>
    <row r="41" ht="18" customHeight="1">
      <c r="A41" s="183" t="inlineStr">
        <is>
          <t>TBD-DF-05</t>
        </is>
      </c>
      <c r="B41" s="173" t="inlineStr">
        <is>
          <t>自動発注GCSの正式PJ・バケット・端点</t>
        </is>
      </c>
      <c r="C41" s="173" t="inlineStr">
        <is>
          <t>TRIAL</t>
        </is>
      </c>
      <c r="D41" s="173" t="inlineStr">
        <is>
          <t>Data Flow</t>
        </is>
      </c>
    </row>
    <row r="42" ht="18" customHeight="1">
      <c r="A42" s="183" t="inlineStr">
        <is>
          <t>TBD-DF-06</t>
        </is>
      </c>
      <c r="B42" s="173" t="inlineStr">
        <is>
          <t>自動発注転送〜OrdreSV の Server／IP（本IFの外）</t>
        </is>
      </c>
      <c r="C42" s="173" t="inlineStr">
        <is>
          <t>TRIAL</t>
        </is>
      </c>
      <c r="D42" s="173" t="inlineStr">
        <is>
          <t>Data Flow</t>
        </is>
      </c>
    </row>
  </sheetData>
  <dataValidations count="2">
    <dataValidation sqref="C7:C27" showDropDown="0" showInputMessage="0" showErrorMessage="0" allowBlank="1" type="list">
      <formula1>"前提,確認事項,TBD,リスク"</formula1>
      <formula2>0</formula2>
    </dataValidation>
    <dataValidation sqref="H7:H27" showDropDown="0" showInputMessage="0" showErrorMessage="0" allowBlank="1" type="list">
      <formula1>"未着手,確認中,完了,保留"</formula1>
      <formula2>0</formula2>
    </dataValidation>
  </dataValidation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2026-09-14T02:50:30Z</dcterms:created>
  <dcterms:modified xmlns:dcterms="http://purl.org/dc/terms/" xmlns:xsi="http://www.w3.org/2001/XMLSchema-instance" xsi:type="dcterms:W3CDTF">2026-10-16T01:42:27Z</dcterms:modified>
  <cp:lastModifiedBy>TRIAL 476</cp:lastModifiedBy>
  <cp:revision>0</cp:revision>
</cp:coreProperties>
</file>