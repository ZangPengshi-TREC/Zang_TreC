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表紙・改訂履歴" sheetId="1" r:id="rId4"/>
    <sheet state="visible" name="01_IF概要" sheetId="2" r:id="rId5"/>
    <sheet state="visible" name="Data Flow" sheetId="3" r:id="rId6"/>
    <sheet state="visible" name="02_Layer⓪設計" sheetId="4" r:id="rId7"/>
    <sheet state="visible" name="02_Layer①設計" sheetId="5" r:id="rId8"/>
    <sheet state="visible" name="03_Layer②設計" sheetId="6" r:id="rId9"/>
    <sheet state="visible" name="04_Layer③設計" sheetId="7" r:id="rId10"/>
    <sheet state="visible" name="05_項目マッピング(Layer①)" sheetId="8" r:id="rId11"/>
    <sheet state="visible" name="05_項目マッピング(Layer②)" sheetId="9" r:id="rId12"/>
    <sheet state="visible" name="05_項目マッピング(Layer③)" sheetId="10" r:id="rId13"/>
    <sheet state="visible" name="05_項目マッピング(Layer⓪)" sheetId="11" r:id="rId14"/>
    <sheet state="visible" name="07_ファイルレイアウト(TRIAL)" sheetId="12" r:id="rId15"/>
    <sheet state="visible" name="07_ファイルレイアウト(Sinops)" sheetId="13" r:id="rId16"/>
    <sheet state="hidden" name="08_エラー処理" sheetId="14" r:id="rId17"/>
    <sheet state="visible" name="09_確認事項・前提" sheetId="15" r:id="rId18"/>
  </sheets>
  <definedNames/>
  <calcPr/>
  <extLst>
    <ext uri="GoogleSheetsCustomDataVersion2">
      <go:sheetsCustomData xmlns:go="http://customooxmlschemas.google.com/" r:id="rId19" roundtripDataChecksum="XER81ageUKNG5wqO/uY8yMR0HapdvoCG+k8KF5fGdE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連携用GCS（DSS配置）。当日 kankoku_YYYYMMDDhhmmss.gz（論理 kankoku.txt）および昨日の subkankoku_YYYYMMDDhhmmss.gz（論理 subkankoku.txt）。完了印は空の kankoku.end / subkankoku.end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連携用GCS（DSS配置）。当日 kankoku_YYYYMMDDhhmmss.gz（論理 kankoku.txt）および昨日の subkankoku_YYYYMMDDhhmmss.gz（論理 subkankoku.txt）。完了印は空の kankoku.end / subkankoku.end
======</t>
      </text>
    </comment>
  </commentList>
</comments>
</file>

<file path=xl/sharedStrings.xml><?xml version="1.0" encoding="utf-8"?>
<sst xmlns="http://schemas.openxmlformats.org/spreadsheetml/2006/main" count="1423" uniqueCount="575">
  <si>
    <t>1. IF概要</t>
  </si>
  <si>
    <t>IF詳細設計書</t>
  </si>
  <si>
    <t>2. Layer① 設計（TRIAL ↔ GCS）</t>
  </si>
  <si>
    <t>Data Flow（draw.io より更新 2026-09-22）</t>
  </si>
  <si>
    <t>Layer③ は当日・翌日以降を毎日出力。Layer① は 24/25 共通 1 ジョブで 1 本を採用（判定は 02 STEP40）</t>
  </si>
  <si>
    <t>復路。ノード定義は下表。図は draw.io</t>
  </si>
  <si>
    <t>■ 連携条件</t>
  </si>
  <si>
    <t>■ 基本情報</t>
  </si>
  <si>
    <t>■ 設計条件</t>
  </si>
  <si>
    <t>IF名称</t>
  </si>
  <si>
    <t>処理概要</t>
  </si>
  <si>
    <t>発注勧告(当日分)</t>
  </si>
  <si>
    <t>送信元システム</t>
  </si>
  <si>
    <t>Layer①が置いた1本に、項目の選別・コード変換と JIHA 参照を行う。</t>
  </si>
  <si>
    <t xml:space="preserve">Sinops-R6					</t>
  </si>
  <si>
    <t>対象課題</t>
  </si>
  <si>
    <t>PMI西友MD基幹統合</t>
  </si>
  <si>
    <t>連携方向</t>
  </si>
  <si>
    <t>入力</t>
  </si>
  <si>
    <t>Sinops-R6 → 西友連携GCS（ods-seiyu-prod（dev/stg））→ 自動発注GCS。Layer0 は自動発注GCP。生鮮は生鮮サーバーの発注統合。非生鮮は既存で OrderSV の EOB</t>
  </si>
  <si>
    <t>受信先システム</t>
  </si>
  <si>
    <t>TRIAL OrderSV</t>
  </si>
  <si>
    <t>gs://autoorder-prod/lv3-trc-jiha-prod/SINOPS/SIREJAN_RCMDORDER_LAST_YYYYMMDD.gz</t>
  </si>
  <si>
    <t>対象レイヤー</t>
  </si>
  <si>
    <t>想定件数</t>
  </si>
  <si>
    <t>Layer① / Layer③（Layer② 対象外）</t>
  </si>
  <si>
    <t>約25万件</t>
  </si>
  <si>
    <t>処理対象</t>
  </si>
  <si>
    <t>Layer①が採用した1本。再判定はしない</t>
  </si>
  <si>
    <t>想定データ量</t>
  </si>
  <si>
    <t>約20M</t>
  </si>
  <si>
    <t>担当者</t>
  </si>
  <si>
    <t>臧鵬仕</t>
  </si>
  <si>
    <t>出力ファイル名</t>
  </si>
  <si>
    <t>SIREJAN_RCMDORDER_LAST_YYYYMMDD.gz</t>
  </si>
  <si>
    <t>リラン可否</t>
  </si>
  <si>
    <t>可（全件洗い替え）。Layer① は共通 1 ジョブ。当日の発注勧告、または昨日の翌日以降のうち発注日が当日のデータを採用</t>
  </si>
  <si>
    <t>レビュー者</t>
  </si>
  <si>
    <t>岩瀬、波多野</t>
  </si>
  <si>
    <t>実行タイミング</t>
  </si>
  <si>
    <t>Layer①の配置後</t>
  </si>
  <si>
    <t>GCS配置先</t>
  </si>
  <si>
    <t>承認者</t>
  </si>
  <si>
    <t>■ レイヤー別スコープ</t>
  </si>
  <si>
    <t>TRIAL自動発注GCS(gs://autoorder-prod/lv3-trc-jiha-prod/)</t>
  </si>
  <si>
    <t>岩瀬</t>
  </si>
  <si>
    <t>文字コード</t>
  </si>
  <si>
    <t>SJIS。</t>
  </si>
  <si>
    <t>レイヤー</t>
  </si>
  <si>
    <t>■ 改訂履歴</t>
  </si>
  <si>
    <t>範囲</t>
  </si>
  <si>
    <t>変換有無</t>
  </si>
  <si>
    <t>使用技術</t>
  </si>
  <si>
    <t>■ 処理フロー</t>
  </si>
  <si>
    <t>Layer①</t>
  </si>
  <si>
    <t>西友連携用GCS → md-data-integration-prod（24/25 共通 1 ジョブ）→ 自動発注GCS</t>
  </si>
  <si>
    <t>版数</t>
  </si>
  <si>
    <t>有</t>
  </si>
  <si>
    <t>改訂日</t>
  </si>
  <si>
    <t>当日と昨日の翌日以降をプル。1 本を採用。当日採用の着地は md-data-integration-prod/LV3/SIREJAN_RCMDORDER_LAST/YYYYMMDD/。翌日以降採用の着地は md-data-integration-prod/LV3/SIREJAN_RCMDORDER_LAST_SUB/YYYYMMDD/</t>
  </si>
  <si>
    <t>改訂者</t>
  </si>
  <si>
    <t>改訂内容</t>
  </si>
  <si>
    <t>外部IFプログラム（SCM連携クラウド機。24/25 共通）</t>
  </si>
  <si>
    <t>STEP</t>
  </si>
  <si>
    <t>処理内容</t>
  </si>
  <si>
    <t>承認日</t>
  </si>
  <si>
    <t>出力</t>
  </si>
  <si>
    <t>Layer②</t>
  </si>
  <si>
    <t>例外時の扱い</t>
  </si>
  <si>
    <t>対象外</t>
  </si>
  <si>
    <t>備考</t>
  </si>
  <si>
    <t>無</t>
  </si>
  <si>
    <t>トランのため DWH Intake しない</t>
  </si>
  <si>
    <t>－</t>
  </si>
  <si>
    <t>0.1</t>
  </si>
  <si>
    <t>Layer③</t>
  </si>
  <si>
    <t>Sinops → 連携用GCS</t>
  </si>
  <si>
    <t>Sinops → 連携用GCS。kankoku_YYYYMMDDhhmmss.zip / subkankoku_YYYYMMDDhhmmss.zip。完了印は kankoku.END / subkankoku.END。OrdreSV へは出さない</t>
  </si>
  <si>
    <t>DataSpider</t>
  </si>
  <si>
    <t>テンプレ適用。発注IF SIREJAN_RCMDORDER_LAST を初稿反映。未レビュー</t>
  </si>
  <si>
    <t xml:space="preserve">Layer0　</t>
  </si>
  <si>
    <t>自動発注GCPで生鮮／非生鮮を判定。</t>
  </si>
  <si>
    <t>0.2</t>
  </si>
  <si>
    <t>生鮮は生鮮サーバーの発注統合へ転送。非生鮮は既存で OrderSV の EOB へ</t>
  </si>
  <si>
    <t>西友GCS上は gz。完了印は空の機能名.END。自動発注GCSは gz ではない</t>
  </si>
  <si>
    <t>END を確認してから着手</t>
  </si>
  <si>
    <t>SIREJAN_RCMDORDER_LAST_YYYYMMDD.END</t>
  </si>
  <si>
    <t>有無</t>
  </si>
  <si>
    <t>無しは中断</t>
  </si>
  <si>
    <t>空ファイル。SINOPS 上、gz の後</t>
  </si>
  <si>
    <t>SINOPS</t>
  </si>
  <si>
    <t>店CDを統合マスタ後へ</t>
  </si>
  <si>
    <t>採用 1 本</t>
  </si>
  <si>
    <t>店舗CD</t>
  </si>
  <si>
    <t>不一致は ER-005</t>
  </si>
  <si>
    <t>切捨てなし。TBD-01</t>
  </si>
  <si>
    <t>商品CDを統合マスタ後へ</t>
  </si>
  <si>
    <t>仕入発注JAN</t>
  </si>
  <si>
    <t>独自変換なし</t>
  </si>
  <si>
    <t>仕入先CDを統合マスタ後へ</t>
  </si>
  <si>
    <t>ベンダーCD</t>
  </si>
  <si>
    <t>切捨てなし。TBD-08</t>
  </si>
  <si>
    <t>数量を設定</t>
  </si>
  <si>
    <t>発注バラ数</t>
  </si>
  <si>
    <t>推奨発注数量</t>
  </si>
  <si>
    <t>整数倍でないは ER-005</t>
  </si>
  <si>
    <t>×1000しない。丸めない</t>
  </si>
  <si>
    <t>納品日を移す</t>
  </si>
  <si>
    <t>納品日</t>
  </si>
  <si>
    <t>ShippingDate</t>
  </si>
  <si>
    <t>yyyymmdd のまま</t>
  </si>
  <si>
    <t>■ Data Flow ノード定義（Server／IP／テーブル／ファイル）</t>
  </si>
  <si>
    <t>部門CDを取る</t>
  </si>
  <si>
    <t>勧告ファイルの西友中分類</t>
  </si>
  <si>
    <t>部門CD</t>
  </si>
  <si>
    <t>西友ライン＝部門。商品マスタは見ない</t>
  </si>
  <si>
    <t>JIHA.BUMON_ZONE を引く</t>
  </si>
  <si>
    <t>自動発注GCS / JIHA.BUMON_ZONE</t>
  </si>
  <si>
    <t>ZONECD</t>
  </si>
  <si>
    <t>部門CDが無いのは ER-007</t>
  </si>
  <si>
    <t>キーは部門CD。参照のみ。書かない</t>
  </si>
  <si>
    <t>自動発注GCS</t>
  </si>
  <si>
    <t>各箱の Server／IP／テーブル／ファイル。未確定は TBD-DF-xx（09 と同一）。Cloud Run Jobs。永続ディスクなし</t>
  </si>
  <si>
    <t>JIHA.ZONE_LOGIC を引く</t>
  </si>
  <si>
    <t>自動発注GCS / JIHA.ZONE_LOGIC</t>
  </si>
  <si>
    <t>論理区分</t>
  </si>
  <si>
    <t>引けないは ER-007</t>
  </si>
  <si>
    <t>キーは ZONECD。参照のみ。書かない</t>
  </si>
  <si>
    <t>Ordertype を設定</t>
  </si>
  <si>
    <t>順</t>
  </si>
  <si>
    <t>ノード（図の箱）</t>
  </si>
  <si>
    <t>役割</t>
  </si>
  <si>
    <t>Server名／サービス</t>
  </si>
  <si>
    <t>IP／接続先</t>
  </si>
  <si>
    <t>テーブル名／オブジェクト</t>
  </si>
  <si>
    <t>ファイル名</t>
  </si>
  <si>
    <t>備考・確定状態</t>
  </si>
  <si>
    <t>Ordertype</t>
  </si>
  <si>
    <t>01/02/03 以外は ER-007</t>
  </si>
  <si>
    <t>01→0、02→1、03→1</t>
  </si>
  <si>
    <t>Sinops（MDSCM）</t>
  </si>
  <si>
    <t>勧告の発生元</t>
  </si>
  <si>
    <t>Sinops / MDSCM（西友 Azure 側）</t>
  </si>
  <si>
    <t>TBD-DF-01（西友側ホスト／接続先）</t>
  </si>
  <si>
    <t>—（アプリ出力。DBテーブル直読みしない）</t>
  </si>
  <si>
    <t>更新日を設定</t>
  </si>
  <si>
    <t>当日: 勧告元データ／翌日以降: 同系統</t>
  </si>
  <si>
    <t>発注日（候補）</t>
  </si>
  <si>
    <t>更新日</t>
  </si>
  <si>
    <t>Layer③ の入力源。IP・正式ホスト名は西友側確認</t>
  </si>
  <si>
    <t>TBD-10</t>
  </si>
  <si>
    <t>SIREJAN を書く</t>
  </si>
  <si>
    <t>7項目</t>
  </si>
  <si>
    <t>必須欠落は ER-005</t>
  </si>
  <si>
    <t>DataSpider Layer③</t>
  </si>
  <si>
    <t>gz</t>
  </si>
  <si>
    <t>Sinops→連携用GCSへ全フィールド配置（型変換・選別なし）</t>
  </si>
  <si>
    <t>西友 Azure DataSpider（DSS）</t>
  </si>
  <si>
    <t>TBD-DF-02（西友 DS 実行ホスト／NAT）</t>
  </si>
  <si>
    <t>—（DSS ジョブ。本IFは二次加工しない）</t>
  </si>
  <si>
    <t>出力物理: kankoku_YYYYMMDDhhmmss.zip／subkankoku_YYYYMMDDhhmmss.zip（論理は .txt）</t>
  </si>
  <si>
    <t>毎日 gz 2本。各 gz の後に空の kankoku.END / subkankoku.END。採用判定・型変換はしない（Layer①）</t>
  </si>
  <si>
    <t>連携用 GCS</t>
  </si>
  <si>
    <t>自動発注GCSへ置く</t>
  </si>
  <si>
    <t>会社間の唯一通路・ファイル正本</t>
  </si>
  <si>
    <t>GCS / Bucket: ods-seiyu-prod（dev/stg）</t>
  </si>
  <si>
    <t>1 ファイル</t>
  </si>
  <si>
    <t>—（オブジェクトストレージ。PSC/NAT 経由。端点IPは TBD-DF-03）</t>
  </si>
  <si>
    <t>—</t>
  </si>
  <si>
    <t>TRIAL自動発注GCS / SIREJAN_RCMDORDER_LAST_YYYYMMDD.gz</t>
  </si>
  <si>
    <t>kankoku_YYYYMMDDhhmmss.zip / subkankoku_YYYYMMDDhhmmss.zip</t>
  </si>
  <si>
    <t>失敗は ER-006</t>
  </si>
  <si>
    <t>松尾申請の連携用バケット。クラウド機PJ外</t>
  </si>
  <si>
    <t>配置後の振り分けは生鮮／非生鮮</t>
  </si>
  <si>
    <t>生鮮は生鮮サーバーの発注統合。非生鮮は既存で OrderSV の EOB</t>
  </si>
  <si>
    <t>SCM連携クラウド機</t>
  </si>
  <si>
    <t>プル・採用判定・変換・プッシュ</t>
  </si>
  <si>
    <t>Cloud Run Jobs（ProjectD／仮称）
起動: Hinemos</t>
  </si>
  <si>
    <t>TBD-DF-04（Cloud Run 出口／VPCコネクタ／NAT）</t>
  </si>
  <si>
    <t>参照のみ（自動発注GCS上）:
JIHA.BUMON_ZONE
JIHA.ZONE_LOGIC</t>
  </si>
  <si>
    <t>IN: 当日 kankoku_* または昨日の subkankoku_*（発注日＝当日） / OUT: SIREJAN_RCMDORDER_LAST_YYYYMMDD.gz</t>
  </si>
  <si>
    <t>本機永続ステージングなし。一時領域のみ。GKE不使用</t>
  </si>
  <si>
    <t>自動発注 GCS</t>
  </si>
  <si>
    <t>発注IFの受け皿</t>
  </si>
  <si>
    <t>TRIAL 自動発注 GCS（既存。TBD-06）</t>
  </si>
  <si>
    <t>TBD-DF-05（自動発注GCS端点）</t>
  </si>
  <si>
    <t>JIHA.BUMON_ZONE／JIHA.ZONE_LOGIC（Ordertype参照）</t>
  </si>
  <si>
    <t>連携用GCSとは別。クラウド機PJ外</t>
  </si>
  <si>
    <t>Layer0（自動発注GCP）</t>
  </si>
  <si>
    <t>生鮮／非生鮮を判定</t>
  </si>
  <si>
    <t>TRIAL 自動発注 GCP</t>
  </si>
  <si>
    <t>TBD-DF-06（転送基盤・OrdreSV）</t>
  </si>
  <si>
    <t>非生鮮は OrderSV の EOB。生鮮は発注統合</t>
  </si>
  <si>
    <t>生鮮は生鮮サーバーの発注統合へ転送。非生鮮は既存で OrderSV の EOB。変換は Layer①</t>
  </si>
  <si>
    <t>■ データの流れ（矢印）</t>
  </si>
  <si>
    <t>① Sinops → ② DataSpider(L3) → ③ 連携用GCS（kankoku_*.zip / subkankoku_*.zip の後に .END）</t>
  </si>
  <si>
    <t>③ 連携用GCS → ④ md-data-integration-prod（L1）：当日の発注勧告、または昨日の翌日以降（発注日＝当日）を判定 → 変換</t>
  </si>
  <si>
    <t>④ md-data-integration-prod → ⑤ 自動発注GCS（SIREJAN_RCMDORDER_LAST_YYYYMMDD.gz）</t>
  </si>
  <si>
    <t>⑤ 自動発注GCS → ⑥ Layer0。生鮮は生鮮サーバーの発注統合。非生鮮は既存で OrderSV の EOB</t>
  </si>
  <si>
    <t>西友連携GCSから取得する。型変換・項目選別・JIHA参照はしない。当日の発注勧告か、昨日の翌日以降（発注日＝当日）かを判定し、採用した1本をそのまま置く。</t>
  </si>
  <si>
    <t>抽出元</t>
  </si>
  <si>
    <t>当日 KANKOKU_YYYYMMDDhhmmss.zip、昨日の SUBKANKOKU_YYYYMMDDhhmmss.zip（西友連携GCS）</t>
  </si>
  <si>
    <t>抽出条件</t>
  </si>
  <si>
    <t>当日の発注勧告、または昨日の翌日以降のうち発注日が当日の行。2本は重ねない</t>
  </si>
  <si>
    <t>SIREJAN_RCMDORDER_LAST_YYYYMMDD.gz（中身は変換しない）</t>
  </si>
  <si>
    <t>日次 5:30 起動</t>
  </si>
  <si>
    <t>TRIAL自動発注GCS(gs://autoorder-prod/lv3-trc-jiha-prod/SINOPS/)</t>
  </si>
  <si>
    <t>.END を確認</t>
  </si>
  <si>
    <t>kankoku.END / subkankoku.END</t>
  </si>
  <si>
    <t>両方無しは ER-004</t>
  </si>
  <si>
    <t>空ファイル</t>
  </si>
  <si>
    <t>24/25 共通</t>
  </si>
  <si>
    <t>zip を取得</t>
  </si>
  <si>
    <t>連携用GCS</t>
  </si>
  <si>
    <t>gz（最大2）</t>
  </si>
  <si>
    <t>失敗は ER-004</t>
  </si>
  <si>
    <t>当日 kankoku_*.zip と昨日 subkankoku_*.zip</t>
  </si>
  <si>
    <t>zip を展開</t>
  </si>
  <si>
    <t>zip</t>
  </si>
  <si>
    <t>ステージング</t>
  </si>
  <si>
    <t>最大 2 ファイル</t>
  </si>
  <si>
    <t>採用する 1 本を決める</t>
  </si>
  <si>
    <t>当日無しは昨日の発注日＝当日。両方無しは中断</t>
  </si>
  <si>
    <t>当日の発注勧告、または昨日の翌日以降（発注日＝当日）。2本は重ねない</t>
  </si>
  <si>
    <t>判定は本機</t>
  </si>
  <si>
    <t>採用した1本をそのまま置く</t>
  </si>
  <si>
    <t>変換しない</t>
  </si>
  <si>
    <t>項目選別とJIHAは Layer0</t>
  </si>
  <si>
    <t>空の END を置く</t>
  </si>
  <si>
    <t>gz の後。空ファイル</t>
  </si>
  <si>
    <t>3. Layer② 設計（GCS → DWH）</t>
  </si>
  <si>
    <t>取込対象ファイル</t>
  </si>
  <si>
    <t>対象外（本IFはトラン。IF一覧どおり Layer2 無）</t>
  </si>
  <si>
    <t>Intakeテーブル</t>
  </si>
  <si>
    <t>格納方式</t>
  </si>
  <si>
    <t>実行トリガ</t>
  </si>
  <si>
    <t>エラー時の扱い</t>
  </si>
  <si>
    <t>対象外。Intake しない</t>
  </si>
  <si>
    <t>4. Layer③ 設計（DWH・GCS ↔ 業務システム）</t>
  </si>
  <si>
    <t>全フィールド通過。型変換・選別・編集は Layer①</t>
  </si>
  <si>
    <t>連携先システム</t>
  </si>
  <si>
    <t>西友連携GCS（ods-seiyu-prod（dev/stg））</t>
  </si>
  <si>
    <t>データ送信先</t>
  </si>
  <si>
    <t>gs://ods-seiyu-prod/LM0026_IF0079_001/YYYYMMDD/（dev/stg）</t>
  </si>
  <si>
    <t>送信テーブル</t>
  </si>
  <si>
    <t>kankoku.txt</t>
  </si>
  <si>
    <t>参照先</t>
  </si>
  <si>
    <t>SinopsーR6 発注勧告（当日）。二次加工しない、パス確認要</t>
  </si>
  <si>
    <t>連携タイミング</t>
  </si>
  <si>
    <t>日次 5:00 起動</t>
  </si>
  <si>
    <t>SJIS</t>
  </si>
  <si>
    <t>当日勧告を取得</t>
  </si>
  <si>
    <t>Sinops</t>
  </si>
  <si>
    <t>DSS作業領域</t>
  </si>
  <si>
    <t>失敗は中断・通知</t>
  </si>
  <si>
    <t>zip にする</t>
  </si>
  <si>
    <t>kankoku_YYYYMMDDhhmmss.zip</t>
  </si>
  <si>
    <t>論理 kankoku.txt</t>
  </si>
  <si>
    <t>zip を連携用GCSへ置く</t>
  </si>
  <si>
    <t>LM0026_IF0079_001/YYYYMMDD</t>
  </si>
  <si>
    <t>空の kankoku.END を置く</t>
  </si>
  <si>
    <t>kankoku.END</t>
  </si>
  <si>
    <t>gz の後</t>
  </si>
  <si>
    <t>5. 項目マッピング（Layer①）</t>
  </si>
  <si>
    <t>No</t>
  </si>
  <si>
    <t>【受信先】テーブル</t>
  </si>
  <si>
    <t>【受信先】項目名</t>
  </si>
  <si>
    <t>物理名</t>
  </si>
  <si>
    <t>型</t>
  </si>
  <si>
    <t>桁</t>
  </si>
  <si>
    <t>必須</t>
  </si>
  <si>
    <t>【送信元】テーブル</t>
  </si>
  <si>
    <t>【送信元】項目名</t>
  </si>
  <si>
    <t>マッピング区分</t>
  </si>
  <si>
    <t>変換ルールID／変換内容</t>
  </si>
  <si>
    <t>Phase1 GAP No.</t>
  </si>
  <si>
    <t>関連課題No.</t>
  </si>
  <si>
    <t>確定状況</t>
  </si>
  <si>
    <t>autoorder-prod/lv3-trc-jiha-prod/SINOPS/SIREJAN_RCMDORDER_LAST_YYYYMMDD.gz</t>
  </si>
  <si>
    <t>店舗コード</t>
  </si>
  <si>
    <t>文字</t>
  </si>
  <si>
    <t>○</t>
  </si>
  <si>
    <t>ods-seiyu-prod/LM0026_IF0079_001/YYYYMMDD/kankoku_YYYYMMDDhhmmss.zip</t>
  </si>
  <si>
    <t>直連携（全項目通過）</t>
  </si>
  <si>
    <t>発注日</t>
  </si>
  <si>
    <t>yyyymmdd</t>
  </si>
  <si>
    <t>商品コード</t>
  </si>
  <si>
    <t>便区分</t>
  </si>
  <si>
    <t>仕入先コード</t>
  </si>
  <si>
    <t>大分類コード</t>
  </si>
  <si>
    <t>中分類コード</t>
  </si>
  <si>
    <t>小分類コード</t>
  </si>
  <si>
    <t>細目コード</t>
  </si>
  <si>
    <t>整数</t>
  </si>
  <si>
    <t>発注単位数</t>
  </si>
  <si>
    <t>標準仕入単価</t>
  </si>
  <si>
    <t>標準売価</t>
  </si>
  <si>
    <t>発注単位</t>
  </si>
  <si>
    <t>■ 集計（手入力）</t>
  </si>
  <si>
    <t>項目数</t>
  </si>
  <si>
    <t>確定</t>
  </si>
  <si>
    <t>一部確定</t>
  </si>
  <si>
    <t>未確定</t>
  </si>
  <si>
    <t>5. 項目マッピング（Layer②）</t>
  </si>
  <si>
    <t>■ 適用</t>
  </si>
  <si>
    <t>5. 項目マッピング（Layer③）</t>
  </si>
  <si>
    <t>全フィールド転送。物理名 kankoku_YYYYMMDDhhmmss.gz（論理 kankoku.txt）。完了印は空の kankoku.END</t>
  </si>
  <si>
    <t>区分は直連携（全項目通過）</t>
  </si>
  <si>
    <t>【要確認】Sinops送信先/kankoku.txt</t>
  </si>
  <si>
    <t>5. 項目マッピング（Layer⓪）</t>
  </si>
  <si>
    <t>SIREJAN_RCMDORDER_LAST/YYYYMMDD/</t>
  </si>
  <si>
    <t>BranchCD</t>
  </si>
  <si>
    <t>固定長</t>
  </si>
  <si>
    <t>編集</t>
  </si>
  <si>
    <t>マスタ統合後の店CD。6→4 の独自切捨てなし。桁は統合後 TBD-01</t>
  </si>
  <si>
    <t>G02</t>
  </si>
  <si>
    <t>G-05</t>
  </si>
  <si>
    <t>マスタ統合で紐付け解決</t>
  </si>
  <si>
    <t>SireJAN</t>
  </si>
  <si>
    <t>統合後の商品コード。独自の仕入JAN変換なし。先頭ゼロ保持</t>
  </si>
  <si>
    <t>G11</t>
  </si>
  <si>
    <t>SireJAN_rcmd_END</t>
  </si>
  <si>
    <t>可変長</t>
  </si>
  <si>
    <t>数値</t>
  </si>
  <si>
    <t>直連携</t>
  </si>
  <si>
    <t>R04／×1000しない。発注単位の整数倍であれば可（発注バラ数を直接）。倍数へ丸めない</t>
  </si>
  <si>
    <t>G04</t>
  </si>
  <si>
    <t>マスタ統合後の仕入先。9→8 の独自切捨てなし。桁は統合後 TBD-08</t>
  </si>
  <si>
    <t>G03</t>
  </si>
  <si>
    <t>R06／yyyymmdd のまま</t>
  </si>
  <si>
    <t>勧告ファイル 西友中分類（西友ライン＝部門）／自動発注GCS JIHA.BUMON_ZONE／JIHA.ZONE_LOGIC</t>
  </si>
  <si>
    <t>部門（西友ライン）→ ZONECD → 論理区分</t>
  </si>
  <si>
    <t>BUMON_CD / ZONECD / 論理区分</t>
  </si>
  <si>
    <t>R07／Ordertypeはsinopsに無い。部門CDは勧告ファイルの西友中分類（西友ライン＝階層4）。大分類（デパ）＝ディビジョン、小分類（ファインライン）＝カテゴリ、JAN＝単品JAN。TRIAL商品マスタは見ない。論理区分01→0、02→1、03→1。JIHA.BUMON_ZONE / ZONE_LOGIC（自動発注GCS）</t>
  </si>
  <si>
    <t>G05</t>
  </si>
  <si>
    <t>Layer① で付与。商品マスタは見ない。02と03はどちらも1</t>
  </si>
  <si>
    <t>△</t>
  </si>
  <si>
    <t>業務日かDB更新日か TBD-10</t>
  </si>
  <si>
    <t>G07</t>
  </si>
  <si>
    <t>7. ファイルレイアウト（SIREJAN_RCMDORDER_LAST）</t>
  </si>
  <si>
    <t>連携ファイルの物理仕様</t>
  </si>
  <si>
    <t>×</t>
  </si>
  <si>
    <t>■ 項目明細</t>
  </si>
  <si>
    <t>Layer③ OUT＝Layer① IN（連携用GCS・物理名 _YYYYMMDDhhmmss）</t>
  </si>
  <si>
    <t>項目名</t>
  </si>
  <si>
    <t>小数</t>
  </si>
  <si>
    <t>初期値・固定値</t>
  </si>
  <si>
    <t>編集仕様</t>
  </si>
  <si>
    <t>Layer① OUT＝自動発注GCS（物理: SIREJAN_RCMDORDER_LAST_YYYYMMDDhhmmss／TBD-06パス）</t>
  </si>
  <si>
    <t>マスタ統合後の店CD。独自切捨てなし TBD-01</t>
  </si>
  <si>
    <t>受信側制約 4桁</t>
  </si>
  <si>
    <t>Layer②　OUT、Layer③　IN</t>
  </si>
  <si>
    <t>マスタ統合後の商品コード。先頭ゼロ保持</t>
  </si>
  <si>
    <t>×1000しない。発注単位の整数倍であれば可</t>
  </si>
  <si>
    <t>G04 確定</t>
  </si>
  <si>
    <t>マスタ統合後の仕入先CD。独自切捨てなし TBD-08</t>
  </si>
  <si>
    <t>0=非日配、1=日配または生鮮</t>
  </si>
  <si>
    <t>R07。部門は勧告の西友ライン。商品マスタ見ない。01→0、02/03→1</t>
  </si>
  <si>
    <t>G05 確定</t>
  </si>
  <si>
    <t>名称</t>
  </si>
  <si>
    <t>発注勧告</t>
  </si>
  <si>
    <t>対応バージョン情報</t>
  </si>
  <si>
    <t>kankoku.txt（当日分）
subkankoku.txt（翌日以降分）</t>
  </si>
  <si>
    <t>6.8.0</t>
  </si>
  <si>
    <t>1.00</t>
  </si>
  <si>
    <t>プラグイン</t>
  </si>
  <si>
    <t>概要</t>
  </si>
  <si>
    <t>商品の発注勧告を出力します。翌日以降分は予備の発注勧告データとなり、障害発生時に使用するデータです。</t>
  </si>
  <si>
    <t>key</t>
  </si>
  <si>
    <t>項目説明</t>
  </si>
  <si>
    <t>区分内容・範囲</t>
  </si>
  <si>
    <t>データ型</t>
  </si>
  <si>
    <t>最大桁数</t>
  </si>
  <si>
    <t>予備欄</t>
  </si>
  <si>
    <t>※ 項目Noはファイル内の並び順。05 の No とは一致しない場合あり</t>
  </si>
  <si>
    <t>ＣＧＣ分類デプト名</t>
  </si>
  <si>
    <t>履歴</t>
  </si>
  <si>
    <t>VARCHAR2(24)</t>
  </si>
  <si>
    <t>※ 桁・型は受信側の制約を優先。桁あふれは 09 へ起票</t>
  </si>
  <si>
    <t>ＣＧＣ分類ラインコード</t>
  </si>
  <si>
    <t>VARCHAR2(3)</t>
  </si>
  <si>
    <t>ＣＧＣ分類ライン名</t>
  </si>
  <si>
    <t>ＣＧＣ分類クラスコード</t>
  </si>
  <si>
    <t>VARCHAR2(4)</t>
  </si>
  <si>
    <t>ＣＧＣ分類クラス名</t>
  </si>
  <si>
    <t>ｷｰ</t>
  </si>
  <si>
    <t>ＣＧＣＪＩＣＦＳ分類コード</t>
  </si>
  <si>
    <t>VARCHAR2(6)</t>
  </si>
  <si>
    <t>店舗マスタで連携された店舗コードです。</t>
  </si>
  <si>
    <t>ＰＢ商品区分</t>
  </si>
  <si>
    <t>VARCHAR2(1)</t>
  </si>
  <si>
    <t>売価送信区分</t>
  </si>
  <si>
    <t>商品区分</t>
  </si>
  <si>
    <t>廃番日</t>
  </si>
  <si>
    <t>VARCHAR2(8)</t>
  </si>
  <si>
    <t>発注勧告の発注日です。</t>
  </si>
  <si>
    <t>yyyymmdd形式　（発注日）</t>
  </si>
  <si>
    <t>日付</t>
  </si>
  <si>
    <t>酒類区分１</t>
  </si>
  <si>
    <t>VARCHAR2(2)</t>
  </si>
  <si>
    <t>度数１</t>
  </si>
  <si>
    <t>NUMBER(3, 1)</t>
  </si>
  <si>
    <t>商品マスタに登録されている商品コードで、ケースバラ変換マスタで発注書品フラグが１の商品です。</t>
  </si>
  <si>
    <t>商品マスタの商品コード</t>
  </si>
  <si>
    <t>発泡区分１</t>
  </si>
  <si>
    <t>容量１</t>
  </si>
  <si>
    <t>NUMBER(8, 0)</t>
  </si>
  <si>
    <t>発注スケジュール設定で指定された納品日です。</t>
  </si>
  <si>
    <t>yyyymmdd形式</t>
  </si>
  <si>
    <t>酒類区分２</t>
  </si>
  <si>
    <t>度数２</t>
  </si>
  <si>
    <t>発注スケジュール設定で指定された便コード</t>
  </si>
  <si>
    <t>0～99</t>
  </si>
  <si>
    <t>発泡区分２</t>
  </si>
  <si>
    <t>便情報はShiniseに取り込んでいない（Shiniseの中で更新・特定商品のみ））便情報を除外して取り込む必要あり</t>
  </si>
  <si>
    <t>容量２</t>
  </si>
  <si>
    <t>商品マスタで連携された仕入先コードです。</t>
  </si>
  <si>
    <t>酒類区分３</t>
  </si>
  <si>
    <t>度数３</t>
  </si>
  <si>
    <t>商品マスタで連携されたカテゴリコードです。</t>
  </si>
  <si>
    <t>発泡区分３</t>
  </si>
  <si>
    <t>容量３</t>
  </si>
  <si>
    <t>PCコメント</t>
  </si>
  <si>
    <t>VARCHAR2(50)</t>
  </si>
  <si>
    <t>作成ユーザＩＤ</t>
  </si>
  <si>
    <t>VARCHAR2(20)</t>
  </si>
  <si>
    <t>作成プログラムＩＤ</t>
  </si>
  <si>
    <t>未出力</t>
  </si>
  <si>
    <t>SINOPSで算出された、発注バラ数（＝発注単位数×発注ロット）です。</t>
  </si>
  <si>
    <t>0～99999999</t>
  </si>
  <si>
    <t>整数値</t>
  </si>
  <si>
    <t>作成日時</t>
  </si>
  <si>
    <t>DATE</t>
  </si>
  <si>
    <t>SINOPSで算出された、発注単位数（＝発注バラ数÷発注単位）です。</t>
  </si>
  <si>
    <t>更新ユーザＩＤ</t>
  </si>
  <si>
    <t>店別商品マスタで連携された標準仕入単価です。</t>
  </si>
  <si>
    <t>0.01～99999999.99</t>
  </si>
  <si>
    <t>数値(8,2)</t>
  </si>
  <si>
    <t>更新プログラムＩＤ</t>
  </si>
  <si>
    <t>更新日時</t>
  </si>
  <si>
    <t>店別商品マスタで連携された標準売価です。</t>
  </si>
  <si>
    <t>削除フラグ</t>
  </si>
  <si>
    <t>NUMBER(1, 0)</t>
  </si>
  <si>
    <t>店別商品マスタで連携された発注単位です。</t>
  </si>
  <si>
    <t>1～99999999</t>
  </si>
  <si>
    <t>更新回数</t>
  </si>
  <si>
    <t>NUMBER(6, 0)</t>
  </si>
  <si>
    <t>単価訂正フラグ</t>
  </si>
  <si>
    <t>レジ現金フラグ</t>
  </si>
  <si>
    <t>クレジット不可区分</t>
  </si>
  <si>
    <t>掛不可区分</t>
  </si>
  <si>
    <t>値引不可区分</t>
  </si>
  <si>
    <t>電子マネー不可区分</t>
  </si>
  <si>
    <t>ＱＲ決済不可区分</t>
  </si>
  <si>
    <t>特殊アラート商品区分</t>
  </si>
  <si>
    <t>スタイルNo</t>
  </si>
  <si>
    <t>週販予測数量</t>
  </si>
  <si>
    <t>NUMBER(3, 0)</t>
  </si>
  <si>
    <t>アソシエイト割引フラグ</t>
  </si>
  <si>
    <t>価格プロンプトフラグ</t>
  </si>
  <si>
    <t>楽天ポイント対象外フラグ</t>
  </si>
  <si>
    <t>レジ年齢確認フラグ</t>
  </si>
  <si>
    <t>医薬品レジフラグ</t>
  </si>
  <si>
    <t>販売制限フラグ</t>
  </si>
  <si>
    <t>口座No.</t>
  </si>
  <si>
    <t>NUMBER(10, 0)</t>
  </si>
  <si>
    <t>サイズ</t>
  </si>
  <si>
    <t>VARCHAR2(10)</t>
  </si>
  <si>
    <t>カラー</t>
  </si>
  <si>
    <t>コンベア可否フラグ</t>
  </si>
  <si>
    <t>ケースJAN(ITFコード)</t>
  </si>
  <si>
    <t>VARCHAR2(14)</t>
  </si>
  <si>
    <t>DCロケーション</t>
  </si>
  <si>
    <t>ロット管理区分</t>
  </si>
  <si>
    <t>パレット平置可能箱数</t>
  </si>
  <si>
    <t>NUMBER(5, 0)</t>
  </si>
  <si>
    <t>パレット積載可能段数</t>
  </si>
  <si>
    <t>賞味期間基準日区分</t>
  </si>
  <si>
    <t>賞味期間単位区分</t>
  </si>
  <si>
    <t>賞味期間</t>
  </si>
  <si>
    <t>NUMBER(4, 0)</t>
  </si>
  <si>
    <t>賞味期限</t>
  </si>
  <si>
    <t>倉庫賞味期限管理</t>
  </si>
  <si>
    <t>入荷限界期間</t>
  </si>
  <si>
    <t>出荷限界期間</t>
  </si>
  <si>
    <t>ピースサイズ（縦）（ｃｍ）</t>
  </si>
  <si>
    <t>NUMBER(13, 3)</t>
  </si>
  <si>
    <t>ピースサイズ（横）（ｃｍ）</t>
  </si>
  <si>
    <t>ピースサイズ（高）（ｃｍ）</t>
  </si>
  <si>
    <t>ピースサイズ（重量）（ｋｇ）</t>
  </si>
  <si>
    <t>NUMBER(15, 4)</t>
  </si>
  <si>
    <t>メーカー発売日</t>
  </si>
  <si>
    <t>情報解禁日</t>
  </si>
  <si>
    <t>価格印字商品フラグ</t>
  </si>
  <si>
    <t>商品サブコード</t>
  </si>
  <si>
    <t>温度管理/保管方法</t>
  </si>
  <si>
    <t>温度帯変更不可フラグ</t>
  </si>
  <si>
    <t>販売可能期間フラグ</t>
  </si>
  <si>
    <t>割れ物（瓶）フラグ</t>
  </si>
  <si>
    <t>販売可能日数</t>
  </si>
  <si>
    <t>ＭＢＭコード区分</t>
  </si>
  <si>
    <t>ベンダー在庫No</t>
  </si>
  <si>
    <t>原産国コード</t>
  </si>
  <si>
    <t>VARCHAR2(256)</t>
  </si>
  <si>
    <t>西友アイテムNo</t>
  </si>
  <si>
    <t>ブランドID</t>
  </si>
  <si>
    <t>サイズID</t>
  </si>
  <si>
    <t>ファミリーID</t>
  </si>
  <si>
    <t>KVI分類</t>
  </si>
  <si>
    <t>定価販売フラグ</t>
  </si>
  <si>
    <t>SABCランク区分</t>
  </si>
  <si>
    <t>MDsys連携済みフラグ</t>
  </si>
  <si>
    <t>アイテム作成日</t>
  </si>
  <si>
    <t>8. エラー処理</t>
  </si>
  <si>
    <t>本IF固有。共通方針は A-7</t>
  </si>
  <si>
    <t>エラーID</t>
  </si>
  <si>
    <t>発生箇所</t>
  </si>
  <si>
    <t>検知条件</t>
  </si>
  <si>
    <t>レベル</t>
  </si>
  <si>
    <t>処理</t>
  </si>
  <si>
    <t>通知先・リラン方法</t>
  </si>
  <si>
    <t>ER-001</t>
  </si>
  <si>
    <t>Layer① プル</t>
  </si>
  <si>
    <t>対象ファイル0件</t>
  </si>
  <si>
    <t>警告</t>
  </si>
  <si>
    <t>空ファイル方針 TBD-16。処理継続またはスキップ</t>
  </si>
  <si>
    <t>補充/運用へ通知</t>
  </si>
  <si>
    <t>空勧告の業務意味を確認</t>
  </si>
  <si>
    <t>ER-004</t>
  </si>
  <si>
    <t>GCS取得失敗・権限・パス不正</t>
  </si>
  <si>
    <t>エラー</t>
  </si>
  <si>
    <t>処理中断</t>
  </si>
  <si>
    <t>Hinemos 通知。パス/SA確認後リラン</t>
  </si>
  <si>
    <t>TBD-05</t>
  </si>
  <si>
    <t>ER-005</t>
  </si>
  <si>
    <t>Layer① 変換</t>
  </si>
  <si>
    <t>必須欠落、店CD・仕入先・商品が統合マスタと不一致、数量非数値、発注単位の整数倍でない（×1000しない・倍数に丸めない）</t>
  </si>
  <si>
    <t>当該ファイル中断（レコード単位は TBD-17）</t>
  </si>
  <si>
    <t>Hinemos 通知</t>
  </si>
  <si>
    <t>切捨てなし</t>
  </si>
  <si>
    <t>ER-006</t>
  </si>
  <si>
    <t>Layer① 配置</t>
  </si>
  <si>
    <t>自動発注GCSへのアップロード失敗</t>
  </si>
  <si>
    <t>Hinemos 通知後リラン</t>
  </si>
  <si>
    <t>TBD-06</t>
  </si>
  <si>
    <t>ER-010</t>
  </si>
  <si>
    <t>Layer③ 取得</t>
  </si>
  <si>
    <t>Sinops から当日勧告を取得できない</t>
  </si>
  <si>
    <t>処理中断。Layer① 判定で昨日分も無ければ発注不可</t>
  </si>
  <si>
    <t>西友 DSS 運用通知</t>
  </si>
  <si>
    <t>ER-011</t>
  </si>
  <si>
    <t>Layer③ 配置</t>
  </si>
  <si>
    <t>連携用GCSへの配置失敗</t>
  </si>
  <si>
    <t>ER-007</t>
  </si>
  <si>
    <t>Layer① 変換 Ordertype</t>
  </si>
  <si>
    <t>勧告ファイルの部門（西友ライン）が BUMON_ZONE に無い、または ZONE_LOGIC が引けない、または論理区分が 01/02/03 以外</t>
  </si>
  <si>
    <t>当該レコード扱い TBD-17。01/02/03 以外は 0/1 にしない</t>
  </si>
  <si>
    <t>R07。03は1</t>
  </si>
  <si>
    <t>ER-012</t>
  </si>
  <si>
    <t>Layer① STEP40 採用判定</t>
  </si>
  <si>
    <t>指定時刻（TBD-19、例 6:00）までに当日ファイル未作成、または障害</t>
  </si>
  <si>
    <t>当日を不採用とし、昨日の翌日以降を 1 本として採用して STEP50 へ</t>
  </si>
  <si>
    <t>補充/運用・Hinemos 通知</t>
  </si>
  <si>
    <t>TBD-13/19。Layer① 内の分岐</t>
  </si>
  <si>
    <t>9. 確認事項・前提（TBD管理）</t>
  </si>
  <si>
    <t>TBD-ID</t>
  </si>
  <si>
    <t>※ レベル定義　情報：記録のみ／警告：処理継続＋通知／エラー：処理中断＋通知／致命：即時中断＋緊急連絡</t>
  </si>
  <si>
    <t>区分</t>
  </si>
  <si>
    <t>内容</t>
  </si>
  <si>
    <t>関連項目・箇所</t>
  </si>
  <si>
    <t>依頼先</t>
  </si>
  <si>
    <t>期限</t>
  </si>
  <si>
    <t>状態</t>
  </si>
  <si>
    <t>回答・決着内容</t>
  </si>
  <si>
    <t>課題管理表No.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</si>
</sst>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yyyy-mm-dd hh:mm:ss"/>
    <numFmt numFmtId="166" formatCode="yyyy/m/d"/>
    <numFmt numFmtId="167" formatCode="0_);[Red]\(0\)"/>
    <numFmt numFmtId="168" formatCode="yyyy-mm-dd"/>
  </numFmts>
  <fonts count="27">
    <font>
      <sz val="11.0"/>
      <color theme="1"/>
      <name val="Calibri"/>
      <scheme val="minor"/>
    </font>
    <font>
      <sz val="11.0"/>
      <color theme="1"/>
      <name val="BIZ UDMincho"/>
    </font>
    <font>
      <b/>
      <sz val="15.0"/>
      <color rgb="FF1F4E79"/>
      <name val="BIZ UDMincho"/>
    </font>
    <font>
      <b/>
      <sz val="11.0"/>
      <color rgb="FF1F4E79"/>
      <name val="BIZ UDMincho"/>
    </font>
    <font>
      <sz val="10.0"/>
      <color theme="1"/>
      <name val="BIZ UDMincho"/>
    </font>
    <font>
      <sz val="9.0"/>
      <color rgb="FF595959"/>
      <name val="BIZ UDMincho"/>
    </font>
    <font>
      <sz val="9.0"/>
      <color theme="1"/>
      <name val="BIZ UDMincho"/>
    </font>
    <font>
      <b/>
      <sz val="12.0"/>
      <color rgb="FF1F4E79"/>
      <name val="BIZ UDMincho"/>
    </font>
    <font/>
    <font>
      <b/>
      <sz val="11.0"/>
      <color rgb="FF000000"/>
      <name val="BIZ UDMincho"/>
    </font>
    <font>
      <color rgb="FF000000"/>
      <name val="BIZ UDMincho"/>
    </font>
    <font>
      <sz val="9.0"/>
      <color rgb="FF000000"/>
      <name val="BIZ UDMincho"/>
    </font>
    <font>
      <color theme="1"/>
      <name val="BIZ UDMincho"/>
    </font>
    <font>
      <b/>
      <sz val="10.0"/>
      <color rgb="FFFFFFFF"/>
      <name val="BIZ UDMincho"/>
    </font>
    <font>
      <sz val="8.0"/>
      <color theme="1"/>
      <name val="BIZ UDMincho"/>
    </font>
    <font>
      <b/>
      <color theme="1"/>
      <name val="BIZ UDMincho"/>
    </font>
    <font>
      <b/>
      <sz val="11.0"/>
      <color theme="1"/>
      <name val="BIZ UDMincho"/>
    </font>
    <font>
      <sz val="8.0"/>
      <color rgb="FF595959"/>
      <name val="BIZ UDMincho"/>
    </font>
    <font>
      <b/>
      <sz val="12.0"/>
      <color rgb="FFFFFFFF"/>
      <name val="BIZ UDMincho"/>
    </font>
    <font>
      <b/>
      <sz val="12.0"/>
      <color theme="1"/>
      <name val="BIZ UDMincho"/>
    </font>
    <font>
      <b/>
      <sz val="11.0"/>
      <color rgb="FFFFFFFF"/>
      <name val="BIZ UDMincho"/>
    </font>
    <font>
      <sz val="11.0"/>
      <color rgb="FFFF0000"/>
      <name val="BIZ UDMincho"/>
    </font>
    <font>
      <sz val="11.0"/>
      <color theme="1"/>
      <name val="Calibri"/>
    </font>
    <font>
      <b/>
      <sz val="15.0"/>
      <color rgb="FF1F4E79"/>
      <name val="Arial"/>
    </font>
    <font>
      <sz val="9.0"/>
      <color theme="1"/>
      <name val="Arial"/>
    </font>
    <font>
      <color theme="1"/>
      <name val="Calibri"/>
    </font>
    <font>
      <sz val="11.0"/>
      <color rgb="FFFFFFFF"/>
      <name val="BIZ UDMincho"/>
    </font>
  </fonts>
  <fills count="9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1F4E79"/>
        <bgColor rgb="FF1F4E79"/>
      </patternFill>
    </fill>
    <fill>
      <patternFill patternType="solid">
        <fgColor rgb="FFE2F0D9"/>
        <bgColor rgb="FFE2F0D9"/>
      </patternFill>
    </fill>
    <fill>
      <patternFill patternType="solid">
        <fgColor rgb="FF58CDCD"/>
        <bgColor rgb="FF58CDCD"/>
      </patternFill>
    </fill>
    <fill>
      <patternFill patternType="solid">
        <fgColor rgb="FF4A86E8"/>
        <bgColor rgb="FF4A86E8"/>
      </patternFill>
    </fill>
  </fills>
  <borders count="28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 style="thin">
        <color rgb="FFB0B0B0"/>
      </left>
      <top style="thin">
        <color rgb="FFB0B0B0"/>
      </top>
    </border>
    <border>
      <top style="thin">
        <color rgb="FFB0B0B0"/>
      </top>
    </border>
    <border>
      <right style="thin">
        <color rgb="FFB0B0B0"/>
      </right>
      <top style="thin">
        <color rgb="FFB0B0B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vertical="top" wrapText="0"/>
    </xf>
    <xf borderId="0" fillId="0" fontId="5" numFmtId="0" xfId="0" applyFont="1"/>
    <xf borderId="0" fillId="0" fontId="6" numFmtId="0" xfId="0" applyAlignment="1" applyFont="1">
      <alignment shrinkToFit="0" vertical="top" wrapText="0"/>
    </xf>
    <xf borderId="1" fillId="2" fontId="7" numFmtId="0" xfId="0" applyAlignment="1" applyBorder="1" applyFill="1" applyFont="1">
      <alignment shrinkToFit="0" vertical="center" wrapText="1"/>
    </xf>
    <xf borderId="2" fillId="2" fontId="7" numFmtId="0" xfId="0" applyBorder="1" applyFill="1" applyFont="1"/>
    <xf borderId="3" fillId="2" fontId="7" numFmtId="0" xfId="0" applyBorder="1" applyFill="1" applyFont="1"/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ill="1" applyFont="1">
      <alignment shrinkToFit="0" vertical="top" wrapText="1"/>
    </xf>
    <xf borderId="1" fillId="3" fontId="9" numFmtId="0" xfId="0" applyAlignment="1" applyBorder="1" applyFill="1" applyFont="1">
      <alignment readingOrder="0" shrinkToFit="0" vertical="bottom" wrapText="0"/>
    </xf>
    <xf borderId="1" fillId="3" fontId="10" numFmtId="0" xfId="0" applyAlignment="1" applyBorder="1" applyFill="1" applyFont="1">
      <alignment vertical="top"/>
    </xf>
    <xf borderId="6" fillId="0" fontId="10" numFmtId="0" xfId="0" applyAlignment="1" applyBorder="1" applyFont="1">
      <alignment readingOrder="0" vertical="top"/>
    </xf>
    <xf borderId="7" fillId="0" fontId="8" numFmtId="0" xfId="0" applyBorder="1" applyFont="1"/>
    <xf borderId="8" fillId="0" fontId="1" numFmtId="0" xfId="0" applyAlignment="1" applyBorder="1" applyFont="1">
      <alignment shrinkToFit="0" vertical="top" wrapText="1"/>
    </xf>
    <xf borderId="9" fillId="0" fontId="8" numFmtId="0" xfId="0" applyBorder="1" applyFont="1"/>
    <xf borderId="10" fillId="0" fontId="8" numFmtId="0" xfId="0" applyBorder="1" applyFont="1"/>
    <xf borderId="6" fillId="4" fontId="11" numFmtId="0" xfId="0" applyAlignment="1" applyBorder="1" applyFill="1" applyFont="1">
      <alignment readingOrder="0" vertical="top"/>
    </xf>
    <xf borderId="8" fillId="0" fontId="1" numFmtId="164" xfId="0" applyAlignment="1" applyBorder="1" applyFont="1" applyNumberFormat="1">
      <alignment shrinkToFit="0" vertical="top" wrapText="1"/>
    </xf>
    <xf borderId="11" fillId="0" fontId="8" numFmtId="0" xfId="0" applyBorder="1" applyFont="1"/>
    <xf borderId="0" fillId="0" fontId="12" numFmtId="0" xfId="0" applyFont="1"/>
    <xf borderId="0" fillId="0" fontId="1" numFmtId="0" xfId="0" applyFont="1"/>
    <xf borderId="6" fillId="3" fontId="1" numFmtId="0" xfId="0" applyAlignment="1" applyBorder="1" applyFill="1" applyFont="1">
      <alignment shrinkToFit="0" vertical="top" wrapText="1"/>
    </xf>
    <xf borderId="8" fillId="0" fontId="1" numFmtId="0" xfId="0" applyBorder="1" applyFont="1"/>
    <xf borderId="6" fillId="2" fontId="7" numFmtId="0" xfId="0" applyAlignment="1" applyBorder="1" applyFill="1" applyFont="1">
      <alignment shrinkToFit="0" vertical="center" wrapText="0"/>
    </xf>
    <xf borderId="12" fillId="5" fontId="13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2" fillId="0" fontId="4" numFmtId="165" xfId="0" applyAlignment="1" applyBorder="1" applyFont="1" applyNumberForma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1" fillId="4" fontId="11" numFmtId="0" xfId="0" applyAlignment="1" applyBorder="1" applyFill="1" applyFont="1">
      <alignment horizontal="right" readingOrder="0" vertical="top"/>
    </xf>
    <xf borderId="1" fillId="4" fontId="11" numFmtId="0" xfId="0" applyAlignment="1" applyBorder="1" applyFill="1" applyFont="1">
      <alignment readingOrder="0" vertical="top"/>
    </xf>
    <xf borderId="0" fillId="0" fontId="11" numFmtId="0" xfId="0" applyAlignment="1" applyFont="1">
      <alignment readingOrder="0" vertical="top"/>
    </xf>
    <xf borderId="0" fillId="0" fontId="11" numFmtId="0" xfId="0" applyAlignment="1" applyFont="1">
      <alignment vertical="top"/>
    </xf>
    <xf borderId="0" fillId="0" fontId="12" numFmtId="0" xfId="0" applyFont="1"/>
    <xf borderId="2" fillId="0" fontId="4" numFmtId="166" xfId="0" applyAlignment="1" applyBorder="1" applyFont="1" applyNumberFormat="1">
      <alignment shrinkToFit="0" vertical="top" wrapText="1"/>
    </xf>
    <xf borderId="2" fillId="0" fontId="14" numFmtId="0" xfId="0" applyAlignment="1" applyBorder="1" applyFont="1">
      <alignment shrinkToFit="0" vertical="top" wrapText="1"/>
    </xf>
    <xf borderId="0" fillId="0" fontId="11" numFmtId="0" xfId="0" applyAlignment="1" applyFont="1">
      <alignment vertical="top"/>
    </xf>
    <xf borderId="1" fillId="4" fontId="11" numFmtId="0" xfId="0" applyAlignment="1" applyBorder="1" applyFill="1" applyFont="1">
      <alignment vertical="top"/>
    </xf>
    <xf borderId="6" fillId="2" fontId="7" numFmtId="0" xfId="0" applyBorder="1" applyFill="1" applyFont="1"/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1" fillId="4" fontId="6" numFmtId="0" xfId="0" applyAlignment="1" applyBorder="1" applyFill="1" applyFont="1">
      <alignment readingOrder="0" shrinkToFit="0" vertical="top" wrapText="1"/>
    </xf>
    <xf borderId="13" fillId="2" fontId="7" numFmtId="0" xfId="0" applyAlignment="1" applyBorder="1" applyFill="1" applyFont="1">
      <alignment readingOrder="0"/>
    </xf>
    <xf borderId="14" fillId="2" fontId="7" numFmtId="0" xfId="0" applyBorder="1" applyFill="1" applyFont="1"/>
    <xf borderId="15" fillId="2" fontId="7" numFmtId="0" xfId="0" applyBorder="1" applyFill="1" applyFont="1"/>
    <xf borderId="16" fillId="0" fontId="6" numFmtId="0" xfId="0" applyAlignment="1" applyBorder="1" applyFont="1">
      <alignment readingOrder="0" shrinkToFit="0" vertical="top" wrapText="1"/>
    </xf>
    <xf borderId="17" fillId="0" fontId="8" numFmtId="0" xfId="0" applyBorder="1" applyFont="1"/>
    <xf borderId="18" fillId="0" fontId="8" numFmtId="0" xfId="0" applyBorder="1" applyFont="1"/>
    <xf borderId="0" fillId="0" fontId="6" numFmtId="0" xfId="0" applyAlignment="1" applyFont="1">
      <alignment shrinkToFit="0" vertical="top" wrapText="1"/>
    </xf>
    <xf borderId="1" fillId="3" fontId="15" numFmtId="0" xfId="0" applyAlignment="1" applyBorder="1" applyFill="1" applyFont="1">
      <alignment vertical="bottom"/>
    </xf>
    <xf borderId="6" fillId="4" fontId="11" numFmtId="0" xfId="0" applyAlignment="1" applyBorder="1" applyFill="1" applyFont="1">
      <alignment readingOrder="0" shrinkToFit="0" vertical="top" wrapText="1"/>
    </xf>
    <xf borderId="1" fillId="4" fontId="11" numFmtId="0" xfId="0" applyAlignment="1" applyBorder="1" applyFill="1" applyFont="1">
      <alignment vertical="top"/>
    </xf>
    <xf borderId="1" fillId="4" fontId="11" numFmtId="0" xfId="0" applyAlignment="1" applyBorder="1" applyFill="1" applyFont="1">
      <alignment readingOrder="0" shrinkToFit="0" vertical="top" wrapText="1"/>
    </xf>
    <xf borderId="1" fillId="3" fontId="6" numFmtId="0" xfId="0" applyAlignment="1" applyBorder="1" applyFill="1" applyFont="1">
      <alignment shrinkToFit="0" vertical="top" wrapText="1"/>
    </xf>
    <xf borderId="6" fillId="4" fontId="6" numFmtId="0" xfId="0" applyAlignment="1" applyBorder="1" applyFill="1" applyFont="1">
      <alignment shrinkToFit="0" vertical="top" wrapText="1"/>
    </xf>
    <xf borderId="1" fillId="4" fontId="6" numFmtId="0" xfId="0" applyAlignment="1" applyBorder="1" applyFill="1" applyFont="1">
      <alignment shrinkToFit="0" vertical="top" wrapText="1"/>
    </xf>
    <xf borderId="2" fillId="4" fontId="6" numFmtId="0" xfId="0" applyAlignment="1" applyBorder="1" applyFill="1" applyFont="1">
      <alignment shrinkToFit="0" vertical="top" wrapText="1"/>
    </xf>
    <xf borderId="1" fillId="3" fontId="16" numFmtId="0" xfId="0" applyAlignment="1" applyBorder="1" applyFill="1" applyFont="1">
      <alignment vertical="bottom"/>
    </xf>
    <xf borderId="7" fillId="4" fontId="11" numFmtId="0" xfId="0" applyAlignment="1" applyBorder="1" applyFill="1" applyFont="1">
      <alignment readingOrder="0" vertical="top"/>
    </xf>
    <xf borderId="11" fillId="4" fontId="11" numFmtId="0" xfId="0" applyAlignment="1" applyBorder="1" applyFill="1" applyFont="1">
      <alignment readingOrder="0" vertical="top"/>
    </xf>
    <xf borderId="8" fillId="3" fontId="16" numFmtId="0" xfId="0" applyAlignment="1" applyBorder="1" applyFill="1" applyFont="1">
      <alignment vertical="bottom"/>
    </xf>
    <xf borderId="2" fillId="4" fontId="6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9" fillId="0" fontId="6" numFmtId="0" xfId="0" applyAlignment="1" applyBorder="1" applyFont="1">
      <alignment readingOrder="0" shrinkToFit="0" vertical="top" wrapText="1"/>
    </xf>
    <xf borderId="1" fillId="6" fontId="6" numFmtId="0" xfId="0" applyAlignment="1" applyBorder="1" applyFill="1" applyFont="1">
      <alignment readingOrder="0" shrinkToFit="0" vertical="top" wrapText="1"/>
    </xf>
    <xf borderId="0" fillId="0" fontId="17" numFmtId="0" xfId="0" applyFont="1"/>
    <xf borderId="0" fillId="0" fontId="1" numFmtId="0" xfId="0" applyAlignment="1" applyFont="1">
      <alignment shrinkToFit="0" wrapText="1"/>
    </xf>
    <xf borderId="1" fillId="2" fontId="7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readingOrder="0" shrinkToFit="0" vertical="top" wrapText="1"/>
    </xf>
    <xf borderId="19" fillId="0" fontId="6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16" fillId="7" fontId="18" numFmtId="0" xfId="0" applyAlignment="1" applyBorder="1" applyFill="1" applyFont="1">
      <alignment horizontal="center" shrinkToFit="0" wrapText="1"/>
    </xf>
    <xf borderId="16" fillId="0" fontId="19" numFmtId="0" xfId="0" applyAlignment="1" applyBorder="1" applyFont="1">
      <alignment shrinkToFit="0" wrapText="1"/>
    </xf>
    <xf borderId="20" fillId="0" fontId="1" numFmtId="0" xfId="0" applyAlignment="1" applyBorder="1" applyFont="1">
      <alignment vertical="bottom"/>
    </xf>
    <xf borderId="16" fillId="7" fontId="20" numFmtId="0" xfId="0" applyAlignment="1" applyBorder="1" applyFill="1" applyFont="1">
      <alignment horizontal="center" shrinkToFit="0" wrapText="1"/>
    </xf>
    <xf borderId="21" fillId="7" fontId="20" numFmtId="0" xfId="0" applyAlignment="1" applyBorder="1" applyFill="1" applyFont="1">
      <alignment horizontal="center" shrinkToFit="0" wrapText="1"/>
    </xf>
    <xf borderId="22" fillId="0" fontId="1" numFmtId="0" xfId="0" applyAlignment="1" applyBorder="1" applyFont="1">
      <alignment vertical="bottom"/>
    </xf>
    <xf borderId="16" fillId="0" fontId="1" numFmtId="0" xfId="0" applyAlignment="1" applyBorder="1" applyFont="1">
      <alignment horizontal="center" shrinkToFit="0" wrapText="1"/>
    </xf>
    <xf borderId="21" fillId="0" fontId="1" numFmtId="166" xfId="0" applyAlignment="1" applyBorder="1" applyFont="1" applyNumberFormat="1">
      <alignment horizontal="center" shrinkToFit="0" wrapText="1"/>
    </xf>
    <xf borderId="21" fillId="0" fontId="1" numFmtId="49" xfId="0" applyAlignment="1" applyBorder="1" applyFont="1" applyNumberFormat="1">
      <alignment horizontal="center" shrinkToFit="0" wrapText="1"/>
    </xf>
    <xf borderId="16" fillId="0" fontId="1" numFmtId="0" xfId="0" applyAlignment="1" applyBorder="1" applyFont="1">
      <alignment vertical="bottom"/>
    </xf>
    <xf borderId="23" fillId="0" fontId="1" numFmtId="0" xfId="0" applyBorder="1" applyFont="1"/>
    <xf borderId="24" fillId="7" fontId="20" numFmtId="0" xfId="0" applyAlignment="1" applyBorder="1" applyFill="1" applyFont="1">
      <alignment horizontal="center" shrinkToFit="0" wrapText="1"/>
    </xf>
    <xf borderId="25" fillId="0" fontId="8" numFmtId="0" xfId="0" applyBorder="1" applyFont="1"/>
    <xf borderId="23" fillId="0" fontId="1" numFmtId="0" xfId="0" applyAlignment="1" applyBorder="1" applyFont="1">
      <alignment shrinkToFit="0" wrapText="1"/>
    </xf>
    <xf borderId="26" fillId="0" fontId="8" numFmtId="0" xfId="0" applyBorder="1" applyFont="1"/>
    <xf borderId="27" fillId="0" fontId="8" numFmtId="0" xfId="0" applyBorder="1" applyFont="1"/>
    <xf borderId="17" fillId="0" fontId="1" numFmtId="0" xfId="0" applyBorder="1" applyFont="1"/>
    <xf borderId="21" fillId="7" fontId="20" numFmtId="49" xfId="0" applyAlignment="1" applyBorder="1" applyFill="1" applyFont="1" applyNumberFormat="1">
      <alignment horizontal="center" shrinkToFit="0" wrapText="1"/>
    </xf>
    <xf borderId="21" fillId="0" fontId="21" numFmtId="0" xfId="0" applyAlignment="1" applyBorder="1" applyFont="1">
      <alignment horizontal="right" shrinkToFit="0" wrapText="1"/>
    </xf>
    <xf borderId="21" fillId="0" fontId="21" numFmtId="0" xfId="0" applyAlignment="1" applyBorder="1" applyFont="1">
      <alignment horizontal="center" shrinkToFit="0" wrapText="1"/>
    </xf>
    <xf borderId="21" fillId="0" fontId="21" numFmtId="0" xfId="0" applyAlignment="1" applyBorder="1" applyFont="1">
      <alignment shrinkToFit="0" wrapText="1"/>
    </xf>
    <xf borderId="21" fillId="0" fontId="1" numFmtId="0" xfId="0" applyBorder="1" applyFont="1"/>
    <xf borderId="21" fillId="0" fontId="1" numFmtId="49" xfId="0" applyBorder="1" applyFont="1" applyNumberFormat="1"/>
    <xf borderId="21" fillId="0" fontId="1" numFmtId="167" xfId="0" applyBorder="1" applyFont="1" applyNumberFormat="1"/>
    <xf borderId="21" fillId="0" fontId="1" numFmtId="0" xfId="0" applyAlignment="1" applyBorder="1" applyFont="1">
      <alignment horizontal="right" shrinkToFit="0" wrapText="1"/>
    </xf>
    <xf borderId="21" fillId="0" fontId="1" numFmtId="0" xfId="0" applyAlignment="1" applyBorder="1" applyFont="1">
      <alignment horizontal="center" shrinkToFit="0" wrapText="1"/>
    </xf>
    <xf borderId="21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horizontal="right" shrinkToFit="0" wrapText="1"/>
    </xf>
    <xf borderId="21" fillId="0" fontId="1" numFmtId="0" xfId="0" applyBorder="1" applyFont="1"/>
    <xf borderId="21" fillId="0" fontId="21" numFmtId="0" xfId="0" applyAlignment="1" applyBorder="1" applyFont="1">
      <alignment horizontal="center" shrinkToFit="0" wrapText="1"/>
    </xf>
    <xf borderId="21" fillId="0" fontId="21" numFmtId="0" xfId="0" applyAlignment="1" applyBorder="1" applyFont="1">
      <alignment shrinkToFit="0" wrapText="1"/>
    </xf>
    <xf borderId="21" fillId="0" fontId="21" numFmtId="0" xfId="0" applyAlignment="1" applyBorder="1" applyFont="1">
      <alignment horizontal="right" shrinkToFit="0" wrapText="1"/>
    </xf>
    <xf borderId="21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horizontal="center" shrinkToFit="0" wrapText="1"/>
    </xf>
    <xf borderId="0" fillId="0" fontId="22" numFmtId="0" xfId="0" applyFont="1"/>
    <xf borderId="0" fillId="0" fontId="23" numFmtId="0" xfId="0" applyAlignment="1" applyFont="1">
      <alignment vertical="center"/>
    </xf>
    <xf borderId="0" fillId="0" fontId="24" numFmtId="0" xfId="0" applyAlignment="1" applyFont="1">
      <alignment shrinkToFit="0" vertical="top" wrapText="1"/>
    </xf>
    <xf borderId="1" fillId="5" fontId="24" numFmtId="0" xfId="0" applyAlignment="1" applyBorder="1" applyFill="1" applyFont="1">
      <alignment shrinkToFit="0" vertical="top" wrapText="1"/>
    </xf>
    <xf borderId="1" fillId="4" fontId="24" numFmtId="0" xfId="0" applyAlignment="1" applyBorder="1" applyFill="1" applyFont="1">
      <alignment shrinkToFit="0" vertical="top" wrapText="1"/>
    </xf>
    <xf borderId="2" fillId="0" fontId="24" numFmtId="0" xfId="0" applyAlignment="1" applyBorder="1" applyFont="1">
      <alignment shrinkToFit="0" vertical="top" wrapText="1"/>
    </xf>
    <xf borderId="0" fillId="0" fontId="25" numFmtId="0" xfId="0" applyFont="1"/>
    <xf borderId="1" fillId="8" fontId="26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shrinkToFit="0" vertical="top" wrapText="1"/>
    </xf>
    <xf borderId="1" fillId="0" fontId="6" numFmtId="168" xfId="0" applyAlignment="1" applyBorder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3</xdr:row>
      <xdr:rowOff>-28575</xdr:rowOff>
    </xdr:from>
    <xdr:ext cx="10086975" cy="7134225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8.0"/>
    <col customWidth="1" min="3" max="3" width="22.0"/>
    <col customWidth="1" min="4" max="4" width="16.0"/>
    <col customWidth="1" min="5" max="5" width="28.0"/>
    <col customWidth="1" min="6" max="7" width="14.0"/>
  </cols>
  <sheetData>
    <row r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7</v>
      </c>
      <c r="C4" s="8"/>
      <c r="D4" s="8"/>
      <c r="E4" s="8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9</v>
      </c>
      <c r="C5" s="17" t="s">
        <v>11</v>
      </c>
      <c r="D5" s="18"/>
      <c r="E5" s="18"/>
      <c r="F5" s="1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 t="s">
        <v>15</v>
      </c>
      <c r="C6" s="21" t="s">
        <v>16</v>
      </c>
      <c r="D6" s="18"/>
      <c r="E6" s="18"/>
      <c r="F6" s="1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5" t="s">
        <v>17</v>
      </c>
      <c r="C7" s="21" t="s">
        <v>19</v>
      </c>
      <c r="D7" s="18"/>
      <c r="E7" s="18"/>
      <c r="F7" s="19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 t="s">
        <v>23</v>
      </c>
      <c r="C8" s="17" t="s">
        <v>25</v>
      </c>
      <c r="D8" s="18"/>
      <c r="E8" s="18"/>
      <c r="F8" s="1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" t="s">
        <v>31</v>
      </c>
      <c r="C9" s="17" t="s">
        <v>32</v>
      </c>
      <c r="D9" s="18"/>
      <c r="E9" s="18"/>
      <c r="F9" s="1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37</v>
      </c>
      <c r="C10" s="26" t="s">
        <v>38</v>
      </c>
      <c r="D10" s="18"/>
      <c r="E10" s="18"/>
      <c r="F10" s="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2" t="s">
        <v>42</v>
      </c>
      <c r="C11" s="26" t="s">
        <v>45</v>
      </c>
      <c r="D11" s="18"/>
      <c r="E11" s="18"/>
      <c r="F11" s="1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 t="s">
        <v>49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56</v>
      </c>
      <c r="C14" s="28" t="s">
        <v>58</v>
      </c>
      <c r="D14" s="28" t="s">
        <v>60</v>
      </c>
      <c r="E14" s="28" t="s">
        <v>61</v>
      </c>
      <c r="F14" s="28" t="s">
        <v>42</v>
      </c>
      <c r="G14" s="28" t="s">
        <v>65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30" t="s">
        <v>74</v>
      </c>
      <c r="C15" s="32">
        <v>46286.0</v>
      </c>
      <c r="D15" s="30" t="s">
        <v>32</v>
      </c>
      <c r="E15" s="30" t="s">
        <v>79</v>
      </c>
      <c r="F15" s="29"/>
      <c r="G15" s="2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0" t="s">
        <v>82</v>
      </c>
      <c r="C16" s="32">
        <v>46312.0</v>
      </c>
      <c r="D16" s="30" t="s">
        <v>32</v>
      </c>
      <c r="E16" s="33" t="s">
        <v>84</v>
      </c>
      <c r="F16" s="29"/>
      <c r="G16" s="2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0"/>
      <c r="C17" s="32"/>
      <c r="D17" s="30"/>
      <c r="E17" s="30"/>
      <c r="F17" s="29"/>
      <c r="G17" s="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0"/>
      <c r="C18" s="32"/>
      <c r="D18" s="30"/>
      <c r="E18" s="30"/>
      <c r="F18" s="29"/>
      <c r="G18" s="2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0"/>
      <c r="C19" s="39"/>
      <c r="D19" s="30"/>
      <c r="E19" s="30"/>
      <c r="F19" s="40"/>
      <c r="G19" s="4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0"/>
      <c r="C20" s="39"/>
      <c r="D20" s="30"/>
      <c r="E20" s="30"/>
      <c r="F20" s="40"/>
      <c r="G20" s="4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0"/>
      <c r="C21" s="39"/>
      <c r="D21" s="30"/>
      <c r="E21" s="30"/>
      <c r="F21" s="40"/>
      <c r="G21" s="4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0"/>
      <c r="C22" s="39"/>
      <c r="D22" s="30"/>
      <c r="E22" s="30"/>
      <c r="F22" s="40"/>
      <c r="G22" s="4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0"/>
      <c r="C23" s="39"/>
      <c r="D23" s="30"/>
      <c r="E23" s="30"/>
      <c r="F23" s="40"/>
      <c r="G23" s="4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0"/>
      <c r="C24" s="39"/>
      <c r="D24" s="30"/>
      <c r="E24" s="30"/>
      <c r="F24" s="40"/>
      <c r="G24" s="4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0"/>
      <c r="C25" s="39"/>
      <c r="D25" s="30"/>
      <c r="E25" s="30"/>
      <c r="F25" s="40"/>
      <c r="G25" s="4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0"/>
      <c r="C26" s="39"/>
      <c r="D26" s="30"/>
      <c r="E26" s="30"/>
      <c r="F26" s="40"/>
      <c r="G26" s="4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4"/>
      <c r="C27" s="45"/>
      <c r="D27" s="44"/>
      <c r="E27" s="4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8">
    <mergeCell ref="C5:F5"/>
    <mergeCell ref="C6:F6"/>
    <mergeCell ref="C7:F7"/>
    <mergeCell ref="C8:F8"/>
    <mergeCell ref="C9:F9"/>
    <mergeCell ref="C10:F10"/>
    <mergeCell ref="C11:F11"/>
    <mergeCell ref="C12:F12"/>
  </mergeCells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8.0"/>
    <col customWidth="1" min="3" max="3" width="28.0"/>
    <col customWidth="1" min="4" max="4" width="14.0"/>
    <col customWidth="1" min="5" max="5" width="36.0"/>
    <col customWidth="1" min="6" max="6" width="22.0"/>
    <col customWidth="1" min="7" max="7" width="8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6</v>
      </c>
      <c r="C4" s="9"/>
      <c r="D4" s="10"/>
      <c r="E4" s="1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 t="s">
        <v>12</v>
      </c>
      <c r="C5" s="15" t="s">
        <v>14</v>
      </c>
      <c r="D5" s="16"/>
      <c r="E5" s="22"/>
      <c r="F5" s="24"/>
      <c r="G5" s="24"/>
      <c r="H5" s="2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20</v>
      </c>
      <c r="C6" s="15" t="s">
        <v>21</v>
      </c>
      <c r="D6" s="16"/>
      <c r="E6" s="22"/>
      <c r="F6" s="24"/>
      <c r="G6" s="24"/>
      <c r="H6" s="2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24</v>
      </c>
      <c r="C7" s="15" t="s">
        <v>26</v>
      </c>
      <c r="D7" s="16"/>
      <c r="E7" s="22"/>
      <c r="F7" s="24"/>
      <c r="G7" s="24"/>
      <c r="H7" s="2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 t="s">
        <v>29</v>
      </c>
      <c r="C8" s="15" t="s">
        <v>30</v>
      </c>
      <c r="D8" s="16"/>
      <c r="E8" s="22"/>
      <c r="F8" s="24"/>
      <c r="G8" s="24"/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 t="s">
        <v>35</v>
      </c>
      <c r="C9" s="15" t="s">
        <v>36</v>
      </c>
      <c r="D9" s="16"/>
      <c r="E9" s="22"/>
      <c r="F9" s="24"/>
      <c r="G9" s="24"/>
      <c r="H9" s="2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7" t="s">
        <v>43</v>
      </c>
      <c r="C11" s="16"/>
      <c r="D11" s="16"/>
      <c r="E11" s="16"/>
      <c r="F11" s="2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8" t="s">
        <v>48</v>
      </c>
      <c r="C12" s="28" t="s">
        <v>50</v>
      </c>
      <c r="D12" s="28" t="s">
        <v>51</v>
      </c>
      <c r="E12" s="28" t="s">
        <v>10</v>
      </c>
      <c r="F12" s="28" t="s">
        <v>52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9" t="s">
        <v>54</v>
      </c>
      <c r="C13" s="29" t="s">
        <v>55</v>
      </c>
      <c r="D13" s="29" t="s">
        <v>57</v>
      </c>
      <c r="E13" s="29" t="s">
        <v>59</v>
      </c>
      <c r="F13" s="29" t="s">
        <v>62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 t="s">
        <v>67</v>
      </c>
      <c r="C14" s="29" t="s">
        <v>69</v>
      </c>
      <c r="D14" s="29" t="s">
        <v>71</v>
      </c>
      <c r="E14" s="29" t="s">
        <v>72</v>
      </c>
      <c r="F14" s="29" t="s">
        <v>73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 t="s">
        <v>75</v>
      </c>
      <c r="C15" s="29" t="s">
        <v>76</v>
      </c>
      <c r="D15" s="29" t="s">
        <v>71</v>
      </c>
      <c r="E15" s="31" t="s">
        <v>77</v>
      </c>
      <c r="F15" s="29" t="s">
        <v>78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 t="s">
        <v>80</v>
      </c>
      <c r="C16" s="29" t="s">
        <v>81</v>
      </c>
      <c r="D16" s="29" t="s">
        <v>57</v>
      </c>
      <c r="E16" s="29" t="s">
        <v>83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29"/>
      <c r="D17" s="29"/>
      <c r="E17" s="29"/>
      <c r="F17" s="2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/>
      <c r="C18" s="29"/>
      <c r="D18" s="29"/>
      <c r="E18" s="29"/>
      <c r="F18" s="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7">
    <mergeCell ref="C4:E4"/>
    <mergeCell ref="C5:E5"/>
    <mergeCell ref="C6:E6"/>
    <mergeCell ref="C7:E7"/>
    <mergeCell ref="C8:E8"/>
    <mergeCell ref="C9:E9"/>
    <mergeCell ref="B11:F11"/>
  </mergeCells>
  <dataValidations>
    <dataValidation type="list" allowBlank="1" sqref="D16:D19">
      <formula1>"有,無"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4.0"/>
    <col customWidth="1" min="2" max="2" width="22.0"/>
    <col customWidth="1" min="3" max="6" width="28.0"/>
    <col customWidth="1" min="7" max="8" width="36.0"/>
    <col customWidth="1" min="9" max="16" width="11.57"/>
  </cols>
  <sheetData>
    <row r="1" ht="19.5" customHeight="1">
      <c r="A1" s="1"/>
      <c r="B1" s="3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75" customHeight="1">
      <c r="A44" s="43" t="s">
        <v>111</v>
      </c>
      <c r="B44" s="16"/>
      <c r="C44" s="16"/>
      <c r="D44" s="16"/>
      <c r="E44" s="16"/>
      <c r="F44" s="16"/>
      <c r="G44" s="16"/>
      <c r="H44" s="2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38" t="s">
        <v>122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28" t="s">
        <v>129</v>
      </c>
      <c r="B47" s="28" t="s">
        <v>130</v>
      </c>
      <c r="C47" s="28" t="s">
        <v>131</v>
      </c>
      <c r="D47" s="28" t="s">
        <v>132</v>
      </c>
      <c r="E47" s="28" t="s">
        <v>133</v>
      </c>
      <c r="F47" s="28" t="s">
        <v>134</v>
      </c>
      <c r="G47" s="28" t="s">
        <v>135</v>
      </c>
      <c r="H47" s="28" t="s">
        <v>136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48.0" customHeight="1">
      <c r="A48" s="46">
        <v>1.0</v>
      </c>
      <c r="B48" s="46" t="s">
        <v>140</v>
      </c>
      <c r="C48" s="46" t="s">
        <v>141</v>
      </c>
      <c r="D48" s="46" t="s">
        <v>142</v>
      </c>
      <c r="E48" s="46" t="s">
        <v>143</v>
      </c>
      <c r="F48" s="46" t="s">
        <v>144</v>
      </c>
      <c r="G48" s="46" t="s">
        <v>146</v>
      </c>
      <c r="H48" s="46" t="s">
        <v>149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48.0" customHeight="1">
      <c r="A49" s="46">
        <v>2.0</v>
      </c>
      <c r="B49" s="46" t="s">
        <v>154</v>
      </c>
      <c r="C49" s="46" t="s">
        <v>156</v>
      </c>
      <c r="D49" s="46" t="s">
        <v>157</v>
      </c>
      <c r="E49" s="46" t="s">
        <v>158</v>
      </c>
      <c r="F49" s="46" t="s">
        <v>159</v>
      </c>
      <c r="G49" s="46" t="s">
        <v>160</v>
      </c>
      <c r="H49" s="46" t="s">
        <v>161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48.0" customHeight="1">
      <c r="A50" s="46">
        <v>3.0</v>
      </c>
      <c r="B50" s="46" t="s">
        <v>162</v>
      </c>
      <c r="C50" s="46" t="s">
        <v>164</v>
      </c>
      <c r="D50" s="46" t="s">
        <v>165</v>
      </c>
      <c r="E50" s="46" t="s">
        <v>167</v>
      </c>
      <c r="F50" s="46" t="s">
        <v>168</v>
      </c>
      <c r="G50" s="46" t="s">
        <v>170</v>
      </c>
      <c r="H50" s="46" t="s">
        <v>172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48.0" customHeight="1">
      <c r="A51" s="46">
        <v>4.0</v>
      </c>
      <c r="B51" s="46" t="s">
        <v>175</v>
      </c>
      <c r="C51" s="46" t="s">
        <v>176</v>
      </c>
      <c r="D51" s="46" t="s">
        <v>177</v>
      </c>
      <c r="E51" s="46" t="s">
        <v>178</v>
      </c>
      <c r="F51" s="46" t="s">
        <v>179</v>
      </c>
      <c r="G51" s="46" t="s">
        <v>180</v>
      </c>
      <c r="H51" s="46" t="s">
        <v>181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0" customHeight="1">
      <c r="A52" s="46">
        <v>5.0</v>
      </c>
      <c r="B52" s="46" t="s">
        <v>182</v>
      </c>
      <c r="C52" s="46" t="s">
        <v>183</v>
      </c>
      <c r="D52" s="46" t="s">
        <v>184</v>
      </c>
      <c r="E52" s="46" t="s">
        <v>185</v>
      </c>
      <c r="F52" s="46" t="s">
        <v>186</v>
      </c>
      <c r="G52" s="46" t="s">
        <v>34</v>
      </c>
      <c r="H52" s="46" t="s">
        <v>187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48.0" customHeight="1">
      <c r="A53" s="46">
        <v>6.0</v>
      </c>
      <c r="B53" s="46" t="s">
        <v>188</v>
      </c>
      <c r="C53" s="46" t="s">
        <v>189</v>
      </c>
      <c r="D53" s="46" t="s">
        <v>190</v>
      </c>
      <c r="E53" s="46" t="s">
        <v>191</v>
      </c>
      <c r="F53" s="46" t="s">
        <v>192</v>
      </c>
      <c r="G53" s="46" t="s">
        <v>34</v>
      </c>
      <c r="H53" s="46" t="s">
        <v>193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47" t="s">
        <v>194</v>
      </c>
      <c r="B55" s="48"/>
      <c r="C55" s="48"/>
      <c r="D55" s="48"/>
      <c r="E55" s="48"/>
      <c r="F55" s="48"/>
      <c r="G55" s="48"/>
      <c r="H55" s="4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6.0" customHeight="1">
      <c r="A56" s="50" t="s">
        <v>195</v>
      </c>
      <c r="B56" s="51"/>
      <c r="C56" s="51"/>
      <c r="D56" s="51"/>
      <c r="E56" s="51"/>
      <c r="F56" s="51"/>
      <c r="G56" s="51"/>
      <c r="H56" s="5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8.0" customHeight="1">
      <c r="A57" s="50" t="s">
        <v>196</v>
      </c>
      <c r="B57" s="51"/>
      <c r="C57" s="51"/>
      <c r="D57" s="51"/>
      <c r="E57" s="51"/>
      <c r="F57" s="51"/>
      <c r="G57" s="51"/>
      <c r="H57" s="5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8.0" customHeight="1">
      <c r="A58" s="50" t="s">
        <v>197</v>
      </c>
      <c r="B58" s="51"/>
      <c r="C58" s="51"/>
      <c r="D58" s="51"/>
      <c r="E58" s="51"/>
      <c r="F58" s="51"/>
      <c r="G58" s="51"/>
      <c r="H58" s="5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48.0" customHeight="1">
      <c r="A59" s="50" t="s">
        <v>198</v>
      </c>
      <c r="B59" s="51"/>
      <c r="C59" s="51"/>
      <c r="D59" s="51"/>
      <c r="E59" s="51"/>
      <c r="F59" s="51"/>
      <c r="G59" s="51"/>
      <c r="H59" s="5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6.0" customHeight="1">
      <c r="A61" s="5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0" customHeight="1">
      <c r="A62" s="5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6.0" customHeight="1">
      <c r="A63" s="5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6.0" customHeight="1">
      <c r="A64" s="53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0">
    <mergeCell ref="A62:H62"/>
    <mergeCell ref="A63:H63"/>
    <mergeCell ref="A64:H64"/>
    <mergeCell ref="A44:H44"/>
    <mergeCell ref="A45:H45"/>
    <mergeCell ref="A56:H56"/>
    <mergeCell ref="A57:H57"/>
    <mergeCell ref="A58:H58"/>
    <mergeCell ref="A59:H59"/>
    <mergeCell ref="A61:H6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8.0"/>
    <col customWidth="1" min="3" max="3" width="42.0"/>
    <col customWidth="1" min="4" max="5" width="28.0"/>
    <col customWidth="1" hidden="1" min="6" max="6" width="28.0"/>
    <col customWidth="1" min="7" max="7" width="24.0"/>
    <col customWidth="1" min="8" max="8" width="18.0"/>
  </cols>
  <sheetData>
    <row r="1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8</v>
      </c>
      <c r="C5" s="9"/>
      <c r="D5" s="10"/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10</v>
      </c>
      <c r="C6" s="20" t="s">
        <v>13</v>
      </c>
      <c r="D6" s="16"/>
      <c r="E6" s="16"/>
      <c r="F6" s="16"/>
      <c r="G6" s="16"/>
      <c r="H6" s="22"/>
      <c r="I6" s="23"/>
      <c r="J6" s="23"/>
      <c r="K6" s="23"/>
      <c r="L6" s="23"/>
      <c r="M6" s="2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3" t="s">
        <v>18</v>
      </c>
      <c r="C7" s="20" t="s">
        <v>22</v>
      </c>
      <c r="D7" s="16"/>
      <c r="E7" s="16"/>
      <c r="F7" s="16"/>
      <c r="G7" s="16"/>
      <c r="H7" s="22"/>
      <c r="I7" s="23"/>
      <c r="J7" s="23"/>
      <c r="K7" s="23"/>
      <c r="L7" s="23"/>
      <c r="M7" s="2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3" t="s">
        <v>27</v>
      </c>
      <c r="C8" s="20" t="s">
        <v>28</v>
      </c>
      <c r="D8" s="16"/>
      <c r="E8" s="16"/>
      <c r="F8" s="16"/>
      <c r="G8" s="16"/>
      <c r="H8" s="22"/>
      <c r="I8" s="23"/>
      <c r="J8" s="23"/>
      <c r="K8" s="23"/>
      <c r="L8" s="23"/>
      <c r="M8" s="2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3" t="s">
        <v>33</v>
      </c>
      <c r="C9" s="20" t="s">
        <v>34</v>
      </c>
      <c r="D9" s="16"/>
      <c r="E9" s="16"/>
      <c r="F9" s="16"/>
      <c r="G9" s="16"/>
      <c r="H9" s="22"/>
      <c r="I9" s="23"/>
      <c r="J9" s="23"/>
      <c r="K9" s="23"/>
      <c r="L9" s="23"/>
      <c r="M9" s="2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3" t="s">
        <v>39</v>
      </c>
      <c r="C10" s="20" t="s">
        <v>40</v>
      </c>
      <c r="D10" s="16"/>
      <c r="E10" s="16"/>
      <c r="F10" s="16"/>
      <c r="G10" s="16"/>
      <c r="H10" s="22"/>
      <c r="I10" s="23"/>
      <c r="J10" s="23"/>
      <c r="K10" s="23"/>
      <c r="L10" s="23"/>
      <c r="M10" s="2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41</v>
      </c>
      <c r="C11" s="20" t="s">
        <v>44</v>
      </c>
      <c r="D11" s="16"/>
      <c r="E11" s="16"/>
      <c r="F11" s="16"/>
      <c r="G11" s="16"/>
      <c r="H11" s="22"/>
      <c r="I11" s="23"/>
      <c r="J11" s="23"/>
      <c r="K11" s="23"/>
      <c r="L11" s="23"/>
      <c r="M11" s="2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3" t="s">
        <v>46</v>
      </c>
      <c r="C12" s="20" t="s">
        <v>47</v>
      </c>
      <c r="D12" s="16"/>
      <c r="E12" s="16"/>
      <c r="F12" s="16"/>
      <c r="G12" s="16"/>
      <c r="H12" s="22"/>
      <c r="I12" s="23"/>
      <c r="J12" s="23"/>
      <c r="K12" s="23"/>
      <c r="L12" s="23"/>
      <c r="M12" s="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">
        <v>53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63</v>
      </c>
      <c r="C15" s="28" t="s">
        <v>64</v>
      </c>
      <c r="D15" s="28" t="s">
        <v>18</v>
      </c>
      <c r="E15" s="28" t="s">
        <v>66</v>
      </c>
      <c r="F15" s="28" t="s">
        <v>68</v>
      </c>
      <c r="G15" s="28" t="s">
        <v>70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>
        <v>10.0</v>
      </c>
      <c r="C16" s="35" t="s">
        <v>85</v>
      </c>
      <c r="D16" s="35" t="s">
        <v>86</v>
      </c>
      <c r="E16" s="35" t="s">
        <v>87</v>
      </c>
      <c r="F16" s="35" t="s">
        <v>88</v>
      </c>
      <c r="G16" s="35" t="s">
        <v>89</v>
      </c>
      <c r="H16" s="36" t="s">
        <v>90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>
        <v>20.0</v>
      </c>
      <c r="C17" s="35" t="s">
        <v>91</v>
      </c>
      <c r="D17" s="35" t="s">
        <v>92</v>
      </c>
      <c r="E17" s="35" t="s">
        <v>93</v>
      </c>
      <c r="F17" s="35" t="s">
        <v>94</v>
      </c>
      <c r="G17" s="35" t="s">
        <v>95</v>
      </c>
      <c r="H17" s="3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>
        <v>30.0</v>
      </c>
      <c r="C18" s="35" t="s">
        <v>96</v>
      </c>
      <c r="D18" s="35" t="s">
        <v>92</v>
      </c>
      <c r="E18" s="35" t="s">
        <v>97</v>
      </c>
      <c r="F18" s="35" t="s">
        <v>94</v>
      </c>
      <c r="G18" s="35" t="s">
        <v>98</v>
      </c>
      <c r="H18" s="3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>
        <v>40.0</v>
      </c>
      <c r="C19" s="35" t="s">
        <v>99</v>
      </c>
      <c r="D19" s="35" t="s">
        <v>92</v>
      </c>
      <c r="E19" s="35" t="s">
        <v>100</v>
      </c>
      <c r="F19" s="35" t="s">
        <v>94</v>
      </c>
      <c r="G19" s="35" t="s">
        <v>101</v>
      </c>
      <c r="H19" s="4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>
        <v>50.0</v>
      </c>
      <c r="C20" s="35" t="s">
        <v>102</v>
      </c>
      <c r="D20" s="35" t="s">
        <v>103</v>
      </c>
      <c r="E20" s="35" t="s">
        <v>104</v>
      </c>
      <c r="F20" s="35" t="s">
        <v>105</v>
      </c>
      <c r="G20" s="35" t="s">
        <v>106</v>
      </c>
      <c r="H20" s="3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4">
        <v>60.0</v>
      </c>
      <c r="C21" s="35" t="s">
        <v>107</v>
      </c>
      <c r="D21" s="35" t="s">
        <v>108</v>
      </c>
      <c r="E21" s="35" t="s">
        <v>109</v>
      </c>
      <c r="F21" s="42"/>
      <c r="G21" s="35" t="s">
        <v>110</v>
      </c>
      <c r="H21" s="3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34">
        <v>70.0</v>
      </c>
      <c r="C22" s="35" t="s">
        <v>112</v>
      </c>
      <c r="D22" s="35" t="s">
        <v>113</v>
      </c>
      <c r="E22" s="35" t="s">
        <v>114</v>
      </c>
      <c r="F22" s="35"/>
      <c r="G22" s="35" t="s">
        <v>115</v>
      </c>
      <c r="H22" s="3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34">
        <v>80.0</v>
      </c>
      <c r="C23" s="35" t="s">
        <v>116</v>
      </c>
      <c r="D23" s="35" t="s">
        <v>117</v>
      </c>
      <c r="E23" s="35" t="s">
        <v>118</v>
      </c>
      <c r="F23" s="35" t="s">
        <v>119</v>
      </c>
      <c r="G23" s="35" t="s">
        <v>120</v>
      </c>
      <c r="H23" s="36" t="s">
        <v>121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34">
        <v>90.0</v>
      </c>
      <c r="C24" s="35" t="s">
        <v>123</v>
      </c>
      <c r="D24" s="35" t="s">
        <v>124</v>
      </c>
      <c r="E24" s="35" t="s">
        <v>125</v>
      </c>
      <c r="F24" s="35" t="s">
        <v>126</v>
      </c>
      <c r="G24" s="35" t="s">
        <v>127</v>
      </c>
      <c r="H24" s="36" t="s">
        <v>121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34">
        <v>100.0</v>
      </c>
      <c r="C25" s="35" t="s">
        <v>128</v>
      </c>
      <c r="D25" s="35" t="s">
        <v>125</v>
      </c>
      <c r="E25" s="35" t="s">
        <v>137</v>
      </c>
      <c r="F25" s="35" t="s">
        <v>138</v>
      </c>
      <c r="G25" s="35" t="s">
        <v>139</v>
      </c>
      <c r="H25" s="3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34">
        <v>110.0</v>
      </c>
      <c r="C26" s="35" t="s">
        <v>145</v>
      </c>
      <c r="D26" s="35" t="s">
        <v>147</v>
      </c>
      <c r="E26" s="35" t="s">
        <v>148</v>
      </c>
      <c r="F26" s="35"/>
      <c r="G26" s="35" t="s">
        <v>150</v>
      </c>
      <c r="H26" s="3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4">
        <v>120.0</v>
      </c>
      <c r="C27" s="35" t="s">
        <v>151</v>
      </c>
      <c r="D27" s="35" t="s">
        <v>152</v>
      </c>
      <c r="E27" s="35" t="s">
        <v>34</v>
      </c>
      <c r="F27" s="35" t="s">
        <v>153</v>
      </c>
      <c r="G27" s="35" t="s">
        <v>155</v>
      </c>
      <c r="H27" s="36" t="s">
        <v>121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4">
        <v>130.0</v>
      </c>
      <c r="C28" s="35" t="s">
        <v>163</v>
      </c>
      <c r="D28" s="35" t="s">
        <v>166</v>
      </c>
      <c r="E28" s="35" t="s">
        <v>169</v>
      </c>
      <c r="F28" s="35" t="s">
        <v>171</v>
      </c>
      <c r="G28" s="35" t="s">
        <v>173</v>
      </c>
      <c r="H28" s="36" t="s">
        <v>174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8">
    <mergeCell ref="C5:H5"/>
    <mergeCell ref="C6:H6"/>
    <mergeCell ref="C7:H7"/>
    <mergeCell ref="C8:H8"/>
    <mergeCell ref="C9:H9"/>
    <mergeCell ref="C10:H10"/>
    <mergeCell ref="C11:H11"/>
    <mergeCell ref="C12:H12"/>
  </mergeCells>
  <printOptions/>
  <pageMargins bottom="0.5" footer="0.0" header="0.0" left="0.5" right="0.5" top="0.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8.0"/>
    <col customWidth="1" min="3" max="3" width="26.29"/>
    <col customWidth="1" min="4" max="4" width="28.0"/>
    <col customWidth="1" min="5" max="5" width="39.57"/>
    <col customWidth="1" hidden="1" min="6" max="6" width="28.0"/>
    <col customWidth="1" min="7" max="7" width="24.0"/>
    <col customWidth="1" min="8" max="8" width="18.0"/>
  </cols>
  <sheetData>
    <row r="1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8</v>
      </c>
      <c r="C5" s="9"/>
      <c r="D5" s="10"/>
      <c r="E5" s="10"/>
      <c r="F5" s="10"/>
      <c r="G5" s="10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4" t="s">
        <v>10</v>
      </c>
      <c r="C6" s="55" t="s">
        <v>199</v>
      </c>
      <c r="D6" s="16"/>
      <c r="E6" s="16"/>
      <c r="F6" s="16"/>
      <c r="G6" s="16"/>
      <c r="H6" s="22"/>
      <c r="I6" s="23"/>
      <c r="J6" s="23"/>
      <c r="K6" s="23"/>
      <c r="L6" s="23"/>
      <c r="M6" s="2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4" t="s">
        <v>200</v>
      </c>
      <c r="C7" s="55" t="s">
        <v>201</v>
      </c>
      <c r="D7" s="16"/>
      <c r="E7" s="16"/>
      <c r="F7" s="16"/>
      <c r="G7" s="16"/>
      <c r="H7" s="22"/>
      <c r="I7" s="23"/>
      <c r="J7" s="23"/>
      <c r="K7" s="23"/>
      <c r="L7" s="23"/>
      <c r="M7" s="2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4" t="s">
        <v>202</v>
      </c>
      <c r="C8" s="55" t="s">
        <v>203</v>
      </c>
      <c r="D8" s="16"/>
      <c r="E8" s="16"/>
      <c r="F8" s="16"/>
      <c r="G8" s="16"/>
      <c r="H8" s="22"/>
      <c r="I8" s="23"/>
      <c r="J8" s="23"/>
      <c r="K8" s="23"/>
      <c r="L8" s="23"/>
      <c r="M8" s="2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4" t="s">
        <v>33</v>
      </c>
      <c r="C9" s="55" t="s">
        <v>204</v>
      </c>
      <c r="D9" s="16"/>
      <c r="E9" s="16"/>
      <c r="F9" s="16"/>
      <c r="G9" s="16"/>
      <c r="H9" s="22"/>
      <c r="I9" s="23"/>
      <c r="J9" s="23"/>
      <c r="K9" s="23"/>
      <c r="L9" s="23"/>
      <c r="M9" s="2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4" t="s">
        <v>39</v>
      </c>
      <c r="C10" s="55" t="s">
        <v>205</v>
      </c>
      <c r="D10" s="16"/>
      <c r="E10" s="16"/>
      <c r="F10" s="16"/>
      <c r="G10" s="16"/>
      <c r="H10" s="22"/>
      <c r="I10" s="23"/>
      <c r="J10" s="23"/>
      <c r="K10" s="23"/>
      <c r="L10" s="23"/>
      <c r="M10" s="2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4" t="s">
        <v>41</v>
      </c>
      <c r="C11" s="55" t="s">
        <v>206</v>
      </c>
      <c r="D11" s="16"/>
      <c r="E11" s="16"/>
      <c r="F11" s="16"/>
      <c r="G11" s="16"/>
      <c r="H11" s="22"/>
      <c r="I11" s="23"/>
      <c r="J11" s="23"/>
      <c r="K11" s="23"/>
      <c r="L11" s="23"/>
      <c r="M11" s="2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4" t="s">
        <v>46</v>
      </c>
      <c r="C12" s="55" t="s">
        <v>47</v>
      </c>
      <c r="D12" s="16"/>
      <c r="E12" s="16"/>
      <c r="F12" s="16"/>
      <c r="G12" s="16"/>
      <c r="H12" s="22"/>
      <c r="I12" s="23"/>
      <c r="J12" s="23"/>
      <c r="K12" s="23"/>
      <c r="L12" s="23"/>
      <c r="M12" s="2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">
        <v>53</v>
      </c>
      <c r="C14" s="8"/>
      <c r="D14" s="8"/>
      <c r="E14" s="8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63</v>
      </c>
      <c r="C15" s="28" t="s">
        <v>64</v>
      </c>
      <c r="D15" s="28" t="s">
        <v>18</v>
      </c>
      <c r="E15" s="28" t="s">
        <v>66</v>
      </c>
      <c r="F15" s="28" t="s">
        <v>68</v>
      </c>
      <c r="G15" s="28" t="s">
        <v>70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34">
        <v>10.0</v>
      </c>
      <c r="C16" s="35" t="s">
        <v>207</v>
      </c>
      <c r="D16" s="35" t="s">
        <v>208</v>
      </c>
      <c r="E16" s="35" t="s">
        <v>87</v>
      </c>
      <c r="F16" s="35" t="s">
        <v>209</v>
      </c>
      <c r="G16" s="35" t="s">
        <v>210</v>
      </c>
      <c r="H16" s="36" t="s">
        <v>211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34">
        <v>20.0</v>
      </c>
      <c r="C17" s="35" t="s">
        <v>212</v>
      </c>
      <c r="D17" s="35" t="s">
        <v>213</v>
      </c>
      <c r="E17" s="35" t="s">
        <v>214</v>
      </c>
      <c r="F17" s="35" t="s">
        <v>215</v>
      </c>
      <c r="G17" s="35" t="s">
        <v>216</v>
      </c>
      <c r="H17" s="3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34">
        <v>30.0</v>
      </c>
      <c r="C18" s="35" t="s">
        <v>217</v>
      </c>
      <c r="D18" s="35" t="s">
        <v>218</v>
      </c>
      <c r="E18" s="35" t="s">
        <v>219</v>
      </c>
      <c r="F18" s="56"/>
      <c r="G18" s="35" t="s">
        <v>220</v>
      </c>
      <c r="H18" s="3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34">
        <v>40.0</v>
      </c>
      <c r="C19" s="35" t="s">
        <v>221</v>
      </c>
      <c r="D19" s="35" t="s">
        <v>219</v>
      </c>
      <c r="E19" s="35" t="s">
        <v>92</v>
      </c>
      <c r="F19" s="35" t="s">
        <v>222</v>
      </c>
      <c r="G19" s="35" t="s">
        <v>223</v>
      </c>
      <c r="H19" s="36" t="s">
        <v>224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34">
        <v>50.0</v>
      </c>
      <c r="C20" s="35" t="s">
        <v>225</v>
      </c>
      <c r="D20" s="35" t="s">
        <v>92</v>
      </c>
      <c r="E20" s="57" t="s">
        <v>22</v>
      </c>
      <c r="F20" s="35" t="s">
        <v>171</v>
      </c>
      <c r="G20" s="35" t="s">
        <v>226</v>
      </c>
      <c r="H20" s="36" t="s">
        <v>227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34">
        <v>60.0</v>
      </c>
      <c r="C21" s="35" t="s">
        <v>228</v>
      </c>
      <c r="D21" s="35" t="s">
        <v>73</v>
      </c>
      <c r="E21" s="35" t="s">
        <v>86</v>
      </c>
      <c r="F21" s="35" t="s">
        <v>171</v>
      </c>
      <c r="G21" s="35" t="s">
        <v>229</v>
      </c>
      <c r="H21" s="36" t="s">
        <v>90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8">
    <mergeCell ref="C5:H5"/>
    <mergeCell ref="C6:H6"/>
    <mergeCell ref="C7:H7"/>
    <mergeCell ref="C8:H8"/>
    <mergeCell ref="C9:H9"/>
    <mergeCell ref="C10:H10"/>
    <mergeCell ref="C11:H11"/>
    <mergeCell ref="C12:H12"/>
  </mergeCells>
  <printOptions/>
  <pageMargins bottom="0.5" footer="0.0" header="0.0" left="0.5" right="0.5" top="0.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8.0"/>
    <col customWidth="1" min="3" max="3" width="42.0"/>
    <col customWidth="1" min="4" max="6" width="28.0"/>
    <col customWidth="1" min="7" max="7" width="24.0"/>
  </cols>
  <sheetData>
    <row r="1" ht="24.0" customHeight="1">
      <c r="A1" s="1"/>
      <c r="B1" s="2" t="s">
        <v>230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7" t="s">
        <v>8</v>
      </c>
      <c r="C4" s="8"/>
      <c r="D4" s="8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58" t="s">
        <v>231</v>
      </c>
      <c r="C5" s="59" t="s">
        <v>232</v>
      </c>
      <c r="D5" s="16"/>
      <c r="E5" s="2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58" t="s">
        <v>233</v>
      </c>
      <c r="C6" s="59" t="s">
        <v>73</v>
      </c>
      <c r="D6" s="16"/>
      <c r="E6" s="2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58" t="s">
        <v>234</v>
      </c>
      <c r="C7" s="59" t="s">
        <v>73</v>
      </c>
      <c r="D7" s="16"/>
      <c r="E7" s="2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58" t="s">
        <v>235</v>
      </c>
      <c r="C8" s="59" t="s">
        <v>73</v>
      </c>
      <c r="D8" s="16"/>
      <c r="E8" s="2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58" t="s">
        <v>236</v>
      </c>
      <c r="C9" s="59" t="s">
        <v>73</v>
      </c>
      <c r="D9" s="16"/>
      <c r="E9" s="2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7" t="s">
        <v>53</v>
      </c>
      <c r="C11" s="8"/>
      <c r="D11" s="8"/>
      <c r="E11" s="8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28" t="s">
        <v>63</v>
      </c>
      <c r="C12" s="28" t="s">
        <v>64</v>
      </c>
      <c r="D12" s="28" t="s">
        <v>18</v>
      </c>
      <c r="E12" s="28" t="s">
        <v>66</v>
      </c>
      <c r="F12" s="28" t="s">
        <v>68</v>
      </c>
      <c r="G12" s="28" t="s">
        <v>70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1.5" customHeight="1">
      <c r="A13" s="1"/>
      <c r="B13" s="60">
        <v>1.0</v>
      </c>
      <c r="C13" s="60" t="s">
        <v>237</v>
      </c>
      <c r="D13" s="60" t="s">
        <v>73</v>
      </c>
      <c r="E13" s="60" t="s">
        <v>73</v>
      </c>
      <c r="F13" s="60" t="s">
        <v>73</v>
      </c>
      <c r="G13" s="6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1.5" customHeight="1">
      <c r="A14" s="1"/>
      <c r="B14" s="29"/>
      <c r="C14" s="29"/>
      <c r="D14" s="29"/>
      <c r="E14" s="29"/>
      <c r="F14" s="29"/>
      <c r="G14" s="2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29"/>
      <c r="C15" s="29"/>
      <c r="D15" s="29"/>
      <c r="E15" s="29"/>
      <c r="F15" s="29"/>
      <c r="G15" s="2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9"/>
      <c r="C16" s="29"/>
      <c r="D16" s="29"/>
      <c r="E16" s="29"/>
      <c r="F16" s="29"/>
      <c r="G16" s="2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29"/>
      <c r="C17" s="29"/>
      <c r="D17" s="29"/>
      <c r="E17" s="29"/>
      <c r="F17" s="29"/>
      <c r="G17" s="29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9"/>
      <c r="C18" s="29"/>
      <c r="D18" s="29"/>
      <c r="E18" s="29"/>
      <c r="F18" s="29"/>
      <c r="G18" s="2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29"/>
      <c r="C19" s="29"/>
      <c r="D19" s="29"/>
      <c r="E19" s="29"/>
      <c r="F19" s="29"/>
      <c r="G19" s="2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9"/>
      <c r="C20" s="29"/>
      <c r="D20" s="29"/>
      <c r="E20" s="29"/>
      <c r="F20" s="29"/>
      <c r="G20" s="2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29"/>
      <c r="C21" s="29"/>
      <c r="D21" s="29"/>
      <c r="E21" s="29"/>
      <c r="F21" s="29"/>
      <c r="G21" s="2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9"/>
      <c r="C22" s="29"/>
      <c r="D22" s="29"/>
      <c r="E22" s="29"/>
      <c r="F22" s="29"/>
      <c r="G22" s="2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29"/>
      <c r="C23" s="29"/>
      <c r="D23" s="29"/>
      <c r="E23" s="29"/>
      <c r="F23" s="29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9"/>
      <c r="C24" s="29"/>
      <c r="D24" s="29"/>
      <c r="E24" s="29"/>
      <c r="F24" s="29"/>
      <c r="G24" s="2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29"/>
      <c r="C25" s="29"/>
      <c r="D25" s="29"/>
      <c r="E25" s="29"/>
      <c r="F25" s="29"/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9"/>
      <c r="C26" s="29"/>
      <c r="D26" s="29"/>
      <c r="E26" s="29"/>
      <c r="F26" s="29"/>
      <c r="G26" s="2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5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0.0" customHeight="1">
      <c r="A29" s="1"/>
      <c r="B29" s="5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5:E5"/>
    <mergeCell ref="C6:E6"/>
    <mergeCell ref="C7:E7"/>
    <mergeCell ref="C8:E8"/>
    <mergeCell ref="C9:E9"/>
  </mergeCells>
  <printOptions/>
  <pageMargins bottom="0.5" footer="0.0" header="0.0" left="0.5" right="0.5" top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8.0"/>
    <col customWidth="1" min="3" max="3" width="42.0"/>
    <col customWidth="1" min="4" max="5" width="28.0"/>
    <col customWidth="1" hidden="1" min="6" max="6" width="28.0"/>
    <col customWidth="1" min="7" max="7" width="24.0"/>
  </cols>
  <sheetData>
    <row r="1">
      <c r="A1" s="1"/>
      <c r="B1" s="2" t="s">
        <v>238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239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8</v>
      </c>
      <c r="C5" s="9"/>
      <c r="D5" s="10"/>
      <c r="E5" s="1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2" t="s">
        <v>240</v>
      </c>
      <c r="C6" s="20" t="s">
        <v>241</v>
      </c>
      <c r="D6" s="63"/>
      <c r="E6" s="6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5" t="s">
        <v>242</v>
      </c>
      <c r="C7" s="20" t="s">
        <v>243</v>
      </c>
      <c r="D7" s="63"/>
      <c r="E7" s="6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5" t="s">
        <v>244</v>
      </c>
      <c r="C8" s="20" t="s">
        <v>245</v>
      </c>
      <c r="D8" s="63"/>
      <c r="E8" s="6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2" t="s">
        <v>246</v>
      </c>
      <c r="C9" s="20" t="s">
        <v>247</v>
      </c>
      <c r="D9" s="63"/>
      <c r="E9" s="6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65" t="s">
        <v>248</v>
      </c>
      <c r="C10" s="20" t="s">
        <v>249</v>
      </c>
      <c r="D10" s="63"/>
      <c r="E10" s="64"/>
      <c r="F10" s="5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65" t="s">
        <v>46</v>
      </c>
      <c r="C11" s="20" t="s">
        <v>250</v>
      </c>
      <c r="D11" s="63"/>
      <c r="E11" s="6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 t="s">
        <v>53</v>
      </c>
      <c r="C13" s="8"/>
      <c r="D13" s="8"/>
      <c r="E13" s="8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63</v>
      </c>
      <c r="C14" s="28" t="s">
        <v>64</v>
      </c>
      <c r="D14" s="28" t="s">
        <v>18</v>
      </c>
      <c r="E14" s="28" t="s">
        <v>66</v>
      </c>
      <c r="F14" s="28" t="s">
        <v>68</v>
      </c>
      <c r="G14" s="28" t="s">
        <v>70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6">
        <v>10.0</v>
      </c>
      <c r="C15" s="46" t="s">
        <v>251</v>
      </c>
      <c r="D15" s="46" t="s">
        <v>252</v>
      </c>
      <c r="E15" s="46" t="s">
        <v>253</v>
      </c>
      <c r="F15" s="46" t="s">
        <v>254</v>
      </c>
      <c r="G15" s="6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6">
        <v>20.0</v>
      </c>
      <c r="C16" s="46" t="s">
        <v>255</v>
      </c>
      <c r="D16" s="46" t="s">
        <v>253</v>
      </c>
      <c r="E16" s="46" t="s">
        <v>256</v>
      </c>
      <c r="F16" s="60"/>
      <c r="G16" s="66" t="s">
        <v>257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6">
        <v>30.0</v>
      </c>
      <c r="C17" s="46" t="s">
        <v>258</v>
      </c>
      <c r="D17" s="46" t="s">
        <v>218</v>
      </c>
      <c r="E17" s="46" t="s">
        <v>243</v>
      </c>
      <c r="F17" s="46" t="s">
        <v>254</v>
      </c>
      <c r="G17" s="66" t="s">
        <v>259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6">
        <v>40.0</v>
      </c>
      <c r="C18" s="46" t="s">
        <v>260</v>
      </c>
      <c r="D18" s="46" t="s">
        <v>73</v>
      </c>
      <c r="E18" s="46" t="s">
        <v>261</v>
      </c>
      <c r="F18" s="46" t="s">
        <v>254</v>
      </c>
      <c r="G18" s="66" t="s">
        <v>262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/>
      <c r="C19" s="29"/>
      <c r="D19" s="29"/>
      <c r="E19" s="29"/>
      <c r="F19" s="29"/>
      <c r="G19" s="2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/>
      <c r="C20" s="29"/>
      <c r="D20" s="29"/>
      <c r="E20" s="29"/>
      <c r="F20" s="29"/>
      <c r="G20" s="2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9"/>
      <c r="C21" s="29"/>
      <c r="D21" s="29"/>
      <c r="E21" s="29"/>
      <c r="F21" s="29"/>
      <c r="G21" s="29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9"/>
      <c r="C22" s="29"/>
      <c r="D22" s="29"/>
      <c r="E22" s="29"/>
      <c r="F22" s="29"/>
      <c r="G22" s="2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9"/>
      <c r="C23" s="29"/>
      <c r="D23" s="29"/>
      <c r="E23" s="29"/>
      <c r="F23" s="29"/>
      <c r="G23" s="2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9"/>
      <c r="C24" s="29"/>
      <c r="D24" s="29"/>
      <c r="E24" s="29"/>
      <c r="F24" s="29"/>
      <c r="G24" s="2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9"/>
      <c r="C25" s="29"/>
      <c r="D25" s="29"/>
      <c r="E25" s="29"/>
      <c r="F25" s="29"/>
      <c r="G25" s="2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9"/>
      <c r="C26" s="29"/>
      <c r="D26" s="29"/>
      <c r="E26" s="29"/>
      <c r="F26" s="29"/>
      <c r="G26" s="2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9"/>
      <c r="C27" s="29"/>
      <c r="D27" s="29"/>
      <c r="E27" s="29"/>
      <c r="F27" s="29"/>
      <c r="G27" s="2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9"/>
      <c r="C28" s="29"/>
      <c r="D28" s="29"/>
      <c r="E28" s="29"/>
      <c r="F28" s="29"/>
      <c r="G28" s="2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1">
    <mergeCell ref="C5:E5"/>
  </mergeCells>
  <printOptions/>
  <pageMargins bottom="0.5" footer="0.0" header="0.0" left="0.5" right="0.5" top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6.0"/>
    <col customWidth="1" min="3" max="3" width="24.71"/>
    <col customWidth="1" min="4" max="4" width="14.43"/>
    <col customWidth="1" min="5" max="5" width="9.29"/>
    <col customWidth="1" min="6" max="7" width="18.0"/>
    <col customWidth="1" min="8" max="8" width="10.0"/>
    <col customWidth="1" min="9" max="9" width="21.57"/>
    <col customWidth="1" min="10" max="10" width="22.0"/>
    <col customWidth="1" hidden="1" min="11" max="11" width="18.0" outlineLevel="1"/>
    <col customWidth="1" hidden="1" min="12" max="12" width="16.0" outlineLevel="1"/>
    <col customWidth="1" hidden="1" min="13" max="13" width="10.0" outlineLevel="1"/>
    <col customWidth="1" hidden="1" min="14" max="14" width="8.0" outlineLevel="1"/>
    <col customWidth="1" hidden="1" min="15" max="15" width="14.0" outlineLevel="1"/>
    <col collapsed="1" customWidth="1" min="16" max="16" width="28.0"/>
    <col customWidth="1" min="17" max="19" width="8.71"/>
    <col customWidth="1" min="20" max="20" width="31.86"/>
  </cols>
  <sheetData>
    <row r="1">
      <c r="A1" s="1"/>
      <c r="B1" s="2" t="s">
        <v>263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8" t="s">
        <v>264</v>
      </c>
      <c r="C5" s="28" t="s">
        <v>265</v>
      </c>
      <c r="D5" s="28" t="s">
        <v>266</v>
      </c>
      <c r="E5" s="28" t="s">
        <v>267</v>
      </c>
      <c r="F5" s="28" t="s">
        <v>268</v>
      </c>
      <c r="G5" s="28" t="s">
        <v>269</v>
      </c>
      <c r="H5" s="28" t="s">
        <v>270</v>
      </c>
      <c r="I5" s="28" t="s">
        <v>271</v>
      </c>
      <c r="J5" s="28" t="s">
        <v>272</v>
      </c>
      <c r="K5" s="28" t="s">
        <v>267</v>
      </c>
      <c r="L5" s="28" t="s">
        <v>268</v>
      </c>
      <c r="M5" s="28" t="s">
        <v>269</v>
      </c>
      <c r="N5" s="28" t="s">
        <v>270</v>
      </c>
      <c r="O5" s="28" t="s">
        <v>273</v>
      </c>
      <c r="P5" s="28" t="s">
        <v>274</v>
      </c>
      <c r="Q5" s="28" t="s">
        <v>275</v>
      </c>
      <c r="R5" s="28" t="s">
        <v>276</v>
      </c>
      <c r="S5" s="28" t="s">
        <v>277</v>
      </c>
      <c r="T5" s="28" t="s">
        <v>70</v>
      </c>
      <c r="U5" s="1"/>
      <c r="V5" s="1"/>
      <c r="W5" s="1"/>
      <c r="X5" s="1"/>
      <c r="Y5" s="1"/>
      <c r="Z5" s="1"/>
    </row>
    <row r="6">
      <c r="A6" s="1"/>
      <c r="B6" s="68">
        <v>1.0</v>
      </c>
      <c r="C6" s="68" t="s">
        <v>278</v>
      </c>
      <c r="D6" s="68" t="s">
        <v>279</v>
      </c>
      <c r="E6" s="68"/>
      <c r="F6" s="68" t="s">
        <v>280</v>
      </c>
      <c r="G6" s="68">
        <v>6.0</v>
      </c>
      <c r="H6" s="68" t="s">
        <v>281</v>
      </c>
      <c r="I6" s="68" t="s">
        <v>282</v>
      </c>
      <c r="J6" s="68" t="s">
        <v>279</v>
      </c>
      <c r="K6" s="29"/>
      <c r="L6" s="69" t="s">
        <v>280</v>
      </c>
      <c r="M6" s="69">
        <v>6.0</v>
      </c>
      <c r="N6" s="69" t="s">
        <v>281</v>
      </c>
      <c r="O6" s="70" t="s">
        <v>283</v>
      </c>
      <c r="P6" s="68"/>
      <c r="Q6" s="68"/>
      <c r="R6" s="68"/>
      <c r="S6" s="68"/>
      <c r="T6" s="68"/>
      <c r="U6" s="1"/>
      <c r="V6" s="1"/>
      <c r="W6" s="1"/>
      <c r="X6" s="1"/>
      <c r="Y6" s="1"/>
      <c r="Z6" s="1"/>
    </row>
    <row r="7">
      <c r="A7" s="1"/>
      <c r="B7" s="68">
        <v>2.0</v>
      </c>
      <c r="C7" s="68" t="s">
        <v>278</v>
      </c>
      <c r="D7" s="68" t="s">
        <v>284</v>
      </c>
      <c r="E7" s="68"/>
      <c r="F7" s="68" t="s">
        <v>285</v>
      </c>
      <c r="G7" s="68">
        <v>8.0</v>
      </c>
      <c r="H7" s="68" t="s">
        <v>281</v>
      </c>
      <c r="I7" s="68" t="s">
        <v>282</v>
      </c>
      <c r="J7" s="68" t="s">
        <v>284</v>
      </c>
      <c r="K7" s="29"/>
      <c r="L7" s="69" t="s">
        <v>285</v>
      </c>
      <c r="M7" s="69">
        <v>8.0</v>
      </c>
      <c r="N7" s="69" t="s">
        <v>73</v>
      </c>
      <c r="O7" s="70" t="s">
        <v>283</v>
      </c>
      <c r="P7" s="68"/>
      <c r="Q7" s="68"/>
      <c r="R7" s="68"/>
      <c r="S7" s="68"/>
      <c r="T7" s="68"/>
      <c r="U7" s="1"/>
      <c r="V7" s="1"/>
      <c r="W7" s="1"/>
      <c r="X7" s="1"/>
      <c r="Y7" s="1"/>
      <c r="Z7" s="1"/>
    </row>
    <row r="8">
      <c r="A8" s="1"/>
      <c r="B8" s="68">
        <v>3.0</v>
      </c>
      <c r="C8" s="68" t="s">
        <v>278</v>
      </c>
      <c r="D8" s="68" t="s">
        <v>286</v>
      </c>
      <c r="E8" s="68"/>
      <c r="F8" s="68" t="s">
        <v>280</v>
      </c>
      <c r="G8" s="68">
        <v>13.0</v>
      </c>
      <c r="H8" s="68" t="s">
        <v>281</v>
      </c>
      <c r="I8" s="68" t="s">
        <v>282</v>
      </c>
      <c r="J8" s="68" t="s">
        <v>286</v>
      </c>
      <c r="K8" s="29"/>
      <c r="L8" s="69" t="s">
        <v>280</v>
      </c>
      <c r="M8" s="69">
        <v>13.0</v>
      </c>
      <c r="N8" s="69" t="s">
        <v>281</v>
      </c>
      <c r="O8" s="70" t="s">
        <v>283</v>
      </c>
      <c r="P8" s="68"/>
      <c r="Q8" s="68"/>
      <c r="R8" s="68"/>
      <c r="S8" s="68"/>
      <c r="T8" s="29"/>
      <c r="U8" s="1"/>
      <c r="V8" s="1"/>
      <c r="W8" s="1"/>
      <c r="X8" s="1"/>
      <c r="Y8" s="1"/>
      <c r="Z8" s="1"/>
    </row>
    <row r="9">
      <c r="A9" s="1"/>
      <c r="B9" s="31">
        <v>4.0</v>
      </c>
      <c r="C9" s="68" t="s">
        <v>278</v>
      </c>
      <c r="D9" s="31" t="s">
        <v>108</v>
      </c>
      <c r="E9" s="29"/>
      <c r="F9" s="31" t="s">
        <v>285</v>
      </c>
      <c r="G9" s="31">
        <v>8.0</v>
      </c>
      <c r="H9" s="31" t="s">
        <v>281</v>
      </c>
      <c r="I9" s="68" t="s">
        <v>282</v>
      </c>
      <c r="J9" s="31" t="s">
        <v>108</v>
      </c>
      <c r="K9" s="29"/>
      <c r="L9" s="69" t="s">
        <v>285</v>
      </c>
      <c r="M9" s="69">
        <v>8.0</v>
      </c>
      <c r="N9" s="69" t="s">
        <v>281</v>
      </c>
      <c r="O9" s="70" t="s">
        <v>283</v>
      </c>
      <c r="P9" s="31"/>
      <c r="Q9" s="31"/>
      <c r="R9" s="31"/>
      <c r="S9" s="31"/>
      <c r="T9" s="31"/>
      <c r="U9" s="1"/>
      <c r="V9" s="1"/>
      <c r="W9" s="1"/>
      <c r="X9" s="1"/>
      <c r="Y9" s="1"/>
      <c r="Z9" s="1"/>
    </row>
    <row r="10">
      <c r="A10" s="1"/>
      <c r="B10" s="31">
        <v>5.0</v>
      </c>
      <c r="C10" s="68" t="s">
        <v>278</v>
      </c>
      <c r="D10" s="31" t="s">
        <v>287</v>
      </c>
      <c r="E10" s="31"/>
      <c r="F10" s="31" t="s">
        <v>280</v>
      </c>
      <c r="G10" s="31">
        <v>2.0</v>
      </c>
      <c r="H10" s="31" t="s">
        <v>281</v>
      </c>
      <c r="I10" s="68" t="s">
        <v>282</v>
      </c>
      <c r="J10" s="31" t="s">
        <v>287</v>
      </c>
      <c r="K10" s="29"/>
      <c r="L10" s="69" t="s">
        <v>280</v>
      </c>
      <c r="M10" s="69">
        <v>2.0</v>
      </c>
      <c r="N10" s="69" t="s">
        <v>281</v>
      </c>
      <c r="O10" s="70" t="s">
        <v>283</v>
      </c>
      <c r="P10" s="31"/>
      <c r="Q10" s="29"/>
      <c r="R10" s="31"/>
      <c r="S10" s="31"/>
      <c r="T10" s="29"/>
      <c r="U10" s="1"/>
      <c r="V10" s="1"/>
      <c r="W10" s="1"/>
      <c r="X10" s="1"/>
      <c r="Y10" s="1"/>
      <c r="Z10" s="1"/>
    </row>
    <row r="11">
      <c r="A11" s="1"/>
      <c r="B11" s="31">
        <v>6.0</v>
      </c>
      <c r="C11" s="68" t="s">
        <v>278</v>
      </c>
      <c r="D11" s="31" t="s">
        <v>288</v>
      </c>
      <c r="E11" s="29"/>
      <c r="F11" s="31" t="s">
        <v>280</v>
      </c>
      <c r="G11" s="31">
        <v>9.0</v>
      </c>
      <c r="H11" s="31" t="s">
        <v>281</v>
      </c>
      <c r="I11" s="68" t="s">
        <v>282</v>
      </c>
      <c r="J11" s="31" t="s">
        <v>288</v>
      </c>
      <c r="K11" s="31"/>
      <c r="L11" s="69" t="s">
        <v>280</v>
      </c>
      <c r="M11" s="69">
        <v>9.0</v>
      </c>
      <c r="N11" s="69" t="s">
        <v>281</v>
      </c>
      <c r="O11" s="70" t="s">
        <v>283</v>
      </c>
      <c r="P11" s="31"/>
      <c r="Q11" s="31"/>
      <c r="R11" s="31"/>
      <c r="S11" s="31"/>
      <c r="T11" s="31"/>
      <c r="U11" s="1"/>
      <c r="V11" s="1"/>
      <c r="W11" s="1"/>
      <c r="X11" s="1"/>
      <c r="Y11" s="1"/>
      <c r="Z11" s="1"/>
    </row>
    <row r="12">
      <c r="A12" s="1"/>
      <c r="B12" s="31">
        <v>7.0</v>
      </c>
      <c r="C12" s="68" t="s">
        <v>278</v>
      </c>
      <c r="D12" s="31" t="s">
        <v>289</v>
      </c>
      <c r="E12" s="29"/>
      <c r="F12" s="31" t="s">
        <v>280</v>
      </c>
      <c r="G12" s="31">
        <v>2.0</v>
      </c>
      <c r="H12" s="31" t="s">
        <v>281</v>
      </c>
      <c r="I12" s="68" t="s">
        <v>282</v>
      </c>
      <c r="J12" s="31" t="s">
        <v>289</v>
      </c>
      <c r="K12" s="29"/>
      <c r="L12" s="69" t="s">
        <v>280</v>
      </c>
      <c r="M12" s="69">
        <v>2.0</v>
      </c>
      <c r="N12" s="69" t="s">
        <v>73</v>
      </c>
      <c r="O12" s="70" t="s">
        <v>283</v>
      </c>
      <c r="P12" s="31"/>
      <c r="Q12" s="31"/>
      <c r="R12" s="31"/>
      <c r="S12" s="68"/>
      <c r="T12" s="29"/>
      <c r="U12" s="1"/>
      <c r="V12" s="1"/>
      <c r="W12" s="1"/>
      <c r="X12" s="1"/>
      <c r="Y12" s="1"/>
      <c r="Z12" s="1"/>
    </row>
    <row r="13">
      <c r="A13" s="1"/>
      <c r="B13" s="31">
        <v>8.0</v>
      </c>
      <c r="C13" s="68" t="s">
        <v>278</v>
      </c>
      <c r="D13" s="31" t="s">
        <v>290</v>
      </c>
      <c r="E13" s="29"/>
      <c r="F13" s="31" t="s">
        <v>280</v>
      </c>
      <c r="G13" s="31">
        <v>4.0</v>
      </c>
      <c r="H13" s="29"/>
      <c r="I13" s="68" t="s">
        <v>282</v>
      </c>
      <c r="J13" s="31" t="s">
        <v>290</v>
      </c>
      <c r="K13" s="29"/>
      <c r="L13" s="69" t="s">
        <v>280</v>
      </c>
      <c r="M13" s="69">
        <v>4.0</v>
      </c>
      <c r="N13" s="69" t="s">
        <v>73</v>
      </c>
      <c r="O13" s="70" t="s">
        <v>283</v>
      </c>
      <c r="P13" s="29"/>
      <c r="Q13" s="29"/>
      <c r="R13" s="29"/>
      <c r="S13" s="29"/>
      <c r="T13" s="29"/>
      <c r="U13" s="1"/>
      <c r="V13" s="1"/>
      <c r="W13" s="1"/>
      <c r="X13" s="1"/>
      <c r="Y13" s="1"/>
      <c r="Z13" s="1"/>
    </row>
    <row r="14">
      <c r="A14" s="1"/>
      <c r="B14" s="31">
        <v>9.0</v>
      </c>
      <c r="C14" s="68" t="s">
        <v>278</v>
      </c>
      <c r="D14" s="31" t="s">
        <v>291</v>
      </c>
      <c r="E14" s="29"/>
      <c r="F14" s="31" t="s">
        <v>280</v>
      </c>
      <c r="G14" s="31">
        <v>8.0</v>
      </c>
      <c r="H14" s="29"/>
      <c r="I14" s="68" t="s">
        <v>282</v>
      </c>
      <c r="J14" s="31" t="s">
        <v>291</v>
      </c>
      <c r="K14" s="29"/>
      <c r="L14" s="69" t="s">
        <v>280</v>
      </c>
      <c r="M14" s="69">
        <v>8.0</v>
      </c>
      <c r="N14" s="69" t="s">
        <v>73</v>
      </c>
      <c r="O14" s="70" t="s">
        <v>283</v>
      </c>
      <c r="P14" s="29"/>
      <c r="Q14" s="29"/>
      <c r="R14" s="29"/>
      <c r="S14" s="29"/>
      <c r="T14" s="29"/>
      <c r="U14" s="1"/>
      <c r="V14" s="1"/>
      <c r="W14" s="1"/>
      <c r="X14" s="1"/>
      <c r="Y14" s="1"/>
      <c r="Z14" s="1"/>
    </row>
    <row r="15">
      <c r="A15" s="1"/>
      <c r="B15" s="31">
        <v>10.0</v>
      </c>
      <c r="C15" s="68" t="s">
        <v>278</v>
      </c>
      <c r="D15" s="31" t="s">
        <v>292</v>
      </c>
      <c r="E15" s="29"/>
      <c r="F15" s="31" t="s">
        <v>280</v>
      </c>
      <c r="G15" s="31" t="s">
        <v>73</v>
      </c>
      <c r="H15" s="29"/>
      <c r="I15" s="68" t="s">
        <v>282</v>
      </c>
      <c r="J15" s="31" t="s">
        <v>292</v>
      </c>
      <c r="K15" s="29"/>
      <c r="L15" s="69" t="s">
        <v>280</v>
      </c>
      <c r="M15" s="69" t="s">
        <v>73</v>
      </c>
      <c r="N15" s="69" t="s">
        <v>73</v>
      </c>
      <c r="O15" s="70" t="s">
        <v>283</v>
      </c>
      <c r="P15" s="29"/>
      <c r="Q15" s="29"/>
      <c r="R15" s="29"/>
      <c r="S15" s="29"/>
      <c r="T15" s="29"/>
      <c r="U15" s="1"/>
      <c r="V15" s="1"/>
      <c r="W15" s="1"/>
      <c r="X15" s="1"/>
      <c r="Y15" s="1"/>
      <c r="Z15" s="1"/>
    </row>
    <row r="16">
      <c r="A16" s="1"/>
      <c r="B16" s="31">
        <v>11.0</v>
      </c>
      <c r="C16" s="68" t="s">
        <v>278</v>
      </c>
      <c r="D16" s="31" t="s">
        <v>103</v>
      </c>
      <c r="E16" s="29"/>
      <c r="F16" s="31" t="s">
        <v>293</v>
      </c>
      <c r="G16" s="31">
        <v>8.0</v>
      </c>
      <c r="H16" s="29"/>
      <c r="I16" s="68" t="s">
        <v>282</v>
      </c>
      <c r="J16" s="31" t="s">
        <v>103</v>
      </c>
      <c r="K16" s="29"/>
      <c r="L16" s="69" t="s">
        <v>293</v>
      </c>
      <c r="M16" s="69">
        <v>8.0</v>
      </c>
      <c r="N16" s="69" t="s">
        <v>73</v>
      </c>
      <c r="O16" s="70" t="s">
        <v>283</v>
      </c>
      <c r="P16" s="29"/>
      <c r="Q16" s="29"/>
      <c r="R16" s="29"/>
      <c r="S16" s="29"/>
      <c r="T16" s="29"/>
      <c r="U16" s="1"/>
      <c r="V16" s="1"/>
      <c r="W16" s="1"/>
      <c r="X16" s="1"/>
      <c r="Y16" s="1"/>
      <c r="Z16" s="1"/>
    </row>
    <row r="17">
      <c r="A17" s="1"/>
      <c r="B17" s="31">
        <v>12.0</v>
      </c>
      <c r="C17" s="68" t="s">
        <v>278</v>
      </c>
      <c r="D17" s="31" t="s">
        <v>294</v>
      </c>
      <c r="E17" s="29"/>
      <c r="F17" s="31" t="s">
        <v>293</v>
      </c>
      <c r="G17" s="31">
        <v>8.0</v>
      </c>
      <c r="H17" s="29"/>
      <c r="I17" s="68" t="s">
        <v>282</v>
      </c>
      <c r="J17" s="31" t="s">
        <v>294</v>
      </c>
      <c r="K17" s="29"/>
      <c r="L17" s="69" t="s">
        <v>293</v>
      </c>
      <c r="M17" s="69">
        <v>8.0</v>
      </c>
      <c r="N17" s="69" t="s">
        <v>73</v>
      </c>
      <c r="O17" s="70" t="s">
        <v>283</v>
      </c>
      <c r="P17" s="29"/>
      <c r="Q17" s="29"/>
      <c r="R17" s="29"/>
      <c r="S17" s="29"/>
      <c r="T17" s="29"/>
      <c r="U17" s="1"/>
      <c r="V17" s="1"/>
      <c r="W17" s="1"/>
      <c r="X17" s="1"/>
      <c r="Y17" s="1"/>
      <c r="Z17" s="1"/>
    </row>
    <row r="18">
      <c r="A18" s="1"/>
      <c r="B18" s="31">
        <v>13.0</v>
      </c>
      <c r="C18" s="68" t="s">
        <v>278</v>
      </c>
      <c r="D18" s="31" t="s">
        <v>295</v>
      </c>
      <c r="E18" s="29"/>
      <c r="F18" s="31" t="s">
        <v>293</v>
      </c>
      <c r="G18" s="31" t="s">
        <v>73</v>
      </c>
      <c r="H18" s="29"/>
      <c r="I18" s="68" t="s">
        <v>282</v>
      </c>
      <c r="J18" s="31" t="s">
        <v>295</v>
      </c>
      <c r="K18" s="29"/>
      <c r="L18" s="69" t="s">
        <v>293</v>
      </c>
      <c r="M18" s="69" t="s">
        <v>73</v>
      </c>
      <c r="N18" s="69" t="s">
        <v>73</v>
      </c>
      <c r="O18" s="70" t="s">
        <v>283</v>
      </c>
      <c r="P18" s="29"/>
      <c r="Q18" s="29"/>
      <c r="R18" s="29"/>
      <c r="S18" s="29"/>
      <c r="T18" s="29"/>
      <c r="U18" s="1"/>
      <c r="V18" s="1"/>
      <c r="W18" s="1"/>
      <c r="X18" s="1"/>
      <c r="Y18" s="1"/>
      <c r="Z18" s="1"/>
    </row>
    <row r="19">
      <c r="A19" s="1"/>
      <c r="B19" s="31">
        <v>14.0</v>
      </c>
      <c r="C19" s="68" t="s">
        <v>278</v>
      </c>
      <c r="D19" s="31" t="s">
        <v>296</v>
      </c>
      <c r="E19" s="29"/>
      <c r="F19" s="31" t="s">
        <v>293</v>
      </c>
      <c r="G19" s="31" t="s">
        <v>73</v>
      </c>
      <c r="H19" s="29"/>
      <c r="I19" s="68" t="s">
        <v>282</v>
      </c>
      <c r="J19" s="31" t="s">
        <v>296</v>
      </c>
      <c r="K19" s="29"/>
      <c r="L19" s="69" t="s">
        <v>293</v>
      </c>
      <c r="M19" s="69" t="s">
        <v>73</v>
      </c>
      <c r="N19" s="69" t="s">
        <v>73</v>
      </c>
      <c r="O19" s="70" t="s">
        <v>283</v>
      </c>
      <c r="P19" s="29"/>
      <c r="Q19" s="29"/>
      <c r="R19" s="29"/>
      <c r="S19" s="29"/>
      <c r="T19" s="29"/>
      <c r="U19" s="1"/>
      <c r="V19" s="1"/>
      <c r="W19" s="1"/>
      <c r="X19" s="1"/>
      <c r="Y19" s="1"/>
      <c r="Z19" s="1"/>
    </row>
    <row r="20">
      <c r="A20" s="1"/>
      <c r="B20" s="31">
        <v>15.0</v>
      </c>
      <c r="C20" s="68" t="s">
        <v>278</v>
      </c>
      <c r="D20" s="31" t="s">
        <v>297</v>
      </c>
      <c r="E20" s="29"/>
      <c r="F20" s="31" t="s">
        <v>293</v>
      </c>
      <c r="G20" s="31">
        <v>8.0</v>
      </c>
      <c r="H20" s="29"/>
      <c r="I20" s="68" t="s">
        <v>282</v>
      </c>
      <c r="J20" s="31" t="s">
        <v>297</v>
      </c>
      <c r="K20" s="29"/>
      <c r="L20" s="69" t="s">
        <v>293</v>
      </c>
      <c r="M20" s="69">
        <v>8.0</v>
      </c>
      <c r="N20" s="69" t="s">
        <v>73</v>
      </c>
      <c r="O20" s="70" t="s">
        <v>283</v>
      </c>
      <c r="P20" s="29"/>
      <c r="Q20" s="29"/>
      <c r="R20" s="29"/>
      <c r="S20" s="29"/>
      <c r="T20" s="29"/>
      <c r="U20" s="1"/>
      <c r="V20" s="1"/>
      <c r="W20" s="1"/>
      <c r="X20" s="1"/>
      <c r="Y20" s="1"/>
      <c r="Z20" s="1"/>
    </row>
    <row r="21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"/>
      <c r="V21" s="1"/>
      <c r="W21" s="1"/>
      <c r="X21" s="1"/>
      <c r="Y21" s="1"/>
      <c r="Z21" s="1"/>
    </row>
    <row r="22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"/>
      <c r="V22" s="1"/>
      <c r="W22" s="1"/>
      <c r="X22" s="1"/>
      <c r="Y22" s="1"/>
      <c r="Z22" s="1"/>
    </row>
    <row r="23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"/>
      <c r="V23" s="1"/>
      <c r="W23" s="1"/>
      <c r="X23" s="1"/>
      <c r="Y23" s="1"/>
      <c r="Z23" s="1"/>
    </row>
    <row r="24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1"/>
      <c r="V24" s="1"/>
      <c r="W24" s="1"/>
      <c r="X24" s="1"/>
      <c r="Y24" s="1"/>
      <c r="Z24" s="1"/>
    </row>
    <row r="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1"/>
      <c r="V25" s="1"/>
      <c r="W25" s="1"/>
      <c r="X25" s="1"/>
      <c r="Y25" s="1"/>
      <c r="Z25" s="1"/>
    </row>
    <row r="26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"/>
      <c r="V26" s="1"/>
      <c r="W26" s="1"/>
      <c r="X26" s="1"/>
      <c r="Y26" s="1"/>
      <c r="Z26" s="1"/>
    </row>
    <row r="27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1"/>
      <c r="V27" s="1"/>
      <c r="W27" s="1"/>
      <c r="X27" s="1"/>
      <c r="Y27" s="1"/>
      <c r="Z27" s="1"/>
    </row>
    <row r="28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"/>
      <c r="V28" s="1"/>
      <c r="W28" s="1"/>
      <c r="X28" s="1"/>
      <c r="Y28" s="1"/>
      <c r="Z28" s="1"/>
    </row>
    <row r="29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"/>
      <c r="V29" s="1"/>
      <c r="W29" s="1"/>
      <c r="X29" s="1"/>
      <c r="Y29" s="1"/>
      <c r="Z29" s="1"/>
    </row>
    <row r="30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"/>
      <c r="V30" s="1"/>
      <c r="W30" s="1"/>
      <c r="X30" s="1"/>
      <c r="Y30" s="1"/>
      <c r="Z30" s="1"/>
    </row>
    <row r="31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1"/>
      <c r="V31" s="1"/>
      <c r="W31" s="1"/>
      <c r="X31" s="1"/>
      <c r="Y31" s="1"/>
      <c r="Z31" s="1"/>
    </row>
    <row r="32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"/>
      <c r="V32" s="1"/>
      <c r="W32" s="1"/>
      <c r="X32" s="1"/>
      <c r="Y32" s="1"/>
      <c r="Z32" s="1"/>
    </row>
    <row r="33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1"/>
      <c r="V33" s="1"/>
      <c r="W33" s="1"/>
      <c r="X33" s="1"/>
      <c r="Y33" s="1"/>
      <c r="Z33" s="1"/>
    </row>
    <row r="34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1"/>
      <c r="V34" s="1"/>
      <c r="W34" s="1"/>
      <c r="X34" s="1"/>
      <c r="Y34" s="1"/>
      <c r="Z34" s="1"/>
    </row>
    <row r="35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"/>
      <c r="V35" s="1"/>
      <c r="W35" s="1"/>
      <c r="X35" s="1"/>
      <c r="Y35" s="1"/>
      <c r="Z35" s="1"/>
    </row>
    <row r="36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1"/>
      <c r="V36" s="1"/>
      <c r="W36" s="1"/>
      <c r="X36" s="1"/>
      <c r="Y36" s="1"/>
      <c r="Z36" s="1"/>
    </row>
    <row r="37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1"/>
      <c r="V37" s="1"/>
      <c r="W37" s="1"/>
      <c r="X37" s="1"/>
      <c r="Y37" s="1"/>
      <c r="Z37" s="1"/>
    </row>
    <row r="38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1"/>
      <c r="V38" s="1"/>
      <c r="W38" s="1"/>
      <c r="X38" s="1"/>
      <c r="Y38" s="1"/>
      <c r="Z38" s="1"/>
    </row>
    <row r="39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1"/>
      <c r="V39" s="1"/>
      <c r="W39" s="1"/>
      <c r="X39" s="1"/>
      <c r="Y39" s="1"/>
      <c r="Z39" s="1"/>
    </row>
    <row r="40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1"/>
      <c r="V40" s="1"/>
      <c r="W40" s="1"/>
      <c r="X40" s="1"/>
      <c r="Y40" s="1"/>
      <c r="Z40" s="1"/>
    </row>
    <row r="41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1"/>
      <c r="V41" s="1"/>
      <c r="W41" s="1"/>
      <c r="X41" s="1"/>
      <c r="Y41" s="1"/>
      <c r="Z41" s="1"/>
    </row>
    <row r="42">
      <c r="A42" s="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1"/>
      <c r="V42" s="1"/>
      <c r="W42" s="1"/>
      <c r="X42" s="1"/>
      <c r="Y42" s="1"/>
      <c r="Z42" s="1"/>
    </row>
    <row r="43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1"/>
      <c r="V43" s="1"/>
      <c r="W43" s="1"/>
      <c r="X43" s="1"/>
      <c r="Y43" s="1"/>
      <c r="Z43" s="1"/>
    </row>
    <row r="44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1"/>
      <c r="V44" s="1"/>
      <c r="W44" s="1"/>
      <c r="X44" s="1"/>
      <c r="Y44" s="1"/>
      <c r="Z44" s="1"/>
    </row>
    <row r="45">
      <c r="A45" s="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1"/>
      <c r="V45" s="1"/>
      <c r="W45" s="1"/>
      <c r="X45" s="1"/>
      <c r="Y45" s="1"/>
      <c r="Z45" s="1"/>
    </row>
    <row r="46">
      <c r="A46" s="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1"/>
      <c r="V46" s="1"/>
      <c r="W46" s="1"/>
      <c r="X46" s="1"/>
      <c r="Y46" s="1"/>
      <c r="Z46" s="1"/>
    </row>
    <row r="47">
      <c r="A47" s="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1"/>
      <c r="V47" s="1"/>
      <c r="W47" s="1"/>
      <c r="X47" s="1"/>
      <c r="Y47" s="1"/>
      <c r="Z47" s="1"/>
    </row>
    <row r="48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" t="s">
        <v>298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0" t="s">
        <v>299</v>
      </c>
      <c r="C51" s="60">
        <v>7.0</v>
      </c>
      <c r="D51" s="61"/>
      <c r="E51" s="61"/>
      <c r="F51" s="61"/>
      <c r="G51" s="6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60" t="s">
        <v>300</v>
      </c>
      <c r="C52" s="60">
        <v>3.0</v>
      </c>
      <c r="D52" s="60" t="s">
        <v>301</v>
      </c>
      <c r="E52" s="60">
        <v>1.0</v>
      </c>
      <c r="F52" s="60" t="s">
        <v>302</v>
      </c>
      <c r="G52" s="60">
        <v>3.0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7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7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7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7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72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7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7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72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7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72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H8:H20 H21:I48 N21:N48">
      <formula1>"○,－"</formula1>
    </dataValidation>
    <dataValidation type="list" allowBlank="1" sqref="S6:S48">
      <formula1>"確定,確認中,未確定"</formula1>
    </dataValidation>
    <dataValidation type="list" allowBlank="1" sqref="O21:O48">
      <formula1>"直連携,変換,固定値,編集,対象外,TBD"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6.0"/>
    <col customWidth="1" min="3" max="3" width="28.0"/>
    <col customWidth="1" min="4" max="4" width="8.0"/>
    <col customWidth="1" min="5" max="5" width="6.0"/>
    <col customWidth="1" min="6" max="7" width="18.0"/>
    <col customWidth="1" min="8" max="8" width="10.0"/>
    <col customWidth="1" min="9" max="9" width="8.0"/>
    <col customWidth="1" min="10" max="10" width="22.0"/>
    <col customWidth="1" min="11" max="11" width="18.0"/>
    <col customWidth="1" min="12" max="12" width="16.0"/>
    <col customWidth="1" min="13" max="13" width="10.0"/>
    <col customWidth="1" min="14" max="14" width="8.0"/>
    <col customWidth="1" min="15" max="15" width="14.0"/>
    <col customWidth="1" min="16" max="16" width="28.0"/>
  </cols>
  <sheetData>
    <row r="1" ht="24.0" customHeight="1">
      <c r="A1" s="1"/>
      <c r="B1" s="2" t="s">
        <v>303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"/>
      <c r="B2" s="67" t="s">
        <v>237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73" t="s">
        <v>304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"/>
      <c r="B5" s="5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28" t="s">
        <v>264</v>
      </c>
      <c r="C7" s="28" t="s">
        <v>265</v>
      </c>
      <c r="D7" s="28" t="s">
        <v>266</v>
      </c>
      <c r="E7" s="28" t="s">
        <v>267</v>
      </c>
      <c r="F7" s="28" t="s">
        <v>268</v>
      </c>
      <c r="G7" s="28" t="s">
        <v>269</v>
      </c>
      <c r="H7" s="28" t="s">
        <v>270</v>
      </c>
      <c r="I7" s="28" t="s">
        <v>271</v>
      </c>
      <c r="J7" s="28" t="s">
        <v>272</v>
      </c>
      <c r="K7" s="28" t="s">
        <v>267</v>
      </c>
      <c r="L7" s="28" t="s">
        <v>268</v>
      </c>
      <c r="M7" s="28" t="s">
        <v>269</v>
      </c>
      <c r="N7" s="28" t="s">
        <v>270</v>
      </c>
      <c r="O7" s="28" t="s">
        <v>273</v>
      </c>
      <c r="P7" s="28" t="s">
        <v>70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P2"/>
  </mergeCells>
  <printOptions/>
  <pageMargins bottom="0.5" footer="0.0" header="0.0" left="0.5" right="0.5" top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6.0"/>
    <col customWidth="1" min="3" max="3" width="34.14"/>
    <col customWidth="1" min="4" max="4" width="16.29"/>
    <col customWidth="1" min="5" max="5" width="6.0"/>
    <col customWidth="1" min="6" max="7" width="18.0"/>
    <col customWidth="1" min="8" max="8" width="10.0"/>
    <col customWidth="1" min="9" max="9" width="31.43"/>
    <col customWidth="1" min="10" max="10" width="22.0"/>
    <col customWidth="1" min="11" max="11" width="18.0"/>
    <col customWidth="1" min="12" max="12" width="16.0"/>
    <col customWidth="1" min="13" max="13" width="10.0"/>
    <col customWidth="1" min="14" max="14" width="8.0"/>
    <col customWidth="1" min="15" max="15" width="14.0"/>
    <col customWidth="1" min="16" max="16" width="28.0"/>
  </cols>
  <sheetData>
    <row r="1" ht="24.0" customHeight="1">
      <c r="A1" s="1"/>
      <c r="B1" s="2" t="s">
        <v>305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9.75" customHeight="1">
      <c r="A2" s="1"/>
      <c r="B2" s="74" t="s">
        <v>306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"/>
      <c r="B3" s="53" t="s">
        <v>307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1"/>
      <c r="B5" s="28" t="s">
        <v>264</v>
      </c>
      <c r="C5" s="28" t="s">
        <v>265</v>
      </c>
      <c r="D5" s="28" t="s">
        <v>266</v>
      </c>
      <c r="E5" s="28" t="s">
        <v>267</v>
      </c>
      <c r="F5" s="28" t="s">
        <v>268</v>
      </c>
      <c r="G5" s="28" t="s">
        <v>269</v>
      </c>
      <c r="H5" s="28" t="s">
        <v>270</v>
      </c>
      <c r="I5" s="28" t="s">
        <v>271</v>
      </c>
      <c r="J5" s="28" t="s">
        <v>272</v>
      </c>
      <c r="K5" s="28" t="s">
        <v>267</v>
      </c>
      <c r="L5" s="28" t="s">
        <v>268</v>
      </c>
      <c r="M5" s="28" t="s">
        <v>269</v>
      </c>
      <c r="N5" s="28" t="s">
        <v>270</v>
      </c>
      <c r="O5" s="28" t="s">
        <v>273</v>
      </c>
      <c r="P5" s="28" t="s">
        <v>70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69">
        <v>1.0</v>
      </c>
      <c r="C6" s="69" t="s">
        <v>282</v>
      </c>
      <c r="D6" s="69" t="s">
        <v>279</v>
      </c>
      <c r="E6" s="69" t="s">
        <v>168</v>
      </c>
      <c r="F6" s="69" t="s">
        <v>280</v>
      </c>
      <c r="G6" s="69">
        <v>6.0</v>
      </c>
      <c r="H6" s="69" t="s">
        <v>281</v>
      </c>
      <c r="I6" s="69" t="s">
        <v>308</v>
      </c>
      <c r="J6" s="69" t="s">
        <v>279</v>
      </c>
      <c r="K6" s="69" t="s">
        <v>168</v>
      </c>
      <c r="L6" s="69" t="s">
        <v>280</v>
      </c>
      <c r="M6" s="69">
        <v>6.0</v>
      </c>
      <c r="N6" s="69" t="s">
        <v>281</v>
      </c>
      <c r="O6" s="70" t="s">
        <v>283</v>
      </c>
      <c r="P6" s="75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69">
        <v>2.0</v>
      </c>
      <c r="C7" s="69" t="s">
        <v>282</v>
      </c>
      <c r="D7" s="69" t="s">
        <v>284</v>
      </c>
      <c r="E7" s="69" t="s">
        <v>168</v>
      </c>
      <c r="F7" s="69" t="s">
        <v>285</v>
      </c>
      <c r="G7" s="69">
        <v>8.0</v>
      </c>
      <c r="H7" s="69" t="s">
        <v>73</v>
      </c>
      <c r="I7" s="69" t="s">
        <v>308</v>
      </c>
      <c r="J7" s="69" t="s">
        <v>284</v>
      </c>
      <c r="K7" s="69" t="s">
        <v>168</v>
      </c>
      <c r="L7" s="69" t="s">
        <v>285</v>
      </c>
      <c r="M7" s="69">
        <v>8.0</v>
      </c>
      <c r="N7" s="69" t="s">
        <v>73</v>
      </c>
      <c r="O7" s="70" t="s">
        <v>283</v>
      </c>
      <c r="P7" s="75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69">
        <v>3.0</v>
      </c>
      <c r="C8" s="69" t="s">
        <v>282</v>
      </c>
      <c r="D8" s="69" t="s">
        <v>286</v>
      </c>
      <c r="E8" s="69" t="s">
        <v>168</v>
      </c>
      <c r="F8" s="69" t="s">
        <v>280</v>
      </c>
      <c r="G8" s="69">
        <v>13.0</v>
      </c>
      <c r="H8" s="69" t="s">
        <v>281</v>
      </c>
      <c r="I8" s="69" t="s">
        <v>308</v>
      </c>
      <c r="J8" s="69" t="s">
        <v>286</v>
      </c>
      <c r="K8" s="69" t="s">
        <v>168</v>
      </c>
      <c r="L8" s="69" t="s">
        <v>280</v>
      </c>
      <c r="M8" s="69">
        <v>13.0</v>
      </c>
      <c r="N8" s="69" t="s">
        <v>281</v>
      </c>
      <c r="O8" s="70" t="s">
        <v>283</v>
      </c>
      <c r="P8" s="75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69">
        <v>4.0</v>
      </c>
      <c r="C9" s="69" t="s">
        <v>282</v>
      </c>
      <c r="D9" s="69" t="s">
        <v>108</v>
      </c>
      <c r="E9" s="69" t="s">
        <v>168</v>
      </c>
      <c r="F9" s="69" t="s">
        <v>285</v>
      </c>
      <c r="G9" s="69">
        <v>8.0</v>
      </c>
      <c r="H9" s="69" t="s">
        <v>281</v>
      </c>
      <c r="I9" s="69" t="s">
        <v>308</v>
      </c>
      <c r="J9" s="69" t="s">
        <v>108</v>
      </c>
      <c r="K9" s="69" t="s">
        <v>168</v>
      </c>
      <c r="L9" s="69" t="s">
        <v>285</v>
      </c>
      <c r="M9" s="69">
        <v>8.0</v>
      </c>
      <c r="N9" s="69" t="s">
        <v>281</v>
      </c>
      <c r="O9" s="70" t="s">
        <v>283</v>
      </c>
      <c r="P9" s="75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69">
        <v>5.0</v>
      </c>
      <c r="C10" s="69" t="s">
        <v>282</v>
      </c>
      <c r="D10" s="69" t="s">
        <v>287</v>
      </c>
      <c r="E10" s="69" t="s">
        <v>168</v>
      </c>
      <c r="F10" s="69" t="s">
        <v>280</v>
      </c>
      <c r="G10" s="69">
        <v>2.0</v>
      </c>
      <c r="H10" s="69" t="s">
        <v>281</v>
      </c>
      <c r="I10" s="69" t="s">
        <v>308</v>
      </c>
      <c r="J10" s="69" t="s">
        <v>287</v>
      </c>
      <c r="K10" s="69" t="s">
        <v>168</v>
      </c>
      <c r="L10" s="69" t="s">
        <v>280</v>
      </c>
      <c r="M10" s="69">
        <v>2.0</v>
      </c>
      <c r="N10" s="69" t="s">
        <v>281</v>
      </c>
      <c r="O10" s="70" t="s">
        <v>283</v>
      </c>
      <c r="P10" s="7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69">
        <v>6.0</v>
      </c>
      <c r="C11" s="69" t="s">
        <v>282</v>
      </c>
      <c r="D11" s="69" t="s">
        <v>288</v>
      </c>
      <c r="E11" s="69" t="s">
        <v>168</v>
      </c>
      <c r="F11" s="69" t="s">
        <v>280</v>
      </c>
      <c r="G11" s="69">
        <v>9.0</v>
      </c>
      <c r="H11" s="69" t="s">
        <v>281</v>
      </c>
      <c r="I11" s="69" t="s">
        <v>308</v>
      </c>
      <c r="J11" s="69" t="s">
        <v>288</v>
      </c>
      <c r="K11" s="69" t="s">
        <v>168</v>
      </c>
      <c r="L11" s="69" t="s">
        <v>280</v>
      </c>
      <c r="M11" s="69">
        <v>9.0</v>
      </c>
      <c r="N11" s="69" t="s">
        <v>281</v>
      </c>
      <c r="O11" s="70" t="s">
        <v>283</v>
      </c>
      <c r="P11" s="7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69">
        <v>7.0</v>
      </c>
      <c r="C12" s="69" t="s">
        <v>282</v>
      </c>
      <c r="D12" s="69" t="s">
        <v>289</v>
      </c>
      <c r="E12" s="69" t="s">
        <v>168</v>
      </c>
      <c r="F12" s="69" t="s">
        <v>280</v>
      </c>
      <c r="G12" s="69">
        <v>2.0</v>
      </c>
      <c r="H12" s="69" t="s">
        <v>73</v>
      </c>
      <c r="I12" s="69" t="s">
        <v>308</v>
      </c>
      <c r="J12" s="69" t="s">
        <v>289</v>
      </c>
      <c r="K12" s="69" t="s">
        <v>168</v>
      </c>
      <c r="L12" s="69" t="s">
        <v>280</v>
      </c>
      <c r="M12" s="69">
        <v>2.0</v>
      </c>
      <c r="N12" s="69" t="s">
        <v>73</v>
      </c>
      <c r="O12" s="70" t="s">
        <v>283</v>
      </c>
      <c r="P12" s="7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69">
        <v>8.0</v>
      </c>
      <c r="C13" s="69" t="s">
        <v>282</v>
      </c>
      <c r="D13" s="69" t="s">
        <v>290</v>
      </c>
      <c r="E13" s="69" t="s">
        <v>168</v>
      </c>
      <c r="F13" s="69" t="s">
        <v>280</v>
      </c>
      <c r="G13" s="69">
        <v>4.0</v>
      </c>
      <c r="H13" s="69" t="s">
        <v>73</v>
      </c>
      <c r="I13" s="69" t="s">
        <v>308</v>
      </c>
      <c r="J13" s="69" t="s">
        <v>290</v>
      </c>
      <c r="K13" s="69" t="s">
        <v>168</v>
      </c>
      <c r="L13" s="69" t="s">
        <v>280</v>
      </c>
      <c r="M13" s="69">
        <v>4.0</v>
      </c>
      <c r="N13" s="69" t="s">
        <v>73</v>
      </c>
      <c r="O13" s="70" t="s">
        <v>283</v>
      </c>
      <c r="P13" s="7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69">
        <v>9.0</v>
      </c>
      <c r="C14" s="69" t="s">
        <v>282</v>
      </c>
      <c r="D14" s="69" t="s">
        <v>291</v>
      </c>
      <c r="E14" s="69" t="s">
        <v>168</v>
      </c>
      <c r="F14" s="69" t="s">
        <v>280</v>
      </c>
      <c r="G14" s="69">
        <v>8.0</v>
      </c>
      <c r="H14" s="69" t="s">
        <v>73</v>
      </c>
      <c r="I14" s="69" t="s">
        <v>308</v>
      </c>
      <c r="J14" s="69" t="s">
        <v>291</v>
      </c>
      <c r="K14" s="69" t="s">
        <v>168</v>
      </c>
      <c r="L14" s="69" t="s">
        <v>280</v>
      </c>
      <c r="M14" s="69">
        <v>8.0</v>
      </c>
      <c r="N14" s="69" t="s">
        <v>73</v>
      </c>
      <c r="O14" s="70" t="s">
        <v>283</v>
      </c>
      <c r="P14" s="7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69">
        <v>10.0</v>
      </c>
      <c r="C15" s="69" t="s">
        <v>282</v>
      </c>
      <c r="D15" s="69" t="s">
        <v>292</v>
      </c>
      <c r="E15" s="69" t="s">
        <v>168</v>
      </c>
      <c r="F15" s="69" t="s">
        <v>280</v>
      </c>
      <c r="G15" s="69" t="s">
        <v>73</v>
      </c>
      <c r="H15" s="69" t="s">
        <v>73</v>
      </c>
      <c r="I15" s="69" t="s">
        <v>308</v>
      </c>
      <c r="J15" s="69" t="s">
        <v>292</v>
      </c>
      <c r="K15" s="69" t="s">
        <v>168</v>
      </c>
      <c r="L15" s="69" t="s">
        <v>280</v>
      </c>
      <c r="M15" s="69" t="s">
        <v>73</v>
      </c>
      <c r="N15" s="69" t="s">
        <v>73</v>
      </c>
      <c r="O15" s="70" t="s">
        <v>283</v>
      </c>
      <c r="P15" s="7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69">
        <v>11.0</v>
      </c>
      <c r="C16" s="69" t="s">
        <v>282</v>
      </c>
      <c r="D16" s="69" t="s">
        <v>103</v>
      </c>
      <c r="E16" s="69" t="s">
        <v>168</v>
      </c>
      <c r="F16" s="69" t="s">
        <v>293</v>
      </c>
      <c r="G16" s="69">
        <v>8.0</v>
      </c>
      <c r="H16" s="69" t="s">
        <v>73</v>
      </c>
      <c r="I16" s="69" t="s">
        <v>308</v>
      </c>
      <c r="J16" s="69" t="s">
        <v>103</v>
      </c>
      <c r="K16" s="69" t="s">
        <v>168</v>
      </c>
      <c r="L16" s="69" t="s">
        <v>293</v>
      </c>
      <c r="M16" s="69">
        <v>8.0</v>
      </c>
      <c r="N16" s="69" t="s">
        <v>73</v>
      </c>
      <c r="O16" s="70" t="s">
        <v>283</v>
      </c>
      <c r="P16" s="7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69">
        <v>12.0</v>
      </c>
      <c r="C17" s="69" t="s">
        <v>282</v>
      </c>
      <c r="D17" s="69" t="s">
        <v>294</v>
      </c>
      <c r="E17" s="69" t="s">
        <v>168</v>
      </c>
      <c r="F17" s="69" t="s">
        <v>293</v>
      </c>
      <c r="G17" s="69">
        <v>8.0</v>
      </c>
      <c r="H17" s="69" t="s">
        <v>73</v>
      </c>
      <c r="I17" s="69" t="s">
        <v>308</v>
      </c>
      <c r="J17" s="69" t="s">
        <v>294</v>
      </c>
      <c r="K17" s="69" t="s">
        <v>168</v>
      </c>
      <c r="L17" s="69" t="s">
        <v>293</v>
      </c>
      <c r="M17" s="69">
        <v>8.0</v>
      </c>
      <c r="N17" s="69" t="s">
        <v>73</v>
      </c>
      <c r="O17" s="70" t="s">
        <v>283</v>
      </c>
      <c r="P17" s="7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69">
        <v>13.0</v>
      </c>
      <c r="C18" s="69" t="s">
        <v>282</v>
      </c>
      <c r="D18" s="69" t="s">
        <v>295</v>
      </c>
      <c r="E18" s="69" t="s">
        <v>168</v>
      </c>
      <c r="F18" s="69" t="s">
        <v>293</v>
      </c>
      <c r="G18" s="69" t="s">
        <v>73</v>
      </c>
      <c r="H18" s="69" t="s">
        <v>73</v>
      </c>
      <c r="I18" s="69" t="s">
        <v>308</v>
      </c>
      <c r="J18" s="69" t="s">
        <v>295</v>
      </c>
      <c r="K18" s="69" t="s">
        <v>168</v>
      </c>
      <c r="L18" s="69" t="s">
        <v>293</v>
      </c>
      <c r="M18" s="69" t="s">
        <v>73</v>
      </c>
      <c r="N18" s="69" t="s">
        <v>73</v>
      </c>
      <c r="O18" s="70" t="s">
        <v>283</v>
      </c>
      <c r="P18" s="7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69">
        <v>14.0</v>
      </c>
      <c r="C19" s="69" t="s">
        <v>282</v>
      </c>
      <c r="D19" s="69" t="s">
        <v>296</v>
      </c>
      <c r="E19" s="69" t="s">
        <v>168</v>
      </c>
      <c r="F19" s="69" t="s">
        <v>293</v>
      </c>
      <c r="G19" s="69" t="s">
        <v>73</v>
      </c>
      <c r="H19" s="69" t="s">
        <v>73</v>
      </c>
      <c r="I19" s="69" t="s">
        <v>308</v>
      </c>
      <c r="J19" s="69" t="s">
        <v>296</v>
      </c>
      <c r="K19" s="69" t="s">
        <v>168</v>
      </c>
      <c r="L19" s="69" t="s">
        <v>293</v>
      </c>
      <c r="M19" s="69" t="s">
        <v>73</v>
      </c>
      <c r="N19" s="69" t="s">
        <v>73</v>
      </c>
      <c r="O19" s="70" t="s">
        <v>283</v>
      </c>
      <c r="P19" s="7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69">
        <v>15.0</v>
      </c>
      <c r="C20" s="69" t="s">
        <v>282</v>
      </c>
      <c r="D20" s="69" t="s">
        <v>297</v>
      </c>
      <c r="E20" s="69" t="s">
        <v>168</v>
      </c>
      <c r="F20" s="69" t="s">
        <v>293</v>
      </c>
      <c r="G20" s="69">
        <v>8.0</v>
      </c>
      <c r="H20" s="69" t="s">
        <v>73</v>
      </c>
      <c r="I20" s="69" t="s">
        <v>308</v>
      </c>
      <c r="J20" s="69" t="s">
        <v>297</v>
      </c>
      <c r="K20" s="69" t="s">
        <v>168</v>
      </c>
      <c r="L20" s="69" t="s">
        <v>293</v>
      </c>
      <c r="M20" s="69">
        <v>8.0</v>
      </c>
      <c r="N20" s="69" t="s">
        <v>73</v>
      </c>
      <c r="O20" s="70" t="s">
        <v>283</v>
      </c>
      <c r="P20" s="75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P2"/>
    <mergeCell ref="B3:P3"/>
  </mergeCells>
  <printOptions/>
  <pageMargins bottom="0.5" footer="0.0" header="0.0" left="0.5" right="0.5" top="0.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D69B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6.0"/>
    <col customWidth="1" min="3" max="3" width="24.71"/>
    <col customWidth="1" min="4" max="4" width="8.0"/>
    <col customWidth="1" min="5" max="5" width="9.29"/>
    <col customWidth="1" min="6" max="7" width="18.0"/>
    <col customWidth="1" min="8" max="8" width="10.0"/>
    <col customWidth="1" min="9" max="9" width="21.57"/>
    <col customWidth="1" min="10" max="10" width="22.0"/>
    <col customWidth="1" hidden="1" min="11" max="11" width="18.0" outlineLevel="1"/>
    <col customWidth="1" hidden="1" min="12" max="12" width="16.0" outlineLevel="1"/>
    <col customWidth="1" hidden="1" min="13" max="13" width="10.0" outlineLevel="1"/>
    <col customWidth="1" hidden="1" min="14" max="14" width="8.0" outlineLevel="1"/>
    <col customWidth="1" hidden="1" min="15" max="15" width="14.0" outlineLevel="1"/>
    <col collapsed="1" customWidth="1" min="16" max="16" width="28.0"/>
    <col customWidth="1" min="17" max="19" width="8.71"/>
    <col customWidth="1" min="20" max="20" width="31.86"/>
  </cols>
  <sheetData>
    <row r="1">
      <c r="A1" s="1"/>
      <c r="B1" s="76" t="s">
        <v>309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8" t="s">
        <v>264</v>
      </c>
      <c r="C5" s="28" t="s">
        <v>265</v>
      </c>
      <c r="D5" s="28" t="s">
        <v>266</v>
      </c>
      <c r="E5" s="28" t="s">
        <v>267</v>
      </c>
      <c r="F5" s="28" t="s">
        <v>268</v>
      </c>
      <c r="G5" s="28" t="s">
        <v>269</v>
      </c>
      <c r="H5" s="28" t="s">
        <v>270</v>
      </c>
      <c r="I5" s="28" t="s">
        <v>271</v>
      </c>
      <c r="J5" s="28" t="s">
        <v>272</v>
      </c>
      <c r="K5" s="28" t="s">
        <v>267</v>
      </c>
      <c r="L5" s="28" t="s">
        <v>268</v>
      </c>
      <c r="M5" s="28" t="s">
        <v>269</v>
      </c>
      <c r="N5" s="28" t="s">
        <v>270</v>
      </c>
      <c r="O5" s="28" t="s">
        <v>273</v>
      </c>
      <c r="P5" s="28" t="s">
        <v>274</v>
      </c>
      <c r="Q5" s="28" t="s">
        <v>275</v>
      </c>
      <c r="R5" s="28" t="s">
        <v>276</v>
      </c>
      <c r="S5" s="28" t="s">
        <v>277</v>
      </c>
      <c r="T5" s="28" t="s">
        <v>70</v>
      </c>
      <c r="U5" s="1"/>
      <c r="V5" s="1"/>
      <c r="W5" s="1"/>
      <c r="X5" s="1"/>
      <c r="Y5" s="1"/>
      <c r="Z5" s="1"/>
    </row>
    <row r="6">
      <c r="A6" s="1"/>
      <c r="B6" s="68">
        <v>1.0</v>
      </c>
      <c r="C6" s="68" t="s">
        <v>310</v>
      </c>
      <c r="D6" s="68" t="s">
        <v>93</v>
      </c>
      <c r="E6" s="68" t="s">
        <v>311</v>
      </c>
      <c r="F6" s="68" t="s">
        <v>312</v>
      </c>
      <c r="G6" s="68">
        <v>4.0</v>
      </c>
      <c r="H6" s="68" t="s">
        <v>281</v>
      </c>
      <c r="I6" s="68" t="s">
        <v>278</v>
      </c>
      <c r="J6" s="68" t="s">
        <v>279</v>
      </c>
      <c r="K6" s="29"/>
      <c r="L6" s="68" t="s">
        <v>312</v>
      </c>
      <c r="M6" s="68">
        <v>6.0</v>
      </c>
      <c r="N6" s="68" t="s">
        <v>281</v>
      </c>
      <c r="O6" s="68" t="s">
        <v>313</v>
      </c>
      <c r="P6" s="68" t="s">
        <v>314</v>
      </c>
      <c r="Q6" s="68" t="s">
        <v>315</v>
      </c>
      <c r="R6" s="68" t="s">
        <v>316</v>
      </c>
      <c r="S6" s="68" t="s">
        <v>300</v>
      </c>
      <c r="T6" s="68" t="s">
        <v>317</v>
      </c>
      <c r="U6" s="1"/>
      <c r="V6" s="1"/>
      <c r="W6" s="1"/>
      <c r="X6" s="1"/>
      <c r="Y6" s="1"/>
      <c r="Z6" s="1"/>
    </row>
    <row r="7">
      <c r="A7" s="1"/>
      <c r="B7" s="68">
        <v>2.0</v>
      </c>
      <c r="C7" s="68" t="s">
        <v>310</v>
      </c>
      <c r="D7" s="68" t="s">
        <v>97</v>
      </c>
      <c r="E7" s="68" t="s">
        <v>318</v>
      </c>
      <c r="F7" s="68" t="s">
        <v>312</v>
      </c>
      <c r="G7" s="68">
        <v>20.0</v>
      </c>
      <c r="H7" s="68" t="s">
        <v>281</v>
      </c>
      <c r="I7" s="68" t="s">
        <v>278</v>
      </c>
      <c r="J7" s="68" t="s">
        <v>286</v>
      </c>
      <c r="K7" s="29"/>
      <c r="L7" s="68" t="s">
        <v>312</v>
      </c>
      <c r="M7" s="68">
        <v>13.0</v>
      </c>
      <c r="N7" s="68" t="s">
        <v>281</v>
      </c>
      <c r="O7" s="68" t="s">
        <v>313</v>
      </c>
      <c r="P7" s="68" t="s">
        <v>319</v>
      </c>
      <c r="Q7" s="68" t="s">
        <v>320</v>
      </c>
      <c r="R7" s="68" t="s">
        <v>316</v>
      </c>
      <c r="S7" s="68" t="s">
        <v>300</v>
      </c>
      <c r="T7" s="68" t="s">
        <v>317</v>
      </c>
      <c r="U7" s="1"/>
      <c r="V7" s="1"/>
      <c r="W7" s="1"/>
      <c r="X7" s="1"/>
      <c r="Y7" s="1"/>
      <c r="Z7" s="1"/>
    </row>
    <row r="8">
      <c r="A8" s="1"/>
      <c r="B8" s="68">
        <v>3.0</v>
      </c>
      <c r="C8" s="68" t="s">
        <v>310</v>
      </c>
      <c r="D8" s="68" t="s">
        <v>104</v>
      </c>
      <c r="E8" s="68" t="s">
        <v>321</v>
      </c>
      <c r="F8" s="68" t="s">
        <v>322</v>
      </c>
      <c r="G8" s="68" t="s">
        <v>73</v>
      </c>
      <c r="H8" s="68" t="s">
        <v>281</v>
      </c>
      <c r="I8" s="68" t="s">
        <v>278</v>
      </c>
      <c r="J8" s="68" t="s">
        <v>103</v>
      </c>
      <c r="K8" s="29"/>
      <c r="L8" s="68" t="s">
        <v>323</v>
      </c>
      <c r="M8" s="68" t="s">
        <v>73</v>
      </c>
      <c r="N8" s="68" t="s">
        <v>281</v>
      </c>
      <c r="O8" s="68" t="s">
        <v>324</v>
      </c>
      <c r="P8" s="68" t="s">
        <v>325</v>
      </c>
      <c r="Q8" s="68" t="s">
        <v>326</v>
      </c>
      <c r="R8" s="68" t="s">
        <v>316</v>
      </c>
      <c r="S8" s="68" t="s">
        <v>300</v>
      </c>
      <c r="T8" s="29"/>
      <c r="U8" s="1"/>
      <c r="V8" s="1"/>
      <c r="W8" s="1"/>
      <c r="X8" s="1"/>
      <c r="Y8" s="1"/>
      <c r="Z8" s="1"/>
    </row>
    <row r="9">
      <c r="A9" s="1"/>
      <c r="B9" s="31">
        <v>4.0</v>
      </c>
      <c r="C9" s="68" t="s">
        <v>310</v>
      </c>
      <c r="D9" s="31" t="s">
        <v>100</v>
      </c>
      <c r="E9" s="29"/>
      <c r="F9" s="31" t="s">
        <v>312</v>
      </c>
      <c r="G9" s="31">
        <v>8.0</v>
      </c>
      <c r="H9" s="31" t="s">
        <v>281</v>
      </c>
      <c r="I9" s="68" t="s">
        <v>278</v>
      </c>
      <c r="J9" s="31" t="s">
        <v>288</v>
      </c>
      <c r="K9" s="29"/>
      <c r="L9" s="31" t="s">
        <v>312</v>
      </c>
      <c r="M9" s="31">
        <v>9.0</v>
      </c>
      <c r="N9" s="31" t="s">
        <v>281</v>
      </c>
      <c r="O9" s="31" t="s">
        <v>313</v>
      </c>
      <c r="P9" s="31" t="s">
        <v>327</v>
      </c>
      <c r="Q9" s="31" t="s">
        <v>328</v>
      </c>
      <c r="R9" s="31" t="s">
        <v>316</v>
      </c>
      <c r="S9" s="31" t="s">
        <v>300</v>
      </c>
      <c r="T9" s="31" t="s">
        <v>317</v>
      </c>
      <c r="U9" s="1"/>
      <c r="V9" s="1"/>
      <c r="W9" s="1"/>
      <c r="X9" s="1"/>
      <c r="Y9" s="1"/>
      <c r="Z9" s="1"/>
    </row>
    <row r="10">
      <c r="A10" s="1"/>
      <c r="B10" s="31">
        <v>5.0</v>
      </c>
      <c r="C10" s="68" t="s">
        <v>310</v>
      </c>
      <c r="D10" s="31" t="s">
        <v>108</v>
      </c>
      <c r="E10" s="31" t="s">
        <v>109</v>
      </c>
      <c r="F10" s="31" t="s">
        <v>312</v>
      </c>
      <c r="G10" s="31">
        <v>8.0</v>
      </c>
      <c r="H10" s="31" t="s">
        <v>281</v>
      </c>
      <c r="I10" s="68" t="s">
        <v>278</v>
      </c>
      <c r="J10" s="31" t="s">
        <v>108</v>
      </c>
      <c r="K10" s="29"/>
      <c r="L10" s="31" t="s">
        <v>312</v>
      </c>
      <c r="M10" s="31">
        <v>8.0</v>
      </c>
      <c r="N10" s="31" t="s">
        <v>281</v>
      </c>
      <c r="O10" s="31" t="s">
        <v>324</v>
      </c>
      <c r="P10" s="31" t="s">
        <v>329</v>
      </c>
      <c r="Q10" s="29"/>
      <c r="R10" s="31" t="s">
        <v>316</v>
      </c>
      <c r="S10" s="31" t="s">
        <v>300</v>
      </c>
      <c r="T10" s="29"/>
      <c r="U10" s="1"/>
      <c r="V10" s="1"/>
      <c r="W10" s="1"/>
      <c r="X10" s="1"/>
      <c r="Y10" s="1"/>
      <c r="Z10" s="1"/>
    </row>
    <row r="11">
      <c r="A11" s="1"/>
      <c r="B11" s="31">
        <v>6.0</v>
      </c>
      <c r="C11" s="68" t="s">
        <v>310</v>
      </c>
      <c r="D11" s="31" t="s">
        <v>137</v>
      </c>
      <c r="E11" s="29"/>
      <c r="F11" s="31" t="s">
        <v>312</v>
      </c>
      <c r="G11" s="31">
        <v>1.0</v>
      </c>
      <c r="H11" s="31" t="s">
        <v>281</v>
      </c>
      <c r="I11" s="31" t="s">
        <v>330</v>
      </c>
      <c r="J11" s="31" t="s">
        <v>331</v>
      </c>
      <c r="K11" s="31" t="s">
        <v>332</v>
      </c>
      <c r="L11" s="31" t="s">
        <v>73</v>
      </c>
      <c r="M11" s="31" t="s">
        <v>73</v>
      </c>
      <c r="N11" s="31" t="s">
        <v>281</v>
      </c>
      <c r="O11" s="31" t="s">
        <v>313</v>
      </c>
      <c r="P11" s="31" t="s">
        <v>333</v>
      </c>
      <c r="Q11" s="31" t="s">
        <v>334</v>
      </c>
      <c r="R11" s="31" t="s">
        <v>316</v>
      </c>
      <c r="S11" s="31" t="s">
        <v>300</v>
      </c>
      <c r="T11" s="31" t="s">
        <v>335</v>
      </c>
      <c r="U11" s="1"/>
      <c r="V11" s="1"/>
      <c r="W11" s="1"/>
      <c r="X11" s="1"/>
      <c r="Y11" s="1"/>
      <c r="Z11" s="1"/>
    </row>
    <row r="12">
      <c r="A12" s="1"/>
      <c r="B12" s="31">
        <v>7.0</v>
      </c>
      <c r="C12" s="68" t="s">
        <v>310</v>
      </c>
      <c r="D12" s="31" t="s">
        <v>148</v>
      </c>
      <c r="E12" s="29"/>
      <c r="F12" s="31" t="s">
        <v>312</v>
      </c>
      <c r="G12" s="31">
        <v>8.0</v>
      </c>
      <c r="H12" s="31" t="s">
        <v>281</v>
      </c>
      <c r="I12" s="68" t="s">
        <v>278</v>
      </c>
      <c r="J12" s="31" t="s">
        <v>147</v>
      </c>
      <c r="K12" s="29"/>
      <c r="L12" s="31" t="s">
        <v>312</v>
      </c>
      <c r="M12" s="31">
        <v>8.0</v>
      </c>
      <c r="N12" s="31" t="s">
        <v>336</v>
      </c>
      <c r="O12" s="31" t="s">
        <v>313</v>
      </c>
      <c r="P12" s="31" t="s">
        <v>337</v>
      </c>
      <c r="Q12" s="31" t="s">
        <v>338</v>
      </c>
      <c r="R12" s="31" t="s">
        <v>316</v>
      </c>
      <c r="S12" s="68" t="s">
        <v>300</v>
      </c>
      <c r="T12" s="29"/>
      <c r="U12" s="1"/>
      <c r="V12" s="1"/>
      <c r="W12" s="1"/>
      <c r="X12" s="1"/>
      <c r="Y12" s="1"/>
      <c r="Z12" s="1"/>
    </row>
    <row r="13">
      <c r="A13" s="1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1"/>
      <c r="V13" s="1"/>
      <c r="W13" s="1"/>
      <c r="X13" s="1"/>
      <c r="Y13" s="1"/>
      <c r="Z13" s="1"/>
    </row>
    <row r="14">
      <c r="A14" s="1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1"/>
      <c r="V14" s="1"/>
      <c r="W14" s="1"/>
      <c r="X14" s="1"/>
      <c r="Y14" s="1"/>
      <c r="Z14" s="1"/>
    </row>
    <row r="15">
      <c r="A15" s="1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1"/>
      <c r="V15" s="1"/>
      <c r="W15" s="1"/>
      <c r="X15" s="1"/>
      <c r="Y15" s="1"/>
      <c r="Z15" s="1"/>
    </row>
    <row r="16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1"/>
      <c r="V16" s="1"/>
      <c r="W16" s="1"/>
      <c r="X16" s="1"/>
      <c r="Y16" s="1"/>
      <c r="Z16" s="1"/>
    </row>
    <row r="17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1"/>
      <c r="V17" s="1"/>
      <c r="W17" s="1"/>
      <c r="X17" s="1"/>
      <c r="Y17" s="1"/>
      <c r="Z17" s="1"/>
    </row>
    <row r="18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1"/>
      <c r="V18" s="1"/>
      <c r="W18" s="1"/>
      <c r="X18" s="1"/>
      <c r="Y18" s="1"/>
      <c r="Z18" s="1"/>
    </row>
    <row r="19">
      <c r="A19" s="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1"/>
      <c r="V19" s="1"/>
      <c r="W19" s="1"/>
      <c r="X19" s="1"/>
      <c r="Y19" s="1"/>
      <c r="Z19" s="1"/>
    </row>
    <row r="20">
      <c r="A20" s="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1"/>
      <c r="V20" s="1"/>
      <c r="W20" s="1"/>
      <c r="X20" s="1"/>
      <c r="Y20" s="1"/>
      <c r="Z20" s="1"/>
    </row>
    <row r="21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1"/>
      <c r="V21" s="1"/>
      <c r="W21" s="1"/>
      <c r="X21" s="1"/>
      <c r="Y21" s="1"/>
      <c r="Z21" s="1"/>
    </row>
    <row r="22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1"/>
      <c r="V22" s="1"/>
      <c r="W22" s="1"/>
      <c r="X22" s="1"/>
      <c r="Y22" s="1"/>
      <c r="Z22" s="1"/>
    </row>
    <row r="23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1"/>
      <c r="V23" s="1"/>
      <c r="W23" s="1"/>
      <c r="X23" s="1"/>
      <c r="Y23" s="1"/>
      <c r="Z23" s="1"/>
    </row>
    <row r="24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1"/>
      <c r="V24" s="1"/>
      <c r="W24" s="1"/>
      <c r="X24" s="1"/>
      <c r="Y24" s="1"/>
      <c r="Z24" s="1"/>
    </row>
    <row r="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1"/>
      <c r="V25" s="1"/>
      <c r="W25" s="1"/>
      <c r="X25" s="1"/>
      <c r="Y25" s="1"/>
      <c r="Z25" s="1"/>
    </row>
    <row r="26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1"/>
      <c r="V26" s="1"/>
      <c r="W26" s="1"/>
      <c r="X26" s="1"/>
      <c r="Y26" s="1"/>
      <c r="Z26" s="1"/>
    </row>
    <row r="27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1"/>
      <c r="V27" s="1"/>
      <c r="W27" s="1"/>
      <c r="X27" s="1"/>
      <c r="Y27" s="1"/>
      <c r="Z27" s="1"/>
    </row>
    <row r="28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1"/>
      <c r="V28" s="1"/>
      <c r="W28" s="1"/>
      <c r="X28" s="1"/>
      <c r="Y28" s="1"/>
      <c r="Z28" s="1"/>
    </row>
    <row r="29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1"/>
      <c r="V29" s="1"/>
      <c r="W29" s="1"/>
      <c r="X29" s="1"/>
      <c r="Y29" s="1"/>
      <c r="Z29" s="1"/>
    </row>
    <row r="30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1"/>
      <c r="V30" s="1"/>
      <c r="W30" s="1"/>
      <c r="X30" s="1"/>
      <c r="Y30" s="1"/>
      <c r="Z30" s="1"/>
    </row>
    <row r="31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1"/>
      <c r="V31" s="1"/>
      <c r="W31" s="1"/>
      <c r="X31" s="1"/>
      <c r="Y31" s="1"/>
      <c r="Z31" s="1"/>
    </row>
    <row r="32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1"/>
      <c r="V32" s="1"/>
      <c r="W32" s="1"/>
      <c r="X32" s="1"/>
      <c r="Y32" s="1"/>
      <c r="Z32" s="1"/>
    </row>
    <row r="33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1"/>
      <c r="V33" s="1"/>
      <c r="W33" s="1"/>
      <c r="X33" s="1"/>
      <c r="Y33" s="1"/>
      <c r="Z33" s="1"/>
    </row>
    <row r="34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1"/>
      <c r="V34" s="1"/>
      <c r="W34" s="1"/>
      <c r="X34" s="1"/>
      <c r="Y34" s="1"/>
      <c r="Z34" s="1"/>
    </row>
    <row r="35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1"/>
      <c r="V35" s="1"/>
      <c r="W35" s="1"/>
      <c r="X35" s="1"/>
      <c r="Y35" s="1"/>
      <c r="Z35" s="1"/>
    </row>
    <row r="36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1"/>
      <c r="V36" s="1"/>
      <c r="W36" s="1"/>
      <c r="X36" s="1"/>
      <c r="Y36" s="1"/>
      <c r="Z36" s="1"/>
    </row>
    <row r="37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1"/>
      <c r="V37" s="1"/>
      <c r="W37" s="1"/>
      <c r="X37" s="1"/>
      <c r="Y37" s="1"/>
      <c r="Z37" s="1"/>
    </row>
    <row r="38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1"/>
      <c r="V38" s="1"/>
      <c r="W38" s="1"/>
      <c r="X38" s="1"/>
      <c r="Y38" s="1"/>
      <c r="Z38" s="1"/>
    </row>
    <row r="39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1"/>
      <c r="V39" s="1"/>
      <c r="W39" s="1"/>
      <c r="X39" s="1"/>
      <c r="Y39" s="1"/>
      <c r="Z39" s="1"/>
    </row>
    <row r="40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1"/>
      <c r="V40" s="1"/>
      <c r="W40" s="1"/>
      <c r="X40" s="1"/>
      <c r="Y40" s="1"/>
      <c r="Z40" s="1"/>
    </row>
    <row r="41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1"/>
      <c r="V41" s="1"/>
      <c r="W41" s="1"/>
      <c r="X41" s="1"/>
      <c r="Y41" s="1"/>
      <c r="Z41" s="1"/>
    </row>
    <row r="42">
      <c r="A42" s="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1"/>
      <c r="V42" s="1"/>
      <c r="W42" s="1"/>
      <c r="X42" s="1"/>
      <c r="Y42" s="1"/>
      <c r="Z42" s="1"/>
    </row>
    <row r="43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1"/>
      <c r="V43" s="1"/>
      <c r="W43" s="1"/>
      <c r="X43" s="1"/>
      <c r="Y43" s="1"/>
      <c r="Z43" s="1"/>
    </row>
    <row r="44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1"/>
      <c r="V44" s="1"/>
      <c r="W44" s="1"/>
      <c r="X44" s="1"/>
      <c r="Y44" s="1"/>
      <c r="Z44" s="1"/>
    </row>
    <row r="45">
      <c r="A45" s="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1"/>
      <c r="V45" s="1"/>
      <c r="W45" s="1"/>
      <c r="X45" s="1"/>
      <c r="Y45" s="1"/>
      <c r="Z45" s="1"/>
    </row>
    <row r="46">
      <c r="A46" s="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1"/>
      <c r="V46" s="1"/>
      <c r="W46" s="1"/>
      <c r="X46" s="1"/>
      <c r="Y46" s="1"/>
      <c r="Z46" s="1"/>
    </row>
    <row r="47">
      <c r="A47" s="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1"/>
      <c r="V47" s="1"/>
      <c r="W47" s="1"/>
      <c r="X47" s="1"/>
      <c r="Y47" s="1"/>
      <c r="Z47" s="1"/>
    </row>
    <row r="48">
      <c r="A48" s="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" t="s">
        <v>298</v>
      </c>
      <c r="C50" s="8"/>
      <c r="D50" s="8"/>
      <c r="E50" s="8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60" t="s">
        <v>299</v>
      </c>
      <c r="C51" s="60">
        <v>7.0</v>
      </c>
      <c r="D51" s="61"/>
      <c r="E51" s="61"/>
      <c r="F51" s="61"/>
      <c r="G51" s="6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60" t="s">
        <v>300</v>
      </c>
      <c r="C52" s="60">
        <v>3.0</v>
      </c>
      <c r="D52" s="60" t="s">
        <v>301</v>
      </c>
      <c r="E52" s="60">
        <v>1.0</v>
      </c>
      <c r="F52" s="60" t="s">
        <v>302</v>
      </c>
      <c r="G52" s="60">
        <v>3.0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7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7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7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7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72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7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7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72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7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72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ataValidations>
    <dataValidation type="list" allowBlank="1" sqref="H8:H10 H11:I11 H12 H13:I48 N8:N48">
      <formula1>"○,－"</formula1>
    </dataValidation>
    <dataValidation type="list" allowBlank="1" sqref="S6:S48">
      <formula1>"確定,確認中,未確定"</formula1>
    </dataValidation>
    <dataValidation type="list" allowBlank="1" sqref="O8:O48">
      <formula1>"直連携,変換,固定値,編集,対象外,TBD"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4.0"/>
    <col customWidth="1" min="3" max="3" width="9.86"/>
    <col customWidth="1" min="4" max="4" width="6.86"/>
    <col customWidth="1" min="5" max="5" width="13.71"/>
    <col customWidth="1" min="6" max="6" width="3.0"/>
    <col customWidth="1" min="7" max="8" width="5.0"/>
    <col customWidth="1" min="9" max="9" width="13.57"/>
    <col customWidth="1" min="10" max="10" width="23.43"/>
    <col customWidth="1" min="11" max="11" width="12.86"/>
    <col customWidth="1" min="13" max="13" width="84.43"/>
  </cols>
  <sheetData>
    <row r="1">
      <c r="A1" s="1"/>
      <c r="B1" s="76" t="s">
        <v>339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340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7"/>
      <c r="C4" s="1"/>
      <c r="D4" s="1"/>
      <c r="E4" s="1"/>
      <c r="F4" s="1"/>
      <c r="G4" s="1"/>
      <c r="H4" s="1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53" t="s">
        <v>341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342</v>
      </c>
      <c r="C6" s="8"/>
      <c r="D6" s="8"/>
      <c r="E6" s="8"/>
      <c r="F6" s="8"/>
      <c r="G6" s="8"/>
      <c r="H6" s="8"/>
      <c r="I6" s="8"/>
      <c r="J6" s="8"/>
      <c r="K6" s="8"/>
      <c r="L6" s="1"/>
      <c r="M6" s="6" t="s">
        <v>343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8" t="s">
        <v>264</v>
      </c>
      <c r="C7" s="28" t="s">
        <v>344</v>
      </c>
      <c r="D7" s="28" t="s">
        <v>267</v>
      </c>
      <c r="E7" s="28" t="s">
        <v>268</v>
      </c>
      <c r="F7" s="28" t="s">
        <v>269</v>
      </c>
      <c r="G7" s="28" t="s">
        <v>345</v>
      </c>
      <c r="H7" s="28" t="s">
        <v>270</v>
      </c>
      <c r="I7" s="28" t="s">
        <v>346</v>
      </c>
      <c r="J7" s="28" t="s">
        <v>347</v>
      </c>
      <c r="K7" s="28" t="s">
        <v>70</v>
      </c>
      <c r="L7" s="1"/>
      <c r="M7" s="6" t="s">
        <v>348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6">
        <v>1.0</v>
      </c>
      <c r="C8" s="46" t="s">
        <v>93</v>
      </c>
      <c r="D8" s="46"/>
      <c r="E8" s="46" t="s">
        <v>312</v>
      </c>
      <c r="F8" s="46">
        <v>4.0</v>
      </c>
      <c r="G8" s="46" t="s">
        <v>73</v>
      </c>
      <c r="H8" s="46" t="s">
        <v>281</v>
      </c>
      <c r="I8" s="46" t="s">
        <v>73</v>
      </c>
      <c r="J8" s="46" t="s">
        <v>349</v>
      </c>
      <c r="K8" s="46" t="s">
        <v>350</v>
      </c>
      <c r="L8" s="1"/>
      <c r="M8" s="6" t="s">
        <v>351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6">
        <v>2.0</v>
      </c>
      <c r="C9" s="46" t="s">
        <v>97</v>
      </c>
      <c r="D9" s="46"/>
      <c r="E9" s="46" t="s">
        <v>312</v>
      </c>
      <c r="F9" s="46">
        <v>20.0</v>
      </c>
      <c r="G9" s="46" t="s">
        <v>73</v>
      </c>
      <c r="H9" s="46" t="s">
        <v>281</v>
      </c>
      <c r="I9" s="46" t="s">
        <v>73</v>
      </c>
      <c r="J9" s="46" t="s">
        <v>352</v>
      </c>
      <c r="K9" s="6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1">
        <v>3.0</v>
      </c>
      <c r="C10" s="31" t="s">
        <v>104</v>
      </c>
      <c r="D10" s="31"/>
      <c r="E10" s="31" t="s">
        <v>322</v>
      </c>
      <c r="F10" s="31" t="s">
        <v>73</v>
      </c>
      <c r="G10" s="31" t="s">
        <v>73</v>
      </c>
      <c r="H10" s="31" t="s">
        <v>281</v>
      </c>
      <c r="I10" s="31" t="s">
        <v>73</v>
      </c>
      <c r="J10" s="31" t="s">
        <v>353</v>
      </c>
      <c r="K10" s="31" t="s">
        <v>354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1">
        <v>4.0</v>
      </c>
      <c r="C11" s="31" t="s">
        <v>100</v>
      </c>
      <c r="D11" s="29"/>
      <c r="E11" s="31" t="s">
        <v>312</v>
      </c>
      <c r="F11" s="31">
        <v>8.0</v>
      </c>
      <c r="G11" s="31" t="s">
        <v>73</v>
      </c>
      <c r="H11" s="31" t="s">
        <v>281</v>
      </c>
      <c r="I11" s="31" t="s">
        <v>73</v>
      </c>
      <c r="J11" s="31" t="s">
        <v>355</v>
      </c>
      <c r="K11" s="2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1">
        <v>5.0</v>
      </c>
      <c r="C12" s="31" t="s">
        <v>108</v>
      </c>
      <c r="D12" s="31"/>
      <c r="E12" s="31" t="s">
        <v>312</v>
      </c>
      <c r="F12" s="31">
        <v>8.0</v>
      </c>
      <c r="G12" s="31" t="s">
        <v>73</v>
      </c>
      <c r="H12" s="31" t="s">
        <v>281</v>
      </c>
      <c r="I12" s="31" t="s">
        <v>73</v>
      </c>
      <c r="J12" s="31" t="s">
        <v>285</v>
      </c>
      <c r="K12" s="29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1">
        <v>6.0</v>
      </c>
      <c r="C13" s="31" t="s">
        <v>137</v>
      </c>
      <c r="D13" s="29"/>
      <c r="E13" s="31" t="s">
        <v>312</v>
      </c>
      <c r="F13" s="31">
        <v>1.0</v>
      </c>
      <c r="G13" s="31" t="s">
        <v>73</v>
      </c>
      <c r="H13" s="31" t="s">
        <v>281</v>
      </c>
      <c r="I13" s="31" t="s">
        <v>356</v>
      </c>
      <c r="J13" s="31" t="s">
        <v>357</v>
      </c>
      <c r="K13" s="31" t="s">
        <v>358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1">
        <v>7.0</v>
      </c>
      <c r="C14" s="31" t="s">
        <v>148</v>
      </c>
      <c r="D14" s="29"/>
      <c r="E14" s="31" t="s">
        <v>312</v>
      </c>
      <c r="F14" s="31">
        <v>8.0</v>
      </c>
      <c r="G14" s="31" t="s">
        <v>73</v>
      </c>
      <c r="H14" s="31" t="s">
        <v>281</v>
      </c>
      <c r="I14" s="31" t="s">
        <v>73</v>
      </c>
      <c r="J14" s="31" t="s">
        <v>150</v>
      </c>
      <c r="K14" s="29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38"/>
      <c r="F45" s="1"/>
      <c r="G45" s="1"/>
      <c r="H45" s="3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3" t="s">
        <v>374</v>
      </c>
      <c r="C46" s="53" t="s">
        <v>375</v>
      </c>
      <c r="D46" s="1"/>
      <c r="E46" s="53" t="s">
        <v>377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3" t="s">
        <v>378</v>
      </c>
      <c r="C47" s="53" t="s">
        <v>379</v>
      </c>
      <c r="D47" s="1"/>
      <c r="E47" s="53" t="s">
        <v>380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53" t="s">
        <v>381</v>
      </c>
      <c r="D48" s="1"/>
      <c r="E48" s="53" t="s">
        <v>377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53" t="s">
        <v>382</v>
      </c>
      <c r="D49" s="1"/>
      <c r="E49" s="53" t="s">
        <v>383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53" t="s">
        <v>384</v>
      </c>
      <c r="D50" s="1"/>
      <c r="E50" s="53" t="s">
        <v>377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53" t="s">
        <v>386</v>
      </c>
      <c r="D51" s="1"/>
      <c r="E51" s="53" t="s">
        <v>387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53" t="s">
        <v>389</v>
      </c>
      <c r="D52" s="1"/>
      <c r="E52" s="53" t="s">
        <v>390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53" t="s">
        <v>391</v>
      </c>
      <c r="D53" s="1"/>
      <c r="E53" s="53" t="s">
        <v>390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53" t="s">
        <v>392</v>
      </c>
      <c r="D54" s="1"/>
      <c r="E54" s="53" t="s">
        <v>390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53" t="s">
        <v>393</v>
      </c>
      <c r="D55" s="1"/>
      <c r="E55" s="53" t="s">
        <v>394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53" t="s">
        <v>398</v>
      </c>
      <c r="D56" s="1"/>
      <c r="E56" s="53" t="s">
        <v>399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53" t="s">
        <v>400</v>
      </c>
      <c r="D57" s="1"/>
      <c r="E57" s="53" t="s">
        <v>401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53" t="s">
        <v>404</v>
      </c>
      <c r="D58" s="1"/>
      <c r="E58" s="53" t="s">
        <v>399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53" t="s">
        <v>405</v>
      </c>
      <c r="D59" s="1"/>
      <c r="E59" s="53" t="s">
        <v>406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53" t="s">
        <v>409</v>
      </c>
      <c r="D60" s="1"/>
      <c r="E60" s="53" t="s">
        <v>399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53" t="s">
        <v>410</v>
      </c>
      <c r="D61" s="1"/>
      <c r="E61" s="53" t="s">
        <v>401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53" t="s">
        <v>413</v>
      </c>
      <c r="D62" s="1"/>
      <c r="E62" s="53" t="s">
        <v>399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53" t="s">
        <v>415</v>
      </c>
      <c r="D63" s="1"/>
      <c r="E63" s="53" t="s">
        <v>406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53" t="s">
        <v>417</v>
      </c>
      <c r="D64" s="1"/>
      <c r="E64" s="53" t="s">
        <v>399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53" t="s">
        <v>418</v>
      </c>
      <c r="D65" s="1"/>
      <c r="E65" s="53" t="s">
        <v>401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53" t="s">
        <v>420</v>
      </c>
      <c r="D66" s="1"/>
      <c r="E66" s="53" t="s">
        <v>399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53" t="s">
        <v>421</v>
      </c>
      <c r="D67" s="1"/>
      <c r="E67" s="53" t="s">
        <v>406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53" t="s">
        <v>422</v>
      </c>
      <c r="D68" s="1"/>
      <c r="E68" s="53" t="s">
        <v>423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53" t="s">
        <v>424</v>
      </c>
      <c r="D69" s="1"/>
      <c r="E69" s="53" t="s">
        <v>425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53" t="s">
        <v>426</v>
      </c>
      <c r="D70" s="1"/>
      <c r="E70" s="53" t="s">
        <v>425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53" t="s">
        <v>431</v>
      </c>
      <c r="D71" s="1"/>
      <c r="E71" s="53" t="s">
        <v>432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53" t="s">
        <v>434</v>
      </c>
      <c r="D72" s="1"/>
      <c r="E72" s="53" t="s">
        <v>425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53" t="s">
        <v>438</v>
      </c>
      <c r="D73" s="1"/>
      <c r="E73" s="53" t="s">
        <v>425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53" t="s">
        <v>439</v>
      </c>
      <c r="D74" s="1"/>
      <c r="E74" s="53" t="s">
        <v>432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53" t="s">
        <v>441</v>
      </c>
      <c r="D75" s="1"/>
      <c r="E75" s="53" t="s">
        <v>442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53" t="s">
        <v>445</v>
      </c>
      <c r="D76" s="1"/>
      <c r="E76" s="53" t="s">
        <v>446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53" t="s">
        <v>447</v>
      </c>
      <c r="D77" s="1"/>
      <c r="E77" s="53" t="s">
        <v>390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53" t="s">
        <v>448</v>
      </c>
      <c r="D78" s="1"/>
      <c r="E78" s="53" t="s">
        <v>390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53" t="s">
        <v>449</v>
      </c>
      <c r="D79" s="1"/>
      <c r="E79" s="53" t="s">
        <v>390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53" t="s">
        <v>450</v>
      </c>
      <c r="D80" s="1"/>
      <c r="E80" s="53" t="s">
        <v>390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53" t="s">
        <v>451</v>
      </c>
      <c r="D81" s="1"/>
      <c r="E81" s="53" t="s">
        <v>390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53" t="s">
        <v>452</v>
      </c>
      <c r="D82" s="1"/>
      <c r="E82" s="53" t="s">
        <v>390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53" t="s">
        <v>453</v>
      </c>
      <c r="D83" s="1"/>
      <c r="E83" s="53" t="s">
        <v>390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53" t="s">
        <v>454</v>
      </c>
      <c r="D84" s="1"/>
      <c r="E84" s="53" t="s">
        <v>390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53" t="s">
        <v>455</v>
      </c>
      <c r="D85" s="1"/>
      <c r="E85" s="53" t="s">
        <v>394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53" t="s">
        <v>456</v>
      </c>
      <c r="D86" s="1"/>
      <c r="E86" s="53" t="s">
        <v>457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53" t="s">
        <v>458</v>
      </c>
      <c r="D87" s="1"/>
      <c r="E87" s="53" t="s">
        <v>390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53" t="s">
        <v>459</v>
      </c>
      <c r="D88" s="1"/>
      <c r="E88" s="53" t="s">
        <v>390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53" t="s">
        <v>460</v>
      </c>
      <c r="D89" s="1"/>
      <c r="E89" s="53" t="s">
        <v>390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53" t="s">
        <v>461</v>
      </c>
      <c r="D90" s="1"/>
      <c r="E90" s="53" t="s">
        <v>390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53" t="s">
        <v>462</v>
      </c>
      <c r="D91" s="1"/>
      <c r="E91" s="53" t="s">
        <v>390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53" t="s">
        <v>463</v>
      </c>
      <c r="D92" s="1"/>
      <c r="E92" s="53" t="s">
        <v>390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53" t="s">
        <v>464</v>
      </c>
      <c r="D93" s="1"/>
      <c r="E93" s="53" t="s">
        <v>465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53" t="s">
        <v>466</v>
      </c>
      <c r="D94" s="1"/>
      <c r="E94" s="53" t="s">
        <v>467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53" t="s">
        <v>468</v>
      </c>
      <c r="D95" s="1"/>
      <c r="E95" s="53" t="s">
        <v>467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53" t="s">
        <v>469</v>
      </c>
      <c r="D96" s="1"/>
      <c r="E96" s="53" t="s">
        <v>390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53" t="s">
        <v>470</v>
      </c>
      <c r="D97" s="1"/>
      <c r="E97" s="53" t="s">
        <v>471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53" t="s">
        <v>472</v>
      </c>
      <c r="D98" s="1"/>
      <c r="E98" s="53" t="s">
        <v>465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53" t="s">
        <v>473</v>
      </c>
      <c r="D99" s="1"/>
      <c r="E99" s="53" t="s">
        <v>399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53" t="s">
        <v>474</v>
      </c>
      <c r="D100" s="1"/>
      <c r="E100" s="53" t="s">
        <v>475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53" t="s">
        <v>476</v>
      </c>
      <c r="D101" s="1"/>
      <c r="E101" s="53" t="s">
        <v>475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53" t="s">
        <v>477</v>
      </c>
      <c r="D102" s="1"/>
      <c r="E102" s="53" t="s">
        <v>399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53" t="s">
        <v>478</v>
      </c>
      <c r="D103" s="1"/>
      <c r="E103" s="53" t="s">
        <v>399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53" t="s">
        <v>479</v>
      </c>
      <c r="D104" s="1"/>
      <c r="E104" s="53" t="s">
        <v>480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53" t="s">
        <v>481</v>
      </c>
      <c r="D105" s="1"/>
      <c r="E105" s="53" t="s">
        <v>394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53" t="s">
        <v>482</v>
      </c>
      <c r="D106" s="1"/>
      <c r="E106" s="53" t="s">
        <v>475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53" t="s">
        <v>483</v>
      </c>
      <c r="D107" s="1"/>
      <c r="E107" s="53" t="s">
        <v>457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53" t="s">
        <v>484</v>
      </c>
      <c r="D108" s="1"/>
      <c r="E108" s="53" t="s">
        <v>457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53" t="s">
        <v>485</v>
      </c>
      <c r="D109" s="1"/>
      <c r="E109" s="53" t="s">
        <v>486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53" t="s">
        <v>487</v>
      </c>
      <c r="D110" s="1"/>
      <c r="E110" s="53" t="s">
        <v>486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53" t="s">
        <v>488</v>
      </c>
      <c r="D111" s="1"/>
      <c r="E111" s="53" t="s">
        <v>486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53" t="s">
        <v>489</v>
      </c>
      <c r="D112" s="1"/>
      <c r="E112" s="53" t="s">
        <v>490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53" t="s">
        <v>491</v>
      </c>
      <c r="D113" s="1"/>
      <c r="E113" s="53" t="s">
        <v>394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53" t="s">
        <v>492</v>
      </c>
      <c r="D114" s="1"/>
      <c r="E114" s="53" t="s">
        <v>394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53" t="s">
        <v>493</v>
      </c>
      <c r="D115" s="1"/>
      <c r="E115" s="53" t="s">
        <v>390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53" t="s">
        <v>494</v>
      </c>
      <c r="D116" s="1"/>
      <c r="E116" s="53" t="s">
        <v>467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53" t="s">
        <v>495</v>
      </c>
      <c r="D117" s="1"/>
      <c r="E117" s="53" t="s">
        <v>390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53" t="s">
        <v>496</v>
      </c>
      <c r="D118" s="1"/>
      <c r="E118" s="53" t="s">
        <v>390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53" t="s">
        <v>497</v>
      </c>
      <c r="D119" s="1"/>
      <c r="E119" s="53" t="s">
        <v>390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53" t="s">
        <v>498</v>
      </c>
      <c r="D120" s="1"/>
      <c r="E120" s="53" t="s">
        <v>390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53" t="s">
        <v>499</v>
      </c>
      <c r="D121" s="1"/>
      <c r="E121" s="53" t="s">
        <v>457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53" t="s">
        <v>500</v>
      </c>
      <c r="D122" s="1"/>
      <c r="E122" s="53" t="s">
        <v>390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53" t="s">
        <v>501</v>
      </c>
      <c r="D123" s="1"/>
      <c r="E123" s="53" t="s">
        <v>425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53" t="s">
        <v>502</v>
      </c>
      <c r="D124" s="1"/>
      <c r="E124" s="53" t="s">
        <v>503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53" t="s">
        <v>504</v>
      </c>
      <c r="D125" s="1"/>
      <c r="E125" s="53" t="s">
        <v>394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53" t="s">
        <v>505</v>
      </c>
      <c r="D126" s="1"/>
      <c r="E126" s="53" t="s">
        <v>465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53" t="s">
        <v>506</v>
      </c>
      <c r="D127" s="1"/>
      <c r="E127" s="53" t="s">
        <v>467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53" t="s">
        <v>507</v>
      </c>
      <c r="D128" s="1"/>
      <c r="E128" s="53" t="s">
        <v>467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53" t="s">
        <v>508</v>
      </c>
      <c r="D129" s="1"/>
      <c r="E129" s="53" t="s">
        <v>467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53" t="s">
        <v>509</v>
      </c>
      <c r="D130" s="1"/>
      <c r="E130" s="53" t="s">
        <v>390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53" t="s">
        <v>510</v>
      </c>
      <c r="D131" s="1"/>
      <c r="E131" s="53" t="s">
        <v>390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53" t="s">
        <v>511</v>
      </c>
      <c r="D132" s="1"/>
      <c r="E132" s="53" t="s">
        <v>390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53" t="s">
        <v>512</v>
      </c>
      <c r="D133" s="1"/>
      <c r="E133" s="53" t="s">
        <v>394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dataValidations>
    <dataValidation type="list" allowBlank="1" sqref="H10:H45">
      <formula1>"○,－"</formula1>
    </dataValidation>
    <dataValidation type="list" allowBlank="1" sqref="E10:E45">
      <formula1>"CHAR,VARCHAR,NUM,DEC,DATE,TIMESTAMP"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12.57"/>
    <col customWidth="1" min="2" max="2" width="13.14"/>
    <col customWidth="1" min="3" max="3" width="12.29"/>
    <col customWidth="1" min="4" max="4" width="25.14"/>
    <col customWidth="1" min="5" max="5" width="32.0"/>
    <col customWidth="1" min="6" max="6" width="13.0"/>
    <col customWidth="1" min="7" max="7" width="20.0"/>
    <col customWidth="1" min="8" max="8" width="9.57"/>
    <col customWidth="1" min="9" max="9" width="7.43"/>
    <col customWidth="1" min="10" max="10" width="28.57"/>
    <col customWidth="1" min="11" max="11" width="5.29"/>
    <col customWidth="1" min="12" max="12" width="13.0"/>
    <col customWidth="1" min="13" max="13" width="84.43"/>
    <col customWidth="1" min="14" max="26" width="13.0"/>
  </cols>
  <sheetData>
    <row r="1">
      <c r="A1" s="78" t="s">
        <v>359</v>
      </c>
      <c r="B1" s="51"/>
      <c r="C1" s="52"/>
      <c r="D1" s="79" t="s">
        <v>360</v>
      </c>
      <c r="E1" s="52"/>
      <c r="F1" s="80"/>
      <c r="G1" s="81" t="s">
        <v>361</v>
      </c>
      <c r="H1" s="51"/>
      <c r="I1" s="52"/>
      <c r="J1" s="82" t="s">
        <v>148</v>
      </c>
      <c r="K1" s="82" t="s">
        <v>56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78" t="s">
        <v>135</v>
      </c>
      <c r="B2" s="51"/>
      <c r="C2" s="52"/>
      <c r="D2" s="79" t="s">
        <v>362</v>
      </c>
      <c r="E2" s="52"/>
      <c r="F2" s="83"/>
      <c r="G2" s="84" t="s">
        <v>363</v>
      </c>
      <c r="H2" s="51"/>
      <c r="I2" s="52"/>
      <c r="J2" s="85">
        <v>43879.0</v>
      </c>
      <c r="K2" s="86" t="s">
        <v>364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8" t="s">
        <v>365</v>
      </c>
      <c r="B3" s="51"/>
      <c r="C3" s="52"/>
      <c r="D3" s="87"/>
      <c r="E3" s="52"/>
      <c r="F3" s="8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89" t="s">
        <v>366</v>
      </c>
      <c r="B4" s="90"/>
      <c r="C4" s="91" t="s">
        <v>367</v>
      </c>
      <c r="D4" s="92"/>
      <c r="E4" s="92"/>
      <c r="F4" s="92"/>
      <c r="G4" s="92"/>
      <c r="H4" s="92"/>
      <c r="I4" s="92"/>
      <c r="J4" s="92"/>
      <c r="K4" s="9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82" t="s">
        <v>264</v>
      </c>
      <c r="B6" s="82" t="s">
        <v>368</v>
      </c>
      <c r="C6" s="82" t="s">
        <v>270</v>
      </c>
      <c r="D6" s="82" t="s">
        <v>344</v>
      </c>
      <c r="E6" s="82" t="s">
        <v>369</v>
      </c>
      <c r="F6" s="82" t="s">
        <v>370</v>
      </c>
      <c r="G6" s="82" t="s">
        <v>371</v>
      </c>
      <c r="H6" s="82" t="s">
        <v>372</v>
      </c>
      <c r="I6" s="95" t="s">
        <v>373</v>
      </c>
      <c r="J6" s="82" t="s">
        <v>70</v>
      </c>
      <c r="K6" s="82" t="s">
        <v>376</v>
      </c>
      <c r="L6" s="1"/>
      <c r="M6" s="6" t="s">
        <v>343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6">
        <f t="shared" ref="A7:A21" si="1">ROW()-6</f>
        <v>1</v>
      </c>
      <c r="B7" s="97" t="s">
        <v>385</v>
      </c>
      <c r="C7" s="97" t="s">
        <v>281</v>
      </c>
      <c r="D7" s="98" t="s">
        <v>279</v>
      </c>
      <c r="E7" s="98" t="s">
        <v>388</v>
      </c>
      <c r="F7" s="99"/>
      <c r="G7" s="98" t="s">
        <v>280</v>
      </c>
      <c r="H7" s="96">
        <v>100.0</v>
      </c>
      <c r="I7" s="100"/>
      <c r="J7" s="99"/>
      <c r="K7" s="101"/>
      <c r="L7" s="1"/>
      <c r="M7" s="6" t="s">
        <v>348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2">
        <f t="shared" si="1"/>
        <v>2</v>
      </c>
      <c r="B8" s="103" t="s">
        <v>385</v>
      </c>
      <c r="C8" s="103" t="s">
        <v>281</v>
      </c>
      <c r="D8" s="104" t="s">
        <v>284</v>
      </c>
      <c r="E8" s="104" t="s">
        <v>395</v>
      </c>
      <c r="F8" s="104" t="s">
        <v>396</v>
      </c>
      <c r="G8" s="104" t="s">
        <v>397</v>
      </c>
      <c r="H8" s="105">
        <v>8.0</v>
      </c>
      <c r="I8" s="100"/>
      <c r="J8" s="106"/>
      <c r="K8" s="101"/>
      <c r="L8" s="1"/>
      <c r="M8" s="6" t="s">
        <v>351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6">
        <f t="shared" si="1"/>
        <v>3</v>
      </c>
      <c r="B9" s="107" t="s">
        <v>385</v>
      </c>
      <c r="C9" s="107" t="s">
        <v>281</v>
      </c>
      <c r="D9" s="108" t="s">
        <v>286</v>
      </c>
      <c r="E9" s="108" t="s">
        <v>402</v>
      </c>
      <c r="F9" s="108" t="s">
        <v>403</v>
      </c>
      <c r="G9" s="108" t="s">
        <v>280</v>
      </c>
      <c r="H9" s="109">
        <v>100.0</v>
      </c>
      <c r="I9" s="100"/>
      <c r="J9" s="106"/>
      <c r="K9" s="10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6">
        <f t="shared" si="1"/>
        <v>4</v>
      </c>
      <c r="B10" s="107" t="s">
        <v>385</v>
      </c>
      <c r="C10" s="107" t="s">
        <v>281</v>
      </c>
      <c r="D10" s="108" t="s">
        <v>108</v>
      </c>
      <c r="E10" s="108" t="s">
        <v>407</v>
      </c>
      <c r="F10" s="108" t="s">
        <v>408</v>
      </c>
      <c r="G10" s="108" t="s">
        <v>397</v>
      </c>
      <c r="H10" s="109">
        <v>8.0</v>
      </c>
      <c r="I10" s="100"/>
      <c r="J10" s="106"/>
      <c r="K10" s="10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02">
        <f t="shared" si="1"/>
        <v>5</v>
      </c>
      <c r="B11" s="103" t="s">
        <v>385</v>
      </c>
      <c r="C11" s="103" t="s">
        <v>281</v>
      </c>
      <c r="D11" s="110" t="s">
        <v>287</v>
      </c>
      <c r="E11" s="104" t="s">
        <v>411</v>
      </c>
      <c r="F11" s="104" t="s">
        <v>412</v>
      </c>
      <c r="G11" s="104" t="s">
        <v>280</v>
      </c>
      <c r="H11" s="105">
        <v>2.0</v>
      </c>
      <c r="I11" s="100"/>
      <c r="J11" s="108" t="s">
        <v>414</v>
      </c>
      <c r="K11" s="10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02">
        <f t="shared" si="1"/>
        <v>6</v>
      </c>
      <c r="B12" s="106"/>
      <c r="C12" s="103" t="s">
        <v>281</v>
      </c>
      <c r="D12" s="104" t="s">
        <v>288</v>
      </c>
      <c r="E12" s="104" t="s">
        <v>416</v>
      </c>
      <c r="F12" s="106"/>
      <c r="G12" s="104" t="s">
        <v>280</v>
      </c>
      <c r="H12" s="105">
        <v>100.0</v>
      </c>
      <c r="I12" s="100"/>
      <c r="J12" s="106"/>
      <c r="K12" s="10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02">
        <f t="shared" si="1"/>
        <v>7</v>
      </c>
      <c r="B13" s="106"/>
      <c r="C13" s="103" t="s">
        <v>281</v>
      </c>
      <c r="D13" s="110" t="s">
        <v>289</v>
      </c>
      <c r="E13" s="104" t="s">
        <v>419</v>
      </c>
      <c r="F13" s="106"/>
      <c r="G13" s="104" t="s">
        <v>280</v>
      </c>
      <c r="H13" s="105">
        <v>100.0</v>
      </c>
      <c r="I13" s="100"/>
      <c r="J13" s="106"/>
      <c r="K13" s="10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02">
        <f t="shared" si="1"/>
        <v>8</v>
      </c>
      <c r="B14" s="106"/>
      <c r="C14" s="103" t="s">
        <v>281</v>
      </c>
      <c r="D14" s="110" t="s">
        <v>290</v>
      </c>
      <c r="E14" s="104" t="s">
        <v>419</v>
      </c>
      <c r="F14" s="106"/>
      <c r="G14" s="104" t="s">
        <v>280</v>
      </c>
      <c r="H14" s="105">
        <v>100.0</v>
      </c>
      <c r="I14" s="100"/>
      <c r="J14" s="106"/>
      <c r="K14" s="10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02">
        <f t="shared" si="1"/>
        <v>9</v>
      </c>
      <c r="B15" s="99"/>
      <c r="C15" s="111" t="s">
        <v>281</v>
      </c>
      <c r="D15" s="110" t="s">
        <v>291</v>
      </c>
      <c r="E15" s="110" t="s">
        <v>419</v>
      </c>
      <c r="F15" s="99"/>
      <c r="G15" s="110" t="s">
        <v>280</v>
      </c>
      <c r="H15" s="102">
        <v>100.0</v>
      </c>
      <c r="I15" s="100"/>
      <c r="J15" s="99"/>
      <c r="K15" s="10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02">
        <f t="shared" si="1"/>
        <v>10</v>
      </c>
      <c r="B16" s="99"/>
      <c r="C16" s="111" t="s">
        <v>281</v>
      </c>
      <c r="D16" s="110" t="s">
        <v>292</v>
      </c>
      <c r="E16" s="110" t="s">
        <v>419</v>
      </c>
      <c r="F16" s="110" t="s">
        <v>427</v>
      </c>
      <c r="G16" s="110" t="s">
        <v>280</v>
      </c>
      <c r="H16" s="102">
        <v>100.0</v>
      </c>
      <c r="I16" s="100"/>
      <c r="J16" s="99"/>
      <c r="K16" s="10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02">
        <f t="shared" si="1"/>
        <v>11</v>
      </c>
      <c r="B17" s="99"/>
      <c r="C17" s="111" t="s">
        <v>281</v>
      </c>
      <c r="D17" s="110" t="s">
        <v>103</v>
      </c>
      <c r="E17" s="110" t="s">
        <v>428</v>
      </c>
      <c r="F17" s="110" t="s">
        <v>429</v>
      </c>
      <c r="G17" s="110" t="s">
        <v>430</v>
      </c>
      <c r="H17" s="102">
        <v>8.0</v>
      </c>
      <c r="I17" s="100"/>
      <c r="J17" s="99"/>
      <c r="K17" s="10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02">
        <f t="shared" si="1"/>
        <v>12</v>
      </c>
      <c r="B18" s="99"/>
      <c r="C18" s="111" t="s">
        <v>281</v>
      </c>
      <c r="D18" s="110" t="s">
        <v>294</v>
      </c>
      <c r="E18" s="110" t="s">
        <v>433</v>
      </c>
      <c r="F18" s="110" t="s">
        <v>429</v>
      </c>
      <c r="G18" s="110" t="s">
        <v>430</v>
      </c>
      <c r="H18" s="102">
        <v>8.0</v>
      </c>
      <c r="I18" s="100"/>
      <c r="J18" s="99"/>
      <c r="K18" s="10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02">
        <f t="shared" si="1"/>
        <v>13</v>
      </c>
      <c r="B19" s="99"/>
      <c r="C19" s="111" t="s">
        <v>281</v>
      </c>
      <c r="D19" s="110" t="s">
        <v>295</v>
      </c>
      <c r="E19" s="110" t="s">
        <v>435</v>
      </c>
      <c r="F19" s="110" t="s">
        <v>436</v>
      </c>
      <c r="G19" s="110" t="s">
        <v>437</v>
      </c>
      <c r="H19" s="102">
        <v>11.0</v>
      </c>
      <c r="I19" s="100"/>
      <c r="J19" s="99"/>
      <c r="K19" s="10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02">
        <f t="shared" si="1"/>
        <v>14</v>
      </c>
      <c r="B20" s="99"/>
      <c r="C20" s="111" t="s">
        <v>281</v>
      </c>
      <c r="D20" s="110" t="s">
        <v>296</v>
      </c>
      <c r="E20" s="110" t="s">
        <v>440</v>
      </c>
      <c r="F20" s="110" t="s">
        <v>436</v>
      </c>
      <c r="G20" s="110" t="s">
        <v>437</v>
      </c>
      <c r="H20" s="102">
        <v>11.0</v>
      </c>
      <c r="I20" s="100"/>
      <c r="J20" s="99"/>
      <c r="K20" s="10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02">
        <f t="shared" si="1"/>
        <v>15</v>
      </c>
      <c r="B21" s="99"/>
      <c r="C21" s="111" t="s">
        <v>281</v>
      </c>
      <c r="D21" s="110" t="s">
        <v>297</v>
      </c>
      <c r="E21" s="110" t="s">
        <v>443</v>
      </c>
      <c r="F21" s="110" t="s">
        <v>444</v>
      </c>
      <c r="G21" s="110" t="s">
        <v>430</v>
      </c>
      <c r="H21" s="102">
        <v>8.0</v>
      </c>
      <c r="I21" s="100"/>
      <c r="J21" s="99"/>
      <c r="K21" s="10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38"/>
      <c r="F45" s="1"/>
      <c r="G45" s="1"/>
      <c r="H45" s="3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3" t="s">
        <v>374</v>
      </c>
      <c r="C46" s="53" t="s">
        <v>375</v>
      </c>
      <c r="D46" s="1"/>
      <c r="E46" s="53" t="s">
        <v>377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3" t="s">
        <v>378</v>
      </c>
      <c r="C47" s="53" t="s">
        <v>379</v>
      </c>
      <c r="D47" s="1"/>
      <c r="E47" s="53" t="s">
        <v>380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53" t="s">
        <v>381</v>
      </c>
      <c r="D48" s="1"/>
      <c r="E48" s="53" t="s">
        <v>377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53" t="s">
        <v>382</v>
      </c>
      <c r="D49" s="1"/>
      <c r="E49" s="53" t="s">
        <v>383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53" t="s">
        <v>384</v>
      </c>
      <c r="D50" s="1"/>
      <c r="E50" s="53" t="s">
        <v>377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53" t="s">
        <v>386</v>
      </c>
      <c r="D51" s="1"/>
      <c r="E51" s="53" t="s">
        <v>387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53" t="s">
        <v>389</v>
      </c>
      <c r="D52" s="1"/>
      <c r="E52" s="53" t="s">
        <v>390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53" t="s">
        <v>391</v>
      </c>
      <c r="D53" s="1"/>
      <c r="E53" s="53" t="s">
        <v>390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53" t="s">
        <v>392</v>
      </c>
      <c r="D54" s="1"/>
      <c r="E54" s="53" t="s">
        <v>390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53" t="s">
        <v>393</v>
      </c>
      <c r="D55" s="1"/>
      <c r="E55" s="53" t="s">
        <v>394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53" t="s">
        <v>398</v>
      </c>
      <c r="D56" s="1"/>
      <c r="E56" s="53" t="s">
        <v>399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53" t="s">
        <v>400</v>
      </c>
      <c r="D57" s="1"/>
      <c r="E57" s="53" t="s">
        <v>401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53" t="s">
        <v>404</v>
      </c>
      <c r="D58" s="1"/>
      <c r="E58" s="53" t="s">
        <v>399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53" t="s">
        <v>405</v>
      </c>
      <c r="D59" s="1"/>
      <c r="E59" s="53" t="s">
        <v>406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53" t="s">
        <v>409</v>
      </c>
      <c r="D60" s="1"/>
      <c r="E60" s="53" t="s">
        <v>399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53" t="s">
        <v>410</v>
      </c>
      <c r="D61" s="1"/>
      <c r="E61" s="53" t="s">
        <v>401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53" t="s">
        <v>413</v>
      </c>
      <c r="D62" s="1"/>
      <c r="E62" s="53" t="s">
        <v>399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53" t="s">
        <v>415</v>
      </c>
      <c r="D63" s="1"/>
      <c r="E63" s="53" t="s">
        <v>406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53" t="s">
        <v>417</v>
      </c>
      <c r="D64" s="1"/>
      <c r="E64" s="53" t="s">
        <v>399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53" t="s">
        <v>418</v>
      </c>
      <c r="D65" s="1"/>
      <c r="E65" s="53" t="s">
        <v>401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53" t="s">
        <v>420</v>
      </c>
      <c r="D66" s="1"/>
      <c r="E66" s="53" t="s">
        <v>399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53" t="s">
        <v>421</v>
      </c>
      <c r="D67" s="1"/>
      <c r="E67" s="53" t="s">
        <v>406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53" t="s">
        <v>422</v>
      </c>
      <c r="D68" s="1"/>
      <c r="E68" s="53" t="s">
        <v>423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53" t="s">
        <v>424</v>
      </c>
      <c r="D69" s="1"/>
      <c r="E69" s="53" t="s">
        <v>425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53" t="s">
        <v>426</v>
      </c>
      <c r="D70" s="1"/>
      <c r="E70" s="53" t="s">
        <v>425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53" t="s">
        <v>431</v>
      </c>
      <c r="D71" s="1"/>
      <c r="E71" s="53" t="s">
        <v>432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53" t="s">
        <v>434</v>
      </c>
      <c r="D72" s="1"/>
      <c r="E72" s="53" t="s">
        <v>425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53" t="s">
        <v>438</v>
      </c>
      <c r="D73" s="1"/>
      <c r="E73" s="53" t="s">
        <v>425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53" t="s">
        <v>439</v>
      </c>
      <c r="D74" s="1"/>
      <c r="E74" s="53" t="s">
        <v>432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53" t="s">
        <v>441</v>
      </c>
      <c r="D75" s="1"/>
      <c r="E75" s="53" t="s">
        <v>442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53" t="s">
        <v>445</v>
      </c>
      <c r="D76" s="1"/>
      <c r="E76" s="53" t="s">
        <v>446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53" t="s">
        <v>447</v>
      </c>
      <c r="D77" s="1"/>
      <c r="E77" s="53" t="s">
        <v>390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53" t="s">
        <v>448</v>
      </c>
      <c r="D78" s="1"/>
      <c r="E78" s="53" t="s">
        <v>390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53" t="s">
        <v>449</v>
      </c>
      <c r="D79" s="1"/>
      <c r="E79" s="53" t="s">
        <v>390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53" t="s">
        <v>450</v>
      </c>
      <c r="D80" s="1"/>
      <c r="E80" s="53" t="s">
        <v>390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53" t="s">
        <v>451</v>
      </c>
      <c r="D81" s="1"/>
      <c r="E81" s="53" t="s">
        <v>390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53" t="s">
        <v>452</v>
      </c>
      <c r="D82" s="1"/>
      <c r="E82" s="53" t="s">
        <v>390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53" t="s">
        <v>453</v>
      </c>
      <c r="D83" s="1"/>
      <c r="E83" s="53" t="s">
        <v>390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53" t="s">
        <v>454</v>
      </c>
      <c r="D84" s="1"/>
      <c r="E84" s="53" t="s">
        <v>390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53" t="s">
        <v>455</v>
      </c>
      <c r="D85" s="1"/>
      <c r="E85" s="53" t="s">
        <v>394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53" t="s">
        <v>456</v>
      </c>
      <c r="D86" s="1"/>
      <c r="E86" s="53" t="s">
        <v>457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53" t="s">
        <v>458</v>
      </c>
      <c r="D87" s="1"/>
      <c r="E87" s="53" t="s">
        <v>390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53" t="s">
        <v>459</v>
      </c>
      <c r="D88" s="1"/>
      <c r="E88" s="53" t="s">
        <v>390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53" t="s">
        <v>460</v>
      </c>
      <c r="D89" s="1"/>
      <c r="E89" s="53" t="s">
        <v>390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53" t="s">
        <v>461</v>
      </c>
      <c r="D90" s="1"/>
      <c r="E90" s="53" t="s">
        <v>390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53" t="s">
        <v>462</v>
      </c>
      <c r="D91" s="1"/>
      <c r="E91" s="53" t="s">
        <v>390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53" t="s">
        <v>463</v>
      </c>
      <c r="D92" s="1"/>
      <c r="E92" s="53" t="s">
        <v>390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53" t="s">
        <v>464</v>
      </c>
      <c r="D93" s="1"/>
      <c r="E93" s="53" t="s">
        <v>465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53" t="s">
        <v>466</v>
      </c>
      <c r="D94" s="1"/>
      <c r="E94" s="53" t="s">
        <v>467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53" t="s">
        <v>468</v>
      </c>
      <c r="D95" s="1"/>
      <c r="E95" s="53" t="s">
        <v>467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53" t="s">
        <v>469</v>
      </c>
      <c r="D96" s="1"/>
      <c r="E96" s="53" t="s">
        <v>390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53" t="s">
        <v>470</v>
      </c>
      <c r="D97" s="1"/>
      <c r="E97" s="53" t="s">
        <v>471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53" t="s">
        <v>472</v>
      </c>
      <c r="D98" s="1"/>
      <c r="E98" s="53" t="s">
        <v>465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53" t="s">
        <v>473</v>
      </c>
      <c r="D99" s="1"/>
      <c r="E99" s="53" t="s">
        <v>399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53" t="s">
        <v>474</v>
      </c>
      <c r="D100" s="1"/>
      <c r="E100" s="53" t="s">
        <v>475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53" t="s">
        <v>476</v>
      </c>
      <c r="D101" s="1"/>
      <c r="E101" s="53" t="s">
        <v>475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53" t="s">
        <v>477</v>
      </c>
      <c r="D102" s="1"/>
      <c r="E102" s="53" t="s">
        <v>399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53" t="s">
        <v>478</v>
      </c>
      <c r="D103" s="1"/>
      <c r="E103" s="53" t="s">
        <v>399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53" t="s">
        <v>479</v>
      </c>
      <c r="D104" s="1"/>
      <c r="E104" s="53" t="s">
        <v>480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53" t="s">
        <v>481</v>
      </c>
      <c r="D105" s="1"/>
      <c r="E105" s="53" t="s">
        <v>394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53" t="s">
        <v>482</v>
      </c>
      <c r="D106" s="1"/>
      <c r="E106" s="53" t="s">
        <v>475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53" t="s">
        <v>483</v>
      </c>
      <c r="D107" s="1"/>
      <c r="E107" s="53" t="s">
        <v>457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53" t="s">
        <v>484</v>
      </c>
      <c r="D108" s="1"/>
      <c r="E108" s="53" t="s">
        <v>457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53" t="s">
        <v>485</v>
      </c>
      <c r="D109" s="1"/>
      <c r="E109" s="53" t="s">
        <v>486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53" t="s">
        <v>487</v>
      </c>
      <c r="D110" s="1"/>
      <c r="E110" s="53" t="s">
        <v>486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53" t="s">
        <v>488</v>
      </c>
      <c r="D111" s="1"/>
      <c r="E111" s="53" t="s">
        <v>486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53" t="s">
        <v>489</v>
      </c>
      <c r="D112" s="1"/>
      <c r="E112" s="53" t="s">
        <v>490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53" t="s">
        <v>491</v>
      </c>
      <c r="D113" s="1"/>
      <c r="E113" s="53" t="s">
        <v>394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53" t="s">
        <v>492</v>
      </c>
      <c r="D114" s="1"/>
      <c r="E114" s="53" t="s">
        <v>394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53" t="s">
        <v>493</v>
      </c>
      <c r="D115" s="1"/>
      <c r="E115" s="53" t="s">
        <v>390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53" t="s">
        <v>494</v>
      </c>
      <c r="D116" s="1"/>
      <c r="E116" s="53" t="s">
        <v>467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53" t="s">
        <v>495</v>
      </c>
      <c r="D117" s="1"/>
      <c r="E117" s="53" t="s">
        <v>390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53" t="s">
        <v>496</v>
      </c>
      <c r="D118" s="1"/>
      <c r="E118" s="53" t="s">
        <v>390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53" t="s">
        <v>497</v>
      </c>
      <c r="D119" s="1"/>
      <c r="E119" s="53" t="s">
        <v>390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53" t="s">
        <v>498</v>
      </c>
      <c r="D120" s="1"/>
      <c r="E120" s="53" t="s">
        <v>390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53" t="s">
        <v>499</v>
      </c>
      <c r="D121" s="1"/>
      <c r="E121" s="53" t="s">
        <v>457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53" t="s">
        <v>500</v>
      </c>
      <c r="D122" s="1"/>
      <c r="E122" s="53" t="s">
        <v>390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53" t="s">
        <v>501</v>
      </c>
      <c r="D123" s="1"/>
      <c r="E123" s="53" t="s">
        <v>425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53" t="s">
        <v>502</v>
      </c>
      <c r="D124" s="1"/>
      <c r="E124" s="53" t="s">
        <v>503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53" t="s">
        <v>504</v>
      </c>
      <c r="D125" s="1"/>
      <c r="E125" s="53" t="s">
        <v>394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53" t="s">
        <v>505</v>
      </c>
      <c r="D126" s="1"/>
      <c r="E126" s="53" t="s">
        <v>465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53" t="s">
        <v>506</v>
      </c>
      <c r="D127" s="1"/>
      <c r="E127" s="53" t="s">
        <v>467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53" t="s">
        <v>507</v>
      </c>
      <c r="D128" s="1"/>
      <c r="E128" s="53" t="s">
        <v>467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53" t="s">
        <v>508</v>
      </c>
      <c r="D129" s="1"/>
      <c r="E129" s="53" t="s">
        <v>467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53" t="s">
        <v>509</v>
      </c>
      <c r="D130" s="1"/>
      <c r="E130" s="53" t="s">
        <v>390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53" t="s">
        <v>510</v>
      </c>
      <c r="D131" s="1"/>
      <c r="E131" s="53" t="s">
        <v>390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53" t="s">
        <v>511</v>
      </c>
      <c r="D132" s="1"/>
      <c r="E132" s="53" t="s">
        <v>390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53" t="s">
        <v>512</v>
      </c>
      <c r="D133" s="1"/>
      <c r="E133" s="53" t="s">
        <v>394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10">
    <mergeCell ref="A3:C3"/>
    <mergeCell ref="A4:B4"/>
    <mergeCell ref="C4:K4"/>
    <mergeCell ref="A1:C1"/>
    <mergeCell ref="D1:E1"/>
    <mergeCell ref="G1:I1"/>
    <mergeCell ref="A2:C2"/>
    <mergeCell ref="D2:E2"/>
    <mergeCell ref="G2:I2"/>
    <mergeCell ref="D3:E3"/>
  </mergeCells>
  <dataValidations>
    <dataValidation type="list" allowBlank="1" sqref="H10:H45">
      <formula1>"○,－"</formula1>
    </dataValidation>
    <dataValidation type="list" allowBlank="1" sqref="E10:E45">
      <formula1>"CHAR,VARCHAR,NUM,DEC,DATE,TIMESTAMP"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2.0"/>
    <col customWidth="1" min="3" max="3" width="28.0"/>
    <col customWidth="1" min="4" max="4" width="36.0"/>
    <col customWidth="1" min="5" max="6" width="28.0"/>
    <col customWidth="1" min="7" max="8" width="18.0"/>
  </cols>
  <sheetData>
    <row r="1" ht="24.0" customHeight="1">
      <c r="A1" s="112"/>
      <c r="B1" s="113" t="s">
        <v>513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18.0" customHeight="1">
      <c r="A2" s="112"/>
      <c r="B2" s="114" t="s">
        <v>514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18.0" customHeight="1">
      <c r="A3" s="112"/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18.0" customHeight="1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36.0" customHeight="1">
      <c r="A5" s="112"/>
      <c r="B5" s="115" t="s">
        <v>515</v>
      </c>
      <c r="C5" s="115" t="s">
        <v>516</v>
      </c>
      <c r="D5" s="115" t="s">
        <v>517</v>
      </c>
      <c r="E5" s="115" t="s">
        <v>518</v>
      </c>
      <c r="F5" s="115" t="s">
        <v>519</v>
      </c>
      <c r="G5" s="115" t="s">
        <v>520</v>
      </c>
      <c r="H5" s="115" t="s">
        <v>70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31.5" customHeight="1">
      <c r="A6" s="112"/>
      <c r="B6" s="116" t="s">
        <v>521</v>
      </c>
      <c r="C6" s="116" t="s">
        <v>522</v>
      </c>
      <c r="D6" s="116" t="s">
        <v>523</v>
      </c>
      <c r="E6" s="116" t="s">
        <v>524</v>
      </c>
      <c r="F6" s="116" t="s">
        <v>525</v>
      </c>
      <c r="G6" s="116" t="s">
        <v>526</v>
      </c>
      <c r="H6" s="116" t="s">
        <v>527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31.5" customHeight="1">
      <c r="A7" s="112"/>
      <c r="B7" s="116" t="s">
        <v>528</v>
      </c>
      <c r="C7" s="116" t="s">
        <v>522</v>
      </c>
      <c r="D7" s="116" t="s">
        <v>529</v>
      </c>
      <c r="E7" s="116" t="s">
        <v>530</v>
      </c>
      <c r="F7" s="116" t="s">
        <v>531</v>
      </c>
      <c r="G7" s="116" t="s">
        <v>532</v>
      </c>
      <c r="H7" s="116" t="s">
        <v>533</v>
      </c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31.5" customHeight="1">
      <c r="A8" s="112"/>
      <c r="B8" s="116" t="s">
        <v>534</v>
      </c>
      <c r="C8" s="116" t="s">
        <v>535</v>
      </c>
      <c r="D8" s="116" t="s">
        <v>536</v>
      </c>
      <c r="E8" s="116" t="s">
        <v>530</v>
      </c>
      <c r="F8" s="116" t="s">
        <v>537</v>
      </c>
      <c r="G8" s="116" t="s">
        <v>538</v>
      </c>
      <c r="H8" s="116" t="s">
        <v>539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21.75" customHeight="1">
      <c r="A9" s="112"/>
      <c r="B9" s="117" t="s">
        <v>540</v>
      </c>
      <c r="C9" s="117" t="s">
        <v>541</v>
      </c>
      <c r="D9" s="117" t="s">
        <v>542</v>
      </c>
      <c r="E9" s="117" t="s">
        <v>530</v>
      </c>
      <c r="F9" s="117" t="s">
        <v>531</v>
      </c>
      <c r="G9" s="117" t="s">
        <v>543</v>
      </c>
      <c r="H9" s="117" t="s">
        <v>544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21.75" customHeight="1">
      <c r="A10" s="112"/>
      <c r="B10" s="117" t="s">
        <v>545</v>
      </c>
      <c r="C10" s="117" t="s">
        <v>546</v>
      </c>
      <c r="D10" s="117" t="s">
        <v>547</v>
      </c>
      <c r="E10" s="117" t="s">
        <v>530</v>
      </c>
      <c r="F10" s="117" t="s">
        <v>548</v>
      </c>
      <c r="G10" s="117" t="s">
        <v>549</v>
      </c>
      <c r="H10" s="117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21.75" customHeight="1">
      <c r="A11" s="112"/>
      <c r="B11" s="117" t="s">
        <v>550</v>
      </c>
      <c r="C11" s="117" t="s">
        <v>551</v>
      </c>
      <c r="D11" s="117" t="s">
        <v>552</v>
      </c>
      <c r="E11" s="117" t="s">
        <v>530</v>
      </c>
      <c r="F11" s="117" t="s">
        <v>531</v>
      </c>
      <c r="G11" s="117" t="s">
        <v>549</v>
      </c>
      <c r="H11" s="117" t="s">
        <v>533</v>
      </c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42.0" customHeight="1">
      <c r="A12" s="112"/>
      <c r="B12" s="117" t="s">
        <v>553</v>
      </c>
      <c r="C12" s="117" t="s">
        <v>554</v>
      </c>
      <c r="D12" s="117" t="s">
        <v>555</v>
      </c>
      <c r="E12" s="117" t="s">
        <v>530</v>
      </c>
      <c r="F12" s="117" t="s">
        <v>556</v>
      </c>
      <c r="G12" s="117" t="s">
        <v>538</v>
      </c>
      <c r="H12" s="117" t="s">
        <v>557</v>
      </c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31.5" customHeight="1">
      <c r="A13" s="112"/>
      <c r="B13" s="116" t="s">
        <v>558</v>
      </c>
      <c r="C13" s="116" t="s">
        <v>559</v>
      </c>
      <c r="D13" s="116" t="s">
        <v>560</v>
      </c>
      <c r="E13" s="116" t="s">
        <v>524</v>
      </c>
      <c r="F13" s="116" t="s">
        <v>561</v>
      </c>
      <c r="G13" s="116" t="s">
        <v>562</v>
      </c>
      <c r="H13" s="116" t="s">
        <v>563</v>
      </c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21.75" customHeight="1">
      <c r="A14" s="112"/>
      <c r="B14" s="117"/>
      <c r="C14" s="117"/>
      <c r="D14" s="117"/>
      <c r="E14" s="117"/>
      <c r="F14" s="117"/>
      <c r="G14" s="117"/>
      <c r="H14" s="117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21.75" customHeight="1">
      <c r="A15" s="112"/>
      <c r="B15" s="117"/>
      <c r="C15" s="117"/>
      <c r="D15" s="117"/>
      <c r="E15" s="117"/>
      <c r="F15" s="117"/>
      <c r="G15" s="117"/>
      <c r="H15" s="117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21.75" customHeight="1">
      <c r="A16" s="112"/>
      <c r="B16" s="117"/>
      <c r="C16" s="117"/>
      <c r="D16" s="117"/>
      <c r="E16" s="117"/>
      <c r="F16" s="117"/>
      <c r="G16" s="117"/>
      <c r="H16" s="117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21.75" customHeight="1">
      <c r="A17" s="112"/>
      <c r="B17" s="117"/>
      <c r="C17" s="117"/>
      <c r="D17" s="117"/>
      <c r="E17" s="117"/>
      <c r="F17" s="117"/>
      <c r="G17" s="117"/>
      <c r="H17" s="117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21.75" customHeight="1">
      <c r="A18" s="112"/>
      <c r="B18" s="117"/>
      <c r="C18" s="117"/>
      <c r="D18" s="117"/>
      <c r="E18" s="117"/>
      <c r="F18" s="117"/>
      <c r="G18" s="117"/>
      <c r="H18" s="117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21.75" customHeight="1">
      <c r="A19" s="112"/>
      <c r="B19" s="117"/>
      <c r="C19" s="117"/>
      <c r="D19" s="117"/>
      <c r="E19" s="117"/>
      <c r="F19" s="117"/>
      <c r="G19" s="117"/>
      <c r="H19" s="117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21.75" customHeight="1">
      <c r="A20" s="112"/>
      <c r="B20" s="117"/>
      <c r="C20" s="117"/>
      <c r="D20" s="117"/>
      <c r="E20" s="117"/>
      <c r="F20" s="117"/>
      <c r="G20" s="117"/>
      <c r="H20" s="117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21.75" customHeight="1">
      <c r="A21" s="112"/>
      <c r="B21" s="117"/>
      <c r="C21" s="117"/>
      <c r="D21" s="117"/>
      <c r="E21" s="117"/>
      <c r="F21" s="117"/>
      <c r="G21" s="117"/>
      <c r="H21" s="117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21.75" customHeight="1">
      <c r="A22" s="112"/>
      <c r="B22" s="117"/>
      <c r="C22" s="117"/>
      <c r="D22" s="117"/>
      <c r="E22" s="117"/>
      <c r="F22" s="117"/>
      <c r="G22" s="117"/>
      <c r="H22" s="117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21.75" customHeight="1">
      <c r="A23" s="112"/>
      <c r="B23" s="117"/>
      <c r="C23" s="117"/>
      <c r="D23" s="117"/>
      <c r="E23" s="117"/>
      <c r="F23" s="117"/>
      <c r="G23" s="117"/>
      <c r="H23" s="117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21.75" customHeight="1">
      <c r="A24" s="112"/>
      <c r="B24" s="117"/>
      <c r="C24" s="117"/>
      <c r="D24" s="117"/>
      <c r="E24" s="117"/>
      <c r="F24" s="117"/>
      <c r="G24" s="117"/>
      <c r="H24" s="117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8.0" customHeight="1">
      <c r="A25" s="112"/>
      <c r="B25" s="112"/>
      <c r="C25" s="112"/>
      <c r="D25" s="112"/>
      <c r="E25" s="118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30.0" customHeight="1">
      <c r="A26" s="112"/>
      <c r="B26" s="114" t="s">
        <v>566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4.2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4.2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4.2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4.2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4.2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4.2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4.2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4.2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4.2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4.2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4.2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4.2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14.2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14.2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4.2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4.2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4.2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4.2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4.2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4.2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4.2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4.2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4.2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4.2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4.2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4.2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4.2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4.2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4.2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4.2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4.2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4.2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4.2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4.2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4.2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4.2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4.2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4.2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4.2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4.2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4.2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4.2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4.2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4.2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4.2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4.2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4.2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4.2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4.2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4.2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4.2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4.2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4.2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4.2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4.2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4.2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4.2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4.2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4.2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4.2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4.2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4.2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4.2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4.2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4.2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4.2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4.2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4.2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4.2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4.2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4.2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4.2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4.2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4.2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4.2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4.2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4.2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4.2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4.2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4.2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4.2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4.2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4.2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4.2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4.2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4.2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4.2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4.2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4.2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4.2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4.2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4.2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4.2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4.2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4.2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4.2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4.2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4.2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4.2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4.2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4.2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4.2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4.2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4.2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4.2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4.2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4.2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4.2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4.2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4.2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4.2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4.2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4.2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4.2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4.2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4.2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4.2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4.2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4.2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4.2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4.2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4.2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4.2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4.2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4.2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4.2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4.2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4.2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4.2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4.2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4.2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4.2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4.2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4.2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4.2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4.2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4.2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4.2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4.2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4.2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4.2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4.2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4.2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4.2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4.2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4.2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4.2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4.2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4.2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4.2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4.2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4.2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4.2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4.2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4.2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4.2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4.2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4.2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4.2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4.2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4.2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4.2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4.2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4.2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12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4.2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4.2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4.2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12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4.2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4.2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12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4.2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4.2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12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4.2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4.2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4.2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12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4.2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12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4.2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12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4.2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12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4.2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12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4.2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4.2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4.2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4.2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4.2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4.2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4.2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4.2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4.2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4.2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4.2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4.2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4.2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4.2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4.2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4.2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4.2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4.2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4.2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4.2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4.2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4.2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5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5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5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5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5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5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5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5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5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5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5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5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5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5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15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15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15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15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15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15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15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15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15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15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15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15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15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15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15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15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15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15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15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15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15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15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15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15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15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15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5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15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5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15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ht="15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ht="15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ht="15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ht="15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ht="15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ht="15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ht="15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ht="15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ht="15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ht="15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ht="15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ht="15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ht="15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ht="15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ht="15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ht="15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ht="15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ht="15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ht="15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ht="15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ht="15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ht="15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ht="15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ht="15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ht="15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ht="15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ht="15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ht="15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ht="15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ht="15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ht="15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ht="15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ht="15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ht="15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ht="15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ht="15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ht="15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ht="15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ht="15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ht="15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ht="15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ht="15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ht="15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ht="15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ht="15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ht="15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ht="15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ht="15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ht="15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ht="15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ht="15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ht="15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ht="15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ht="15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ht="15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ht="15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ht="15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ht="15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ht="15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ht="15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ht="15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ht="15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ht="15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ht="15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ht="15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ht="15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ht="15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ht="15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ht="15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ht="15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ht="15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ht="15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ht="15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ht="15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ht="15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ht="15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ht="15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ht="15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ht="15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ht="15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ht="15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ht="15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ht="15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ht="15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ht="15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ht="15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ht="15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ht="15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ht="15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ht="15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ht="15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ht="15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ht="15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ht="15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ht="15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ht="15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ht="15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ht="15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ht="15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ht="15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ht="15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ht="15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ht="15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ht="15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ht="15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ht="15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ht="15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ht="15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ht="15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ht="15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ht="15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ht="15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ht="15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ht="15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ht="15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ht="15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ht="15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ht="15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ht="15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ht="15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ht="15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ht="15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ht="15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ht="15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ht="15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ht="15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ht="15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ht="15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ht="15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ht="15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ht="15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ht="15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ht="15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ht="15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ht="15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ht="15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ht="15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ht="15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ht="15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ht="15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ht="15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ht="15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ht="15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ht="15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ht="15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ht="15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ht="15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ht="15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ht="15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5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dataValidations>
    <dataValidation type="list" allowBlank="1" sqref="E9:E25">
      <formula1>"情報,警告,エラー,致命"</formula1>
    </dataValidation>
  </dataValidations>
  <printOptions/>
  <pageMargins bottom="0.5" footer="0.0" header="0.0" left="0.5" right="0.5" top="0.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Col="1"/>
  <cols>
    <col customWidth="1" min="1" max="1" width="2.0"/>
    <col customWidth="1" min="2" max="2" width="11.0"/>
    <col customWidth="1" min="3" max="3" width="10.86"/>
    <col customWidth="1" min="4" max="4" width="29.29"/>
    <col customWidth="1" min="5" max="5" width="16.43"/>
    <col customWidth="1" min="6" max="6" width="26.86"/>
    <col customWidth="1" min="7" max="7" width="9.86"/>
    <col customWidth="1" min="8" max="8" width="7.43"/>
    <col customWidth="1" min="9" max="9" width="29.86"/>
    <col customWidth="1" min="10" max="10" width="13.43"/>
  </cols>
  <sheetData>
    <row r="1">
      <c r="A1" s="1"/>
      <c r="B1" s="2" t="s">
        <v>564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19" t="s">
        <v>565</v>
      </c>
      <c r="C5" s="119" t="s">
        <v>567</v>
      </c>
      <c r="D5" s="119" t="s">
        <v>568</v>
      </c>
      <c r="E5" s="119" t="s">
        <v>569</v>
      </c>
      <c r="F5" s="119" t="s">
        <v>570</v>
      </c>
      <c r="G5" s="119" t="s">
        <v>571</v>
      </c>
      <c r="H5" s="119" t="s">
        <v>572</v>
      </c>
      <c r="I5" s="119" t="s">
        <v>573</v>
      </c>
      <c r="J5" s="119" t="s">
        <v>574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0"/>
      <c r="C6" s="120"/>
      <c r="D6" s="120"/>
      <c r="E6" s="120"/>
      <c r="F6" s="120"/>
      <c r="G6" s="120"/>
      <c r="H6" s="29"/>
      <c r="I6" s="120"/>
      <c r="J6" s="12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9"/>
      <c r="C7" s="29"/>
      <c r="D7" s="29"/>
      <c r="E7" s="29"/>
      <c r="F7" s="29"/>
      <c r="G7" s="29"/>
      <c r="H7" s="31"/>
      <c r="I7" s="29"/>
      <c r="J7" s="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"/>
      <c r="C8" s="29"/>
      <c r="D8" s="29"/>
      <c r="E8" s="29"/>
      <c r="F8" s="29"/>
      <c r="G8" s="29"/>
      <c r="H8" s="31"/>
      <c r="I8" s="29"/>
      <c r="J8" s="2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9"/>
      <c r="C9" s="29"/>
      <c r="D9" s="29"/>
      <c r="E9" s="29"/>
      <c r="F9" s="29"/>
      <c r="G9" s="29"/>
      <c r="H9" s="29"/>
      <c r="I9" s="29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9"/>
      <c r="C10" s="29"/>
      <c r="D10" s="29"/>
      <c r="E10" s="29"/>
      <c r="F10" s="29"/>
      <c r="G10" s="29"/>
      <c r="H10" s="31"/>
      <c r="I10" s="29"/>
      <c r="J10" s="2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9"/>
      <c r="C11" s="29"/>
      <c r="D11" s="29"/>
      <c r="E11" s="29"/>
      <c r="F11" s="29"/>
      <c r="G11" s="29"/>
      <c r="H11" s="31"/>
      <c r="I11" s="29"/>
      <c r="J11" s="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9"/>
      <c r="C12" s="29"/>
      <c r="D12" s="29"/>
      <c r="E12" s="29"/>
      <c r="F12" s="29"/>
      <c r="G12" s="29"/>
      <c r="H12" s="31"/>
      <c r="I12" s="29"/>
      <c r="J12" s="2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9"/>
      <c r="C13" s="29"/>
      <c r="D13" s="29"/>
      <c r="E13" s="29"/>
      <c r="F13" s="29"/>
      <c r="G13" s="29"/>
      <c r="H13" s="29"/>
      <c r="I13" s="29"/>
      <c r="J13" s="2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9"/>
      <c r="C14" s="29"/>
      <c r="D14" s="29"/>
      <c r="E14" s="29"/>
      <c r="F14" s="29"/>
      <c r="G14" s="29"/>
      <c r="H14" s="29"/>
      <c r="I14" s="29"/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9"/>
      <c r="C15" s="29"/>
      <c r="D15" s="29"/>
      <c r="E15" s="29"/>
      <c r="F15" s="29"/>
      <c r="G15" s="29"/>
      <c r="H15" s="29"/>
      <c r="I15" s="29"/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9"/>
      <c r="C16" s="29"/>
      <c r="D16" s="29"/>
      <c r="E16" s="29"/>
      <c r="F16" s="29"/>
      <c r="G16" s="29"/>
      <c r="H16" s="29"/>
      <c r="I16" s="29"/>
      <c r="J16" s="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9"/>
      <c r="C17" s="29"/>
      <c r="D17" s="29"/>
      <c r="E17" s="29"/>
      <c r="F17" s="29"/>
      <c r="G17" s="29"/>
      <c r="H17" s="31"/>
      <c r="I17" s="29"/>
      <c r="J17" s="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9"/>
      <c r="C19" s="29"/>
      <c r="D19" s="29"/>
      <c r="E19" s="29"/>
      <c r="F19" s="29"/>
      <c r="G19" s="29"/>
      <c r="H19" s="31"/>
      <c r="I19" s="29"/>
      <c r="J19" s="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9"/>
      <c r="C20" s="29"/>
      <c r="D20" s="29"/>
      <c r="E20" s="29"/>
      <c r="F20" s="29"/>
      <c r="G20" s="29"/>
      <c r="H20" s="31"/>
      <c r="I20" s="29"/>
      <c r="J20" s="2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9"/>
      <c r="C21" s="29"/>
      <c r="D21" s="29"/>
      <c r="E21" s="29"/>
      <c r="F21" s="29"/>
      <c r="G21" s="29"/>
      <c r="H21" s="31"/>
      <c r="I21" s="29"/>
      <c r="J21" s="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9"/>
      <c r="C22" s="29"/>
      <c r="D22" s="29"/>
      <c r="E22" s="29"/>
      <c r="F22" s="29"/>
      <c r="G22" s="29"/>
      <c r="H22" s="31"/>
      <c r="I22" s="29"/>
      <c r="J22" s="2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9"/>
      <c r="C23" s="29"/>
      <c r="D23" s="29"/>
      <c r="E23" s="29"/>
      <c r="F23" s="29"/>
      <c r="G23" s="29"/>
      <c r="H23" s="29"/>
      <c r="I23" s="29"/>
      <c r="J23" s="2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20"/>
      <c r="C24" s="120"/>
      <c r="D24" s="120"/>
      <c r="E24" s="120"/>
      <c r="F24" s="120"/>
      <c r="G24" s="121"/>
      <c r="H24" s="120"/>
      <c r="I24" s="120"/>
      <c r="J24" s="12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9"/>
      <c r="C25" s="29"/>
      <c r="D25" s="29"/>
      <c r="E25" s="29"/>
      <c r="F25" s="29"/>
      <c r="G25" s="29"/>
      <c r="H25" s="29"/>
      <c r="I25" s="29"/>
      <c r="J25" s="29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9"/>
      <c r="C26" s="29"/>
      <c r="D26" s="29"/>
      <c r="E26" s="29"/>
      <c r="F26" s="29"/>
      <c r="G26" s="29"/>
      <c r="H26" s="29"/>
      <c r="I26" s="29"/>
      <c r="J26" s="2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8"/>
      <c r="D27" s="1"/>
      <c r="E27" s="1"/>
      <c r="F27" s="1"/>
      <c r="G27" s="1"/>
      <c r="H27" s="3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dataValidations>
    <dataValidation type="list" allowBlank="1" sqref="C7:C27">
      <formula1>"前提,確認事項,TBD,リスク"</formula1>
    </dataValidation>
    <dataValidation type="list" allowBlank="1" sqref="H6:H27">
      <formula1>"未着手,確認中,完了,保留"</formula1>
    </dataValidation>
  </dataValidations>
  <printOptions/>
  <pageMargins bottom="0.5" footer="0.0" header="0.0" left="0.5" right="0.5" top="0.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2026-09-14T02:50:30Z</dcterms:created>
  <dc:creator>openpyxl</dc:creator>
</cp:coreProperties>
</file>