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基幹統合\1商品マスタ\"/>
    </mc:Choice>
  </mc:AlternateContent>
  <bookViews>
    <workbookView windowWidth="28800" windowHeight="11790" firstSheet="1"/>
  </bookViews>
  <sheets>
    <sheet name="商品マスタ(item_mst.txt)" sheetId="1" r:id="rId1"/>
    <sheet name="マッピング(旧参照用)" sheetId="2" r:id="rId2"/>
  </sheets>
  <externalReferences>
    <externalReference r:id="rId3"/>
  </externalReferences>
  <definedNames>
    <definedName name="_DF400">{"サーバ別",#N/A,FALSE,"業務改造"}</definedName>
    <definedName name="a">{"サーバ別",#N/A,FALSE,"業務改造"}</definedName>
    <definedName name="a_">{"サーバ別",#N/A,FALSE,"業務改造"}</definedName>
    <definedName name="aa">{#N/A,#N/A,FALSE,"担当"}</definedName>
    <definedName name="aaa">{"Ｍ系全体",#N/A,FALSE,"業務改造";"サーバ別",#N/A,FALSE,"業務改造"}</definedName>
    <definedName name="aaaaa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a">{#N/A,#N/A,FALSE,"担当"}</definedName>
    <definedName name="aaaaaaaa">{"Ｍ系全体",#N/A,FALSE,"業務改造";"サーバ別",#N/A,FALSE,"業務改造"}</definedName>
    <definedName name="ABC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fee">{#N/A,#N/A,FALSE,"担当"}</definedName>
    <definedName name="aher">{"Ｍ系全体",#N/A,FALSE,"業務改造";"サーバ別",#N/A,FALSE,"業務改造"}</definedName>
    <definedName name="avd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ｂ">{#N/A,#N/A,FALSE,"担当"}</definedName>
    <definedName name="bbbbb">{#N/A,#N/A,FALSE,"担当"}</definedName>
    <definedName name="b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oo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t">{"Ｍ系全体",#N/A,FALSE,"業務改造";"サーバ別",#N/A,FALSE,"業務改造"}</definedName>
    <definedName name="bvrt">{"サーバ別",#N/A,FALSE,"業務改造"}</definedName>
    <definedName name="da">{"Ｍ系全体",#N/A,FALSE,"業務改造";"担当",#N/A,FALSE,"担当"}</definedName>
    <definedName name="djyg">{"サーバ別",#N/A,FALSE,"業務改造"}</definedName>
    <definedName name="dmhn">{"Ｍ系全体",#N/A,FALSE,"業務改造";"サーバ別",#N/A,FALSE,"業務改造"}</definedName>
    <definedName name="dmng">{"Ｍ系全体",#N/A,FALSE,"業務改造"}</definedName>
    <definedName name="dtmnf">{"Ｍ系全体",#N/A,FALSE,"業務改造";"担当",#N/A,FALSE,"担当"}</definedName>
    <definedName name="ea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at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awt">{"サーバ別",#N/A,FALSE,"業務改造"}</definedName>
    <definedName name="ee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t">{"Ｍ系全体",#N/A,FALSE,"業務改造";"サーバ別",#N/A,FALSE,"業務改造"}</definedName>
    <definedName name="er">{#N/A,#N/A,FALSE,"担当"}</definedName>
    <definedName name="ere">{"サーバ別",#N/A,FALSE,"業務改造"}</definedName>
    <definedName name="ert">{"Ｍ系全体",#N/A,FALSE,"業務改造";"サーバ別",#N/A,FALSE,"業務改造"}</definedName>
    <definedName name="ertjy">{"Ｍ系全体",#N/A,FALSE,"業務改造"}</definedName>
    <definedName name="erty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te">{"Ｍ系全体",#N/A,FALSE,"業務改造"}</definedName>
    <definedName name="etrh">{"Ｍ系全体",#N/A,FALSE,"業務改造"}</definedName>
    <definedName name="eytryj">{#N/A,#N/A,FALSE,"担当"}</definedName>
    <definedName name="f">{#N/A,#N/A,FALSE,"担当"}</definedName>
    <definedName name="fa">{#N/A,#N/A,FALSE,"担当"}</definedName>
    <definedName name="faea">{"Ｍ系全体",#N/A,FALSE,"業務改造";"サーバ別",#N/A,FALSE,"業務改造"}</definedName>
    <definedName name="feer">{"Ｍ系全体",#N/A,FALSE,"業務改造";"サーバ別",#N/A,FALSE,"業務改造"}</definedName>
    <definedName name="ｆｆｆ">{"Ｍ系全体",#N/A,FALSE,"業務改造";"サーバ別",#N/A,FALSE,"業務改造"}</definedName>
    <definedName name="ffg">{"Ｍ系全体",#N/A,FALSE,"業務改造";"サーバ別",#N/A,FALSE,"業務改造"}</definedName>
    <definedName name="fgh">{"サーバ別",#N/A,FALSE,"業務改造"}</definedName>
    <definedName name="ft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fyk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aer">{"Ｍ系全体",#N/A,FALSE,"業務改造";"サーバ別",#N/A,FALSE,"業務改造"}</definedName>
    <definedName name="geds">{"Ｍ系全体",#N/A,FALSE,"業務改造"}</definedName>
    <definedName name="gee">{"サーバ別",#N/A,FALSE,"業務改造"}</definedName>
    <definedName name="ge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erera">{"Ｍ系全体",#N/A,FALSE,"業務改造";"サーバ別",#N/A,FALSE,"業務改造"}</definedName>
    <definedName name="ge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r">{"Ｍ系全体",#N/A,FALSE,"業務改造"}</definedName>
    <definedName name="ggre">{"サーバ別",#N/A,FALSE,"業務改造"}</definedName>
    <definedName name="ggres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greshr">{"Ｍ系全体",#N/A,FALSE,"業務改造";"担当",#N/A,FALSE,"担当"}</definedName>
    <definedName name="ha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b">{"Ｍ系全体",#N/A,FALSE,"業務改造";"サーバ別",#N/A,FALSE,"業務改造"}</definedName>
    <definedName name="he">{"Ｍ系全体",#N/A,FALSE,"業務改造"}</definedName>
    <definedName name="hfdr">{#N/A,#N/A,FALSE,"担当"}</definedName>
    <definedName name="hg">{"Ｍ系全体",#N/A,FALSE,"業務改造";"サーバ別",#N/A,FALSE,"業務改造"}</definedName>
    <definedName name="hgf">{"サーバ別",#N/A,FALSE,"業務改造"}</definedName>
    <definedName name="hg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hhhh">{#N/A,#N/A,FALSE,"担当"}</definedName>
    <definedName name="hhrg">{"Ｍ系全体",#N/A,FALSE,"業務改造";"サーバ別",#N/A,FALSE,"業務改造"}</definedName>
    <definedName name="hjg">{"Ｍ系全体",#N/A,FALSE,"業務改造";"サーバ別",#N/A,FALSE,"業務改造"}</definedName>
    <definedName name="hsrd">{#N/A,#N/A,FALSE,"担当"}</definedName>
    <definedName name="hsrtb">{"サーバ別",#N/A,FALSE,"業務改造"}</definedName>
    <definedName name="htht">{#N/A,#N/A,FALSE,"担当"}</definedName>
    <definedName name="htht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1_1">"'[MILLE999.xls]価格表（社外出力） (2)'!$A$1:$E$225"</definedName>
    <definedName name="HTML1_10">""</definedName>
    <definedName name="HTML1_11">1</definedName>
    <definedName name="HTML1_12">"J:\Ｎ技２\IWASHITA\MyHTML.htm"</definedName>
    <definedName name="HTML1_2">1</definedName>
    <definedName name="HTML1_3">"MILLE999.xls"</definedName>
    <definedName name="HTML1_4">"価格表（社外出力） (2)"</definedName>
    <definedName name="HTML1_5">""</definedName>
    <definedName name="HTML1_6">-4146</definedName>
    <definedName name="HTML1_7">-4146</definedName>
    <definedName name="HTML1_8">"98/03/13"</definedName>
    <definedName name="HTML1_9">"日立西部ソフトウェア(株)"</definedName>
    <definedName name="HTMLCount">1</definedName>
    <definedName name="htr">{"Ｍ系全体",#N/A,FALSE,"業務改造";"サーバ別",#N/A,FALSE,"業務改造"}</definedName>
    <definedName name="htrh">{"サーバ別",#N/A,FALSE,"業務改造"}</definedName>
    <definedName name="iku">{"Ｍ系全体",#N/A,FALSE,"業務改造";"サーバ別",#N/A,FALSE,"業務改造"}</definedName>
    <definedName name="iym">{"サーバ別",#N/A,FALSE,"業務改造"}</definedName>
    <definedName name="jdtr">{"Ｍ系全体",#N/A,FALSE,"業務改造";"担当",#N/A,FALSE,"担当"}</definedName>
    <definedName name="jdyyd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jjjj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ktu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mrfncgv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ndxf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rfg">{"サーバ別",#N/A,FALSE,"業務改造"}</definedName>
    <definedName name="jrnfg">{"Ｍ系全体",#N/A,FALSE,"業務改造";"サーバ別",#N/A,FALSE,"業務改造"}</definedName>
    <definedName name="jryfcghv">{"サーバ別",#N/A,FALSE,"業務改造"}</definedName>
    <definedName name="jtjy">{"Ｍ系全体",#N/A,FALSE,"業務改造";"サーバ別",#N/A,FALSE,"業務改造"}</definedName>
    <definedName name="jtrdgf">{#N/A,#N/A,FALSE,"担当"}</definedName>
    <definedName name="jty">{#N/A,#N/A,FALSE,"担当"}</definedName>
    <definedName name="juj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yjt">{"サーバ別",#N/A,FALSE,"業務改造"}</definedName>
    <definedName name="jyt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ytj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fun">{"サーバ別",#N/A,FALSE,"業務改造"}</definedName>
    <definedName name="kfymg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kk">{"サーバ別",#N/A,FALSE,"業務改造"}</definedName>
    <definedName name="kkk">{"Ｍ系全体",#N/A,FALSE,"業務改造"}</definedName>
    <definedName name="kkkkkk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tghbn">{"Ｍ系全体",#N/A,FALSE,"業務改造";"サーバ別",#N/A,FALSE,"業務改造"}</definedName>
    <definedName name="ktujg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">{"Ｍ系全体",#N/A,FALSE,"業務改造";"サーバ別",#N/A,FALSE,"業務改造"}</definedName>
    <definedName name="kufhg">{"Ｍ系全体",#N/A,FALSE,"業務改造"}</definedName>
    <definedName name="kujgh">{#N/A,#N/A,FALSE,"担当"}</definedName>
    <definedName name="kuk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y">{#N/A,#N/A,FALSE,"担当"}</definedName>
    <definedName name="kuy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f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ugh">{"Ｍ系全体",#N/A,FALSE,"業務改造";"サーバ別",#N/A,FALSE,"業務改造"}</definedName>
    <definedName name="kyumhn">{"Ｍ系全体",#N/A,FALSE,"業務改造";"担当",#N/A,FALSE,"担当"}</definedName>
    <definedName name="kyut">{"Ｍ系全体",#N/A,FALSE,"業務改造";"担当",#N/A,FALSE,"担当"}</definedName>
    <definedName name="l">{"Ｍ系全体",#N/A,FALSE,"業務改造"}</definedName>
    <definedName name="la">{"Ｍ系全体",#N/A,FALSE,"業務改造";"サーバ別",#N/A,FALSE,"業務改造"}</definedName>
    <definedName name="lll">{"Ｍ系全体",#N/A,FALSE,"業務改造";"サーバ別",#N/A,FALSE,"業務改造"}</definedName>
    <definedName name="mfgv">{"Ｍ系全体",#N/A,FALSE,"業務改造"}</definedName>
    <definedName name="mfhn">{"Ｍ系全体",#N/A,FALSE,"業務改造";"サーバ別",#N/A,FALSE,"業務改造"}</definedName>
    <definedName name="mfn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n">{"サーバ別",#N/A,FALSE,"業務改造"}</definedName>
    <definedName name="mngf">{"Ｍ系全体",#N/A,FALSE,"業務改造";"サーバ別",#N/A,FALSE,"業務改造"}</definedName>
    <definedName name="mngfb">{"Ｍ系全体",#N/A,FALSE,"業務改造";"サーバ別",#N/A,FALSE,"業務改造"}</definedName>
    <definedName name="mygf">{"Ｍ系全体",#N/A,FALSE,"業務改造";"サーバ別",#N/A,FALSE,"業務改造"}</definedName>
    <definedName name="n">{"サーバ別",#N/A,FALSE,"業務改造"}</definedName>
    <definedName name="ng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OK">{"サーバ別",#N/A,FALSE,"業務改造"}</definedName>
    <definedName name="oo">{"サーバ別",#N/A,FALSE,"業務改造"}</definedName>
    <definedName name="pppp">{#N/A,#N/A,FALSE,"担当"}</definedName>
    <definedName name="q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a">{"サーバ別",#N/A,FALSE,"業務改造"}</definedName>
    <definedName name="rea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ate">{"Ｍ系全体",#N/A,FALSE,"業務改造"}</definedName>
    <definedName name="reaw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tea">{"Ｍ系全体",#N/A,FALSE,"業務改造";"サーバ別",#N/A,FALSE,"業務改造"}</definedName>
    <definedName name="rej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te">{"Ｍ系全体",#N/A,FALSE,"業務改造";"サーバ別",#N/A,FALSE,"業務改造"}</definedName>
    <definedName name="rete">{"サーバ別",#N/A,FALSE,"業務改造"}</definedName>
    <definedName name="reth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ew">{"Ｍ系全体",#N/A,FALSE,"業務改造";"サーバ別",#N/A,FALSE,"業務改造"}</definedName>
    <definedName name="rgf">{"Ｍ系全体",#N/A,FALSE,"業務改造"}</definedName>
    <definedName name="rgrs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kdyyth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ngf">{"サーバ別",#N/A,FALSE,"業務改造"}</definedName>
    <definedName name="r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tuyj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rtyuj">{"Ｍ系全体",#N/A,FALSE,"業務改造";"サーバ別",#N/A,FALSE,"業務改造"}</definedName>
    <definedName name="sas">{"サーバ別",#N/A,FALSE,"業務改造"}</definedName>
    <definedName name="ser">{"Ｍ系全体",#N/A,FALSE,"業務改造";"サーバ別",#N/A,FALSE,"業務改造"}</definedName>
    <definedName name="ｓｓｓｓ">{#N/A,#N/A,FALSE,"担当"}</definedName>
    <definedName name="teate">{"Ｍ系全体",#N/A,FALSE,"業務改造";"担当",#N/A,FALSE,"担当"}</definedName>
    <definedName name="tes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gt">{"サーバ別",#N/A,FALSE,"業務改造"}</definedName>
    <definedName name="tj">{#N/A,#N/A,FALSE,"担当"}</definedName>
    <definedName name="tn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ryu">{"Ｍ系全体",#N/A,FALSE,"業務改造";"担当",#N/A,FALSE,"担当"}</definedName>
    <definedName name="tt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tttttttt">{#N/A,#N/A,FALSE,"担当"}</definedName>
    <definedName name="tyjkj">{"Ｍ系全体",#N/A,FALSE,"業務改造";"担当",#N/A,FALSE,"担当"}</definedName>
    <definedName name="uk">{"Ｍ系全体",#N/A,FALSE,"業務改造"}</definedName>
    <definedName name="u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uku">{"サーバ別",#N/A,FALSE,"業務改造"}</definedName>
    <definedName name="uygh">{"サーバ別",#N/A,FALSE,"業務改造"}</definedName>
    <definedName name="ｗ">{"サーバ別",#N/A,FALSE,"業務改造"}</definedName>
    <definedName name="wa">{"Ｍ系全体",#N/A,FALSE,"業務改造";"サーバ別",#N/A,FALSE,"業務改造"}</definedName>
    <definedName name="wrn.confshet.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>{"Ｍ系全体",#N/A,FALSE,"業務改造"}</definedName>
    <definedName name="wrn.サーバ別.">{"サーバ別",#N/A,FALSE,"業務改造"}</definedName>
    <definedName name="wrn.構成ｶﾞｲﾄﾞ_全印刷.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>{"Ｍ系全体",#N/A,FALSE,"業務改造";"サーバ別",#N/A,FALSE,"業務改造"}</definedName>
    <definedName name="wrn.全体and担当.">{"Ｍ系全体",#N/A,FALSE,"業務改造";"担当",#N/A,FALSE,"担当"}</definedName>
    <definedName name="wrn.担当.">{#N/A,#N/A,FALSE,"担当"}</definedName>
    <definedName name="ww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ww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>{"Ｍ系全体",#N/A,FALSE,"業務改造";"サーバ別",#N/A,FALSE,"業務改造"}</definedName>
    <definedName name="yfku">{#N/A,#N/A,FALSE,"担当"}</definedName>
    <definedName name="yfumg">{"Ｍ系全体",#N/A,FALSE,"業務改造"}</definedName>
    <definedName name="yimg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nrh">{"Ｍ系全体",#N/A,FALSE,"業務改造";"サーバ別",#N/A,FALSE,"業務改造"}</definedName>
    <definedName name="yrh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t">{#N/A,#N/A,FALSE,"担当"}</definedName>
    <definedName name="ytujk">{"サーバ別",#N/A,FALSE,"業務改造"}</definedName>
    <definedName name="yy">{"サーバ別",#N/A,FALSE,"業務改造"}</definedName>
    <definedName name="yyyy">{"Ｍ系全体",#N/A,FALSE,"業務改造"}</definedName>
    <definedName name="z">{"Ｍ系全体",#N/A,FALSE,"業務改造"}</definedName>
    <definedName name="zndg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">{"サーバ別",#N/A,FALSE,"業務改造"}</definedName>
    <definedName name="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ぁ">{"Ｍ系全体",#N/A,FALSE,"業務改造";"担当",#N/A,FALSE,"担当"}</definedName>
    <definedName name="ああ">{#N/A,#N/A,FALSE,"担当"}</definedName>
    <definedName name="ああ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あ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う">{"サーバ別",#N/A,FALSE,"業務改造"}</definedName>
    <definedName name="いい">{"Ｍ系全体",#N/A,FALSE,"業務改造"}</definedName>
    <definedName name="いいいいいいいいいいいいいいいい">{"サーバ別",#N/A,FALSE,"業務改造"}</definedName>
    <definedName name="う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おお">{"Ｍ系全体",#N/A,FALSE,"業務改造";"サーバ別",#N/A,FALSE,"業務改造"}</definedName>
    <definedName name="かかし">{"Ｍ系全体",#N/A,FALSE,"業務改造";"サーバ別",#N/A,FALSE,"業務改造"}</definedName>
    <definedName name="けいさん">{"サーバ別",#N/A,FALSE,"業務改造"}</definedName>
    <definedName name="コンフィグ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すすす">{"Ｍ系全体",#N/A,FALSE,"業務改造";"サーバ別",#N/A,FALSE,"業務改造"}</definedName>
    <definedName name="だ">{"Ｍ系全体",#N/A,FALSE,"業務改造";"サーバ別",#N/A,FALSE,"業務改造"}</definedName>
    <definedName name="ちす">{"Ｍ系全体",#N/A,FALSE,"業務改造"}</definedName>
    <definedName name="テスト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ホスト">{"Ｍ系全体",#N/A,FALSE,"業務改造";"サーバ別",#N/A,FALSE,"業務改造"}</definedName>
    <definedName name="仮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計算">{"サーバ別",#N/A,FALSE,"業務改造"}</definedName>
    <definedName name="HTML1_13">#REF!</definedName>
    <definedName name="HTML1_14">#REF!</definedName>
    <definedName name="HTML1_1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<sst xmlns="http://schemas.openxmlformats.org/spreadsheetml/2006/main" count="238" uniqueCount="153">
  <si>
    <t>項目マッピング表 — 商品マスタ（item_mst.txt）16項目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</si>
  <si>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</si>
  <si>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</si>
  <si>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</si>
  <si>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</si>
  <si>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</si>
  <si>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</si>
  <si>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（PRODUCTS）</t>
  </si>
  <si>
    <t>TRIAL 型/桁</t>
  </si>
  <si>
    <t>判定</t>
  </si>
  <si>
    <t>変換ルール・留意事項</t>
  </si>
  <si>
    <t>◆ 商品識別</t>
  </si>
  <si>
    <t>1</t>
  </si>
  <si>
    <t>○</t>
  </si>
  <si>
    <t>商品コード</t>
  </si>
  <si>
    <t>文字/100</t>
  </si>
  <si>
    <t>JAN</t>
  </si>
  <si>
    <t>文字/20</t>
  </si>
  <si>
    <t>△</t>
  </si>
  <si>
    <t>商品マスタのJANになります。(sinops:13桁、TRIAL：20桁)</t>
  </si>
  <si>
    <t>2</t>
  </si>
  <si>
    <t>商品名</t>
  </si>
  <si>
    <t>商品名称(漢字)</t>
  </si>
  <si>
    <t>文字/32</t>
  </si>
  <si>
    <t>直接マッピング可。TRIALのProductName（商品名称漢字）を使用。</t>
  </si>
  <si>
    <t>3</t>
  </si>
  <si>
    <t>容量</t>
  </si>
  <si>
    <t>規格名称(漢字)</t>
  </si>
  <si>
    <t>char/100</t>
  </si>
  <si>
    <t>直接マッピング可（規格名称をそのまま容量として使用）。</t>
  </si>
  <si>
    <t>4</t>
  </si>
  <si>
    <t>メーカーコード</t>
  </si>
  <si>
    <t>char/6</t>
  </si>
  <si>
    <t>2026/7/7岩瀬慶則:
自動発注の基本商品マスタ連携で、メーカーコードについては、現状通りブランクでの連携をお願い致します。</t>
  </si>
  <si>
    <t>現状sinops:空白、確認が必要です。</t>
  </si>
  <si>
    <t>◆ 商品分類コード</t>
  </si>
  <si>
    <t>5</t>
  </si>
  <si>
    <t>大分類コード</t>
  </si>
  <si>
    <t>文字/100（固定長）</t>
  </si>
  <si>
    <t>固定長にて設定ください</t>
  </si>
  <si>
    <t>ディビジョンコード</t>
  </si>
  <si>
    <t>文字/4</t>
  </si>
  <si>
    <t>GAPあり。部門(sinops:2桁、TRIAL：4桁)</t>
  </si>
  <si>
    <t>6</t>
  </si>
  <si>
    <t>中分類コード</t>
  </si>
  <si>
    <t>ディビジョンコード+部門コード</t>
  </si>
  <si>
    <t>文字/8</t>
  </si>
  <si>
    <t>GAPあり。部門+中分類(sinops:2桁+2桁、TRIAL：4桁+4桁)</t>
  </si>
  <si>
    <t>7</t>
  </si>
  <si>
    <t>小分類コード</t>
  </si>
  <si>
    <t>ディビジョンコード+部門コード+ミニ部門コード</t>
  </si>
  <si>
    <t>文字/12</t>
  </si>
  <si>
    <t>GAPあり。部門+中分類 +小分類(sinops:2桁+2桁+4桁、TRIAL：4桁+4桁+4桁)</t>
  </si>
  <si>
    <t>8</t>
  </si>
  <si>
    <t>細目コード</t>
  </si>
  <si>
    <t>固定長にて設定ください
ない場合0固定</t>
  </si>
  <si>
    <t>品目コード</t>
  </si>
  <si>
    <t>―</t>
  </si>
  <si>
    <t>sinops側は未使用のため「0」固定設定で対応。</t>
  </si>
  <si>
    <t>管理表に確認中です。</t>
  </si>
  <si>
    <t>◆ 日数・期限管理</t>
  </si>
  <si>
    <t>9</t>
  </si>
  <si>
    <t>入荷期限日数</t>
  </si>
  <si>
    <t>整数値/5</t>
  </si>
  <si>
    <t>0～99999
ない場合0固定</t>
  </si>
  <si>
    <t>― (TRIAL上に項目なし)</t>
  </si>
  <si>
    <t>未使用項目（sinopsドキュメントより）。0固定で設定。</t>
  </si>
  <si>
    <t>10</t>
  </si>
  <si>
    <t>販売許容日数</t>
  </si>
  <si>
    <t>0～99999</t>
  </si>
  <si>
    <t>✕</t>
  </si>
  <si>
    <t>GAPあり。合意意見も記入しています。</t>
  </si>
  <si>
    <t>販売許容日数はどうやって使っている確認が必要です。</t>
  </si>
  <si>
    <t>11</t>
  </si>
  <si>
    <t>賞味期限日数</t>
  </si>
  <si>
    <t>有効期間</t>
  </si>
  <si>
    <t>整数値/8</t>
  </si>
  <si>
    <t>確認していく</t>
  </si>
  <si>
    <t>◆ 発注日程（店別商品マスタで管理）</t>
  </si>
  <si>
    <t>12</t>
  </si>
  <si>
    <t>発注開始日</t>
  </si>
  <si>
    <t>日付/8</t>
  </si>
  <si>
    <t>yyyymmdd形式、未定の場合空文字列</t>
  </si>
  <si>
    <t>GAPあり。基本情報としてはなし
（店別商品マスタの中で管理）</t>
  </si>
  <si>
    <t>sinopsに確認してから、いるかいらないか決めていく</t>
  </si>
  <si>
    <t>13</t>
  </si>
  <si>
    <t>発注終了日</t>
  </si>
  <si>
    <t>◆ 入数・発注単位</t>
  </si>
  <si>
    <t>14</t>
  </si>
  <si>
    <t>内箱入り数</t>
  </si>
  <si>
    <t>整数値/4</t>
  </si>
  <si>
    <t>0～9999</t>
  </si>
  <si>
    <t>商品入数(内箱)</t>
  </si>
  <si>
    <t>int/8</t>
  </si>
  <si>
    <r>
      <rPr>
        <b/>
        <strike/>
        <sz val="9"/>
        <color rgb="FFFF0000"/>
        <rFont val="Meiryo UI"/>
        <charset val="134"/>
      </rPr>
      <t>変換元項目無し、現在0</t>
    </r>
    <r>
      <rPr>
        <strike/>
        <sz val="9"/>
        <color rgb="FF1A2E4A"/>
        <rFont val="Meiryo UI"/>
        <charset val="134"/>
      </rPr>
      <t xml:space="preserve">
未使用の場合0</t>
    </r>
  </si>
  <si>
    <t>15</t>
  </si>
  <si>
    <t>外箱入り数</t>
  </si>
  <si>
    <t>商品入数(外箱)</t>
  </si>
  <si>
    <t>16</t>
  </si>
  <si>
    <t>発注単位</t>
  </si>
  <si>
    <t>1～99999999</t>
  </si>
  <si>
    <t>発注単位数</t>
  </si>
  <si>
    <t>〇</t>
  </si>
  <si>
    <r>
      <rPr>
        <b/>
        <sz val="9"/>
        <rFont val="Meiryo UI"/>
        <charset val="134"/>
      </rPr>
      <t>GAPあり。店別商品マスタの発注単位が優先されます。
発注勧告数は発注単位の整数倍となります</t>
    </r>
    <r>
      <rPr>
        <b/>
        <sz val="9"/>
        <color rgb="FFFF0000"/>
        <rFont val="Meiryo UI"/>
        <charset val="134"/>
      </rPr>
      <t xml:space="preserve">
sinopsは発注単位ではなくて、発注単位数ではないか？</t>
    </r>
  </si>
  <si>
    <t>IF変換仕様書</t>
  </si>
  <si>
    <t>名 称</t>
  </si>
  <si>
    <t>概 要</t>
  </si>
  <si>
    <t>変換後ファイル名</t>
  </si>
  <si>
    <t>ファイル形式</t>
  </si>
  <si>
    <t>レコード作成条件</t>
  </si>
  <si>
    <t>TSV</t>
  </si>
  <si>
    <t>■マッピングシート</t>
  </si>
  <si>
    <t>変換元データ　</t>
  </si>
  <si>
    <t>No</t>
  </si>
  <si>
    <t>R6項目名</t>
  </si>
  <si>
    <t>テーブル名</t>
  </si>
  <si>
    <t>項目名</t>
  </si>
  <si>
    <t>固定値</t>
  </si>
  <si>
    <t>受領サンプルデータ</t>
  </si>
  <si>
    <t>型</t>
  </si>
  <si>
    <t>項目長</t>
  </si>
  <si>
    <t>Key</t>
  </si>
  <si>
    <t>データ型</t>
  </si>
  <si>
    <t>最大桁数</t>
  </si>
  <si>
    <t>区分・範囲</t>
  </si>
  <si>
    <t>編集仕様</t>
  </si>
  <si>
    <t>基本商品マスタMAM_KIHONITEM.CSV</t>
  </si>
  <si>
    <t>（1商品コード）</t>
  </si>
  <si>
    <t>英数字型</t>
  </si>
  <si>
    <t>（10商品名上段＋11商品名下段）</t>
  </si>
  <si>
    <t>28+22</t>
  </si>
  <si>
    <t>（16規格）</t>
  </si>
  <si>
    <t>（34メーカーコード）</t>
  </si>
  <si>
    <t>（４）分類コード３（部門）</t>
  </si>
  <si>
    <t>（４）分類コード３（部門）+
（５）分類コード４（中分類）</t>
  </si>
  <si>
    <t>2
2</t>
  </si>
  <si>
    <t>（４）分類コード３（部門）+
（５）分類コード４（中分類） +
（６）分類コード５（小分類） +</t>
  </si>
  <si>
    <t>2
2
4</t>
  </si>
  <si>
    <t>空白</t>
  </si>
  <si>
    <t>法人業態別商品マスタMAM_HOJINGYOITEM.CSV</t>
  </si>
  <si>
    <t>（20期限・販売期限）</t>
  </si>
  <si>
    <t>数値型</t>
  </si>
  <si>
    <t>商品コードをキーとして紐づける</t>
  </si>
  <si>
    <t>（22発注開始日）</t>
  </si>
  <si>
    <t>（23発注終了日）</t>
  </si>
  <si>
    <t>■基幹出力方式</t>
  </si>
  <si>
    <t>　全件出力</t>
  </si>
  <si>
    <t>　※処理時間短縮のため、MD基幹／商品マスタ．自動補充対象フラグがOFFのデータは連携対象外にしていただく</t>
  </si>
  <si>
    <t>■sinops取込方式</t>
  </si>
  <si>
    <t>　差分更新</t>
  </si>
  <si>
    <t>■必要タイミング</t>
  </si>
  <si>
    <t>　取込結果は即日反映いたしますので、分類の変更などが発生する場合には</t>
  </si>
  <si>
    <t>　実際に分類が切り替わるタイミングで変更後データの連携をおこなってください。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</si>
</sst>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#"/>
  </numFmts>
  <fonts count="54">
    <font>
      <sz val="11"/>
      <color theme="1"/>
      <name val="Calibri"/>
      <charset val="134"/>
      <scheme val="minor"/>
    </font>
    <font>
      <sz val="9"/>
      <color rgb="FF333333"/>
      <name val="Meiryo"/>
      <charset val="134"/>
    </font>
    <font>
      <b/>
      <sz val="15"/>
      <color rgb="FFFFFFFF"/>
      <name val="Meiryo"/>
      <charset val="134"/>
    </font>
    <font>
      <sz val="11"/>
      <name val="Calibri"/>
      <charset val="134"/>
      <scheme val="minor"/>
    </font>
    <font>
      <b/>
      <sz val="11"/>
      <color rgb="FFFFFFFF"/>
      <name val="Meiryo"/>
      <charset val="134"/>
    </font>
    <font>
      <sz val="14"/>
      <color rgb="FF333333"/>
      <name val="Meiryo"/>
      <charset val="134"/>
    </font>
    <font>
      <sz val="12"/>
      <color rgb="FF333333"/>
      <name val="Meiryo"/>
      <charset val="134"/>
    </font>
    <font>
      <sz val="11"/>
      <color rgb="FF333333"/>
      <name val="Meiryo"/>
      <charset val="134"/>
    </font>
    <font>
      <b/>
      <sz val="16"/>
      <color rgb="FF333333"/>
      <name val="Meiryo"/>
      <charset val="134"/>
    </font>
    <font>
      <b/>
      <sz val="13"/>
      <color rgb="FF333333"/>
      <name val="Meiryo"/>
      <charset val="134"/>
    </font>
    <font>
      <b/>
      <sz val="11"/>
      <color rgb="FF333333"/>
      <name val="Meiryo"/>
      <charset val="134"/>
    </font>
    <font>
      <sz val="10"/>
      <color rgb="FF333333"/>
      <name val="Meiryo"/>
      <charset val="134"/>
    </font>
    <font>
      <b/>
      <sz val="10"/>
      <color rgb="FFFF0000"/>
      <name val="Meiryo"/>
      <charset val="134"/>
    </font>
    <font>
      <sz val="10"/>
      <color theme="1"/>
      <name val="Meiryo"/>
      <charset val="134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1"/>
      <name val="Meiryo UI"/>
      <charset val="134"/>
    </font>
    <font>
      <sz val="9"/>
      <color rgb="FF1A2E4A"/>
      <name val="Meiryo UI"/>
      <charset val="134"/>
    </font>
    <font>
      <b/>
      <sz val="9"/>
      <color rgb="FFFFFFFF"/>
      <name val="Meiryo UI"/>
      <charset val="134"/>
    </font>
    <font>
      <b/>
      <sz val="9"/>
      <color rgb="FF0D7377"/>
      <name val="Meiryo UI"/>
      <charset val="134"/>
    </font>
    <font>
      <sz val="10"/>
      <name val="Meiryo UI"/>
      <charset val="134"/>
    </font>
    <font>
      <sz val="9"/>
      <name val="Meiryo UI"/>
      <charset val="134"/>
    </font>
    <font>
      <b/>
      <sz val="9"/>
      <color rgb="FF059669"/>
      <name val="Meiryo UI"/>
      <charset val="134"/>
    </font>
    <font>
      <b/>
      <sz val="9"/>
      <color rgb="FF92400E"/>
      <name val="Meiryo UI"/>
      <charset val="134"/>
    </font>
    <font>
      <b/>
      <sz val="9"/>
      <name val="Meiryo UI"/>
      <charset val="134"/>
    </font>
    <font>
      <sz val="9"/>
      <color rgb="FFFF0000"/>
      <name val="Meiryo UI"/>
      <charset val="134"/>
    </font>
    <font>
      <b/>
      <sz val="9"/>
      <color rgb="FF475569"/>
      <name val="Meiryo UI"/>
      <charset val="134"/>
    </font>
    <font>
      <b/>
      <sz val="9"/>
      <color rgb="FFDC2626"/>
      <name val="Meiryo UI"/>
      <charset val="134"/>
    </font>
    <font>
      <b/>
      <sz val="9"/>
      <color rgb="FF1A2E4A"/>
      <name val="Meiryo UI"/>
      <charset val="134"/>
    </font>
    <font>
      <b/>
      <sz val="9"/>
      <color rgb="FFFF0000"/>
      <name val="Meiryo UI"/>
      <charset val="134"/>
    </font>
    <font>
      <strike/>
      <sz val="9"/>
      <color rgb="FF1A2E4A"/>
      <name val="Meiryo UI"/>
      <charset val="134"/>
    </font>
    <font>
      <b/>
      <strike/>
      <sz val="9"/>
      <color rgb="FF92400E"/>
      <name val="Meiryo UI"/>
      <charset val="134"/>
    </font>
    <font>
      <b/>
      <strike/>
      <sz val="9"/>
      <color rgb="FFFF0000"/>
      <name val="Meiryo UI"/>
      <charset val="134"/>
    </font>
    <font>
      <b/>
      <sz val="11"/>
      <color rgb="FF999999"/>
      <name val="Meiryo UI"/>
      <charset val="134"/>
    </font>
    <font>
      <sz val="11"/>
      <color rgb="FF999999"/>
      <name val="Meiryo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FFCC"/>
        <bgColor rgb="FFFFFFCC"/>
      </patternFill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indexed="64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4" fillId="14" borderId="2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5" borderId="24" applyNumberFormat="0" applyAlignment="0" applyProtection="0">
      <alignment vertical="center"/>
    </xf>
    <xf numFmtId="0" fontId="44" fillId="16" borderId="25" applyNumberFormat="0" applyAlignment="0" applyProtection="0">
      <alignment vertical="center"/>
    </xf>
    <xf numFmtId="0" fontId="45" fillId="16" borderId="24" applyNumberFormat="0" applyAlignment="0" applyProtection="0">
      <alignment vertical="center"/>
    </xf>
    <xf numFmtId="0" fontId="46" fillId="17" borderId="26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</cellStyleXfs>
  <cellXfs count="9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4" fillId="2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1" fillId="0" borderId="0" xfId="0" applyFont="1"/>
    <xf numFmtId="0" fontId="3" fillId="0" borderId="6" xfId="0" applyFont="1" applyBorder="1"/>
    <xf numFmtId="0" fontId="3" fillId="0" borderId="0" xfId="0" applyFont="1" applyBorder="1"/>
    <xf numFmtId="0" fontId="5" fillId="0" borderId="6" xfId="0" applyFont="1" applyBorder="1" applyAlignment="1">
      <alignment horizontal="center" vertical="center"/>
    </xf>
    <xf numFmtId="0" fontId="3" fillId="0" borderId="7" xfId="0" applyFont="1" applyBorder="1"/>
    <xf numFmtId="0" fontId="6" fillId="3" borderId="1" xfId="0" applyFont="1" applyFill="1" applyBorder="1" applyAlignment="1">
      <alignment horizontal="left" vertical="top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/>
    <xf numFmtId="0" fontId="4" fillId="2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0" fontId="4" fillId="4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11" fillId="5" borderId="15" xfId="0" applyFont="1" applyFill="1" applyBorder="1" applyAlignment="1">
      <alignment horizontal="left" vertical="center" wrapText="1"/>
    </xf>
    <xf numFmtId="0" fontId="11" fillId="5" borderId="16" xfId="0" applyFont="1" applyFill="1" applyBorder="1" applyAlignment="1">
      <alignment horizontal="left" vertical="center" wrapText="1"/>
    </xf>
    <xf numFmtId="0" fontId="11" fillId="5" borderId="16" xfId="0" applyFont="1" applyFill="1" applyBorder="1" applyAlignment="1">
      <alignment horizontal="center" vertical="center"/>
    </xf>
    <xf numFmtId="49" fontId="11" fillId="5" borderId="17" xfId="0" applyNumberFormat="1" applyFont="1" applyFill="1" applyBorder="1" applyAlignment="1">
      <alignment horizontal="left" vertical="center"/>
    </xf>
    <xf numFmtId="178" fontId="11" fillId="0" borderId="16" xfId="0" applyNumberFormat="1" applyFont="1" applyBorder="1" applyAlignment="1">
      <alignment horizontal="center" vertical="center"/>
    </xf>
    <xf numFmtId="178" fontId="11" fillId="0" borderId="16" xfId="0" applyNumberFormat="1" applyFont="1" applyBorder="1" applyAlignment="1">
      <alignment horizontal="left" vertical="center" wrapText="1"/>
    </xf>
    <xf numFmtId="0" fontId="11" fillId="5" borderId="15" xfId="0" applyFont="1" applyFill="1" applyBorder="1" applyAlignment="1">
      <alignment vertical="center"/>
    </xf>
    <xf numFmtId="0" fontId="11" fillId="5" borderId="16" xfId="0" applyFont="1" applyFill="1" applyBorder="1" applyAlignment="1">
      <alignment horizontal="left" vertical="center"/>
    </xf>
    <xf numFmtId="0" fontId="11" fillId="5" borderId="15" xfId="0" applyFont="1" applyFill="1" applyBorder="1" applyAlignment="1">
      <alignment vertical="center" wrapText="1"/>
    </xf>
    <xf numFmtId="0" fontId="11" fillId="5" borderId="16" xfId="0" applyFont="1" applyFill="1" applyBorder="1" applyAlignment="1">
      <alignment horizontal="center"/>
    </xf>
    <xf numFmtId="49" fontId="11" fillId="5" borderId="17" xfId="0" applyNumberFormat="1" applyFont="1" applyFill="1" applyBorder="1" applyAlignment="1">
      <alignment horizontal="left"/>
    </xf>
    <xf numFmtId="0" fontId="12" fillId="5" borderId="15" xfId="0" applyFont="1" applyFill="1" applyBorder="1"/>
    <xf numFmtId="0" fontId="11" fillId="5" borderId="16" xfId="0" applyFont="1" applyFill="1" applyBorder="1" applyAlignment="1">
      <alignment horizontal="left" wrapText="1"/>
    </xf>
    <xf numFmtId="49" fontId="11" fillId="5" borderId="17" xfId="0" applyNumberFormat="1" applyFont="1" applyFill="1" applyBorder="1" applyAlignment="1">
      <alignment horizontal="left" wrapText="1"/>
    </xf>
    <xf numFmtId="0" fontId="11" fillId="5" borderId="16" xfId="0" applyFont="1" applyFill="1" applyBorder="1" applyAlignment="1">
      <alignment horizontal="left"/>
    </xf>
    <xf numFmtId="0" fontId="11" fillId="5" borderId="15" xfId="0" applyFont="1" applyFill="1" applyBorder="1" applyAlignment="1">
      <alignment horizontal="left" vertical="center"/>
    </xf>
    <xf numFmtId="0" fontId="12" fillId="5" borderId="15" xfId="0" applyFont="1" applyFill="1" applyBorder="1" applyAlignment="1">
      <alignment vertical="center"/>
    </xf>
    <xf numFmtId="0" fontId="13" fillId="5" borderId="15" xfId="0" applyFont="1" applyFill="1" applyBorder="1" applyAlignment="1">
      <alignment vertical="center" wrapText="1"/>
    </xf>
    <xf numFmtId="0" fontId="12" fillId="5" borderId="15" xfId="0" applyFont="1" applyFill="1" applyBorder="1" applyAlignment="1">
      <alignment vertical="center" wrapText="1"/>
    </xf>
    <xf numFmtId="0" fontId="11" fillId="0" borderId="18" xfId="0" applyFont="1" applyBorder="1" applyAlignment="1">
      <alignment vertical="center"/>
    </xf>
    <xf numFmtId="49" fontId="11" fillId="5" borderId="16" xfId="0" applyNumberFormat="1" applyFont="1" applyFill="1" applyBorder="1" applyAlignment="1">
      <alignment horizontal="left" vertical="center"/>
    </xf>
    <xf numFmtId="178" fontId="11" fillId="0" borderId="18" xfId="0" applyNumberFormat="1" applyFont="1" applyBorder="1" applyAlignment="1">
      <alignment horizontal="center" vertical="center"/>
    </xf>
    <xf numFmtId="178" fontId="11" fillId="0" borderId="18" xfId="0" applyNumberFormat="1" applyFont="1" applyBorder="1" applyAlignment="1">
      <alignment horizontal="left" vertical="center" wrapText="1"/>
    </xf>
    <xf numFmtId="0" fontId="0" fillId="0" borderId="0" xfId="0" applyFont="1"/>
    <xf numFmtId="0" fontId="14" fillId="0" borderId="0" xfId="0" applyFont="1" applyAlignment="1"/>
    <xf numFmtId="0" fontId="15" fillId="6" borderId="0" xfId="0" applyFont="1" applyFill="1" applyBorder="1" applyAlignment="1">
      <alignment horizontal="center" vertical="center" wrapText="1"/>
    </xf>
    <xf numFmtId="0" fontId="16" fillId="0" borderId="0" xfId="0" applyFont="1" applyBorder="1"/>
    <xf numFmtId="0" fontId="17" fillId="7" borderId="0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left" vertical="center" wrapText="1"/>
    </xf>
    <xf numFmtId="0" fontId="20" fillId="9" borderId="20" xfId="0" applyFont="1" applyFill="1" applyBorder="1" applyAlignment="1">
      <alignment horizontal="center" vertical="center" wrapText="1"/>
    </xf>
    <xf numFmtId="0" fontId="21" fillId="10" borderId="19" xfId="0" applyFont="1" applyFill="1" applyBorder="1" applyAlignment="1">
      <alignment horizontal="left" vertical="center" wrapText="1"/>
    </xf>
    <xf numFmtId="0" fontId="22" fillId="11" borderId="19" xfId="0" applyFont="1" applyFill="1" applyBorder="1" applyAlignment="1">
      <alignment horizontal="center" vertical="center" wrapText="1"/>
    </xf>
    <xf numFmtId="0" fontId="17" fillId="11" borderId="19" xfId="0" applyFont="1" applyFill="1" applyBorder="1" applyAlignment="1">
      <alignment horizontal="left" vertical="center" wrapText="1"/>
    </xf>
    <xf numFmtId="0" fontId="23" fillId="10" borderId="19" xfId="0" applyFont="1" applyFill="1" applyBorder="1" applyAlignment="1">
      <alignment horizontal="center" vertical="center" wrapText="1"/>
    </xf>
    <xf numFmtId="0" fontId="24" fillId="10" borderId="19" xfId="0" applyFont="1" applyFill="1" applyBorder="1" applyAlignment="1">
      <alignment horizontal="left" vertical="center" wrapText="1"/>
    </xf>
    <xf numFmtId="0" fontId="25" fillId="3" borderId="19" xfId="0" applyFont="1" applyFill="1" applyBorder="1" applyAlignment="1">
      <alignment horizontal="left" vertical="center" wrapText="1"/>
    </xf>
    <xf numFmtId="0" fontId="17" fillId="10" borderId="19" xfId="0" applyFont="1" applyFill="1" applyBorder="1" applyAlignment="1">
      <alignment horizontal="left" vertical="center" wrapText="1"/>
    </xf>
    <xf numFmtId="0" fontId="26" fillId="12" borderId="19" xfId="0" applyFont="1" applyFill="1" applyBorder="1" applyAlignment="1">
      <alignment horizontal="center" vertical="center" wrapText="1"/>
    </xf>
    <xf numFmtId="0" fontId="17" fillId="12" borderId="19" xfId="0" applyFont="1" applyFill="1" applyBorder="1" applyAlignment="1">
      <alignment horizontal="left" vertical="center" wrapText="1"/>
    </xf>
    <xf numFmtId="0" fontId="27" fillId="13" borderId="19" xfId="0" applyFont="1" applyFill="1" applyBorder="1" applyAlignment="1">
      <alignment horizontal="center" vertical="center" wrapText="1"/>
    </xf>
    <xf numFmtId="0" fontId="28" fillId="13" borderId="19" xfId="0" applyFont="1" applyFill="1" applyBorder="1" applyAlignment="1">
      <alignment horizontal="left" vertical="center" wrapText="1"/>
    </xf>
    <xf numFmtId="0" fontId="29" fillId="12" borderId="19" xfId="0" applyFont="1" applyFill="1" applyBorder="1" applyAlignment="1">
      <alignment horizontal="left" vertical="center" wrapText="1"/>
    </xf>
    <xf numFmtId="0" fontId="30" fillId="3" borderId="19" xfId="0" applyFont="1" applyFill="1" applyBorder="1" applyAlignment="1">
      <alignment horizontal="left" vertical="center" wrapText="1"/>
    </xf>
    <xf numFmtId="0" fontId="31" fillId="10" borderId="19" xfId="0" applyFont="1" applyFill="1" applyBorder="1" applyAlignment="1">
      <alignment horizontal="center" vertical="center" wrapText="1"/>
    </xf>
    <xf numFmtId="0" fontId="32" fillId="10" borderId="19" xfId="0" applyFont="1" applyFill="1" applyBorder="1" applyAlignment="1">
      <alignment horizontal="left" vertical="center" wrapText="1"/>
    </xf>
    <xf numFmtId="0" fontId="24" fillId="11" borderId="19" xfId="0" applyFont="1" applyFill="1" applyBorder="1" applyAlignment="1">
      <alignment horizontal="left" vertical="center" wrapText="1"/>
    </xf>
    <xf numFmtId="0" fontId="33" fillId="0" borderId="0" xfId="0" applyFont="1" applyAlignment="1"/>
    <xf numFmtId="0" fontId="34" fillId="0" borderId="0" xfId="0" applyFont="1" applyAlignment="1"/>
    <xf numFmtId="0" fontId="11" fillId="5" borderId="16" xfId="0" applyFont="1" applyFill="1" applyBorder="1" applyAlignment="1" quotePrefix="1">
      <alignment horizontal="left" vertical="center"/>
    </xf>
    <xf numFmtId="0" fontId="11" fillId="5" borderId="16" xfId="0" applyFont="1" applyFill="1" applyBorder="1" applyAlignment="1" quotePrefix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0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マッピング-style" pivot="0" count="3" xr9:uid="{4ACB7F55-E5A8-404A-91F4-75C84A42EE07}">
      <tableStyleElement type="headerRow" dxfId="16"/>
      <tableStyleElement type="firstRowStripe" dxfId="15"/>
      <tableStyleElement type="secondRowStripe" dxfId="14"/>
    </tableStyle>
    <tableStyle name="マッピング-style 2" pivot="0" count="3" xr9:uid="{16C46AE6-A97C-4EFD-93B2-6417F5064F31}">
      <tableStyleElement type="headerRow" dxfId="19"/>
      <tableStyleElement type="firstRowStripe" dxfId="18"/>
      <tableStyleElement type="secondRowStripe" dxfId="17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3162300</xdr:colOff>
      <xdr:row>4</xdr:row>
      <xdr:rowOff>323850</xdr:rowOff>
    </xdr:from>
    <xdr:to>
      <xdr:col>17</xdr:col>
      <xdr:colOff>64770</xdr:colOff>
      <xdr:row>6</xdr:row>
      <xdr:rowOff>38735</xdr:rowOff>
    </xdr:to>
    <xdr:sp>
      <xdr:nvSpPr>
        <xdr:cNvPr id="2" name="矩形 1"/>
        <xdr:cNvSpPr/>
      </xdr:nvSpPr>
      <xdr:spPr>
        <a:xfrm>
          <a:off x="10944225" y="1381125"/>
          <a:ext cx="5217795" cy="85788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(item_mst.txt)</a:t>
          </a:r>
          <a:r>
            <a:rPr lang="ja-JP" altLang="zh-CN" sz="1100"/>
            <a:t>サンプルデータ</a:t>
          </a:r>
          <a:endParaRPr lang="zh-CN" altLang="en-US" sz="1100"/>
        </a:p>
        <a:p>
          <a:pPr algn="l"/>
          <a:r>
            <a:rPr lang="zh-CN" altLang="en-US" sz="1100"/>
            <a:t>0000000002905,ぶどう（原料）,　,,94,9417,94175130,0,,0,0,,,0,0,1</a:t>
          </a:r>
          <a:endParaRPr lang="zh-CN" altLang="en-US" sz="1100"/>
        </a:p>
        <a:p>
          <a:pPr algn="l"/>
          <a:r>
            <a:rPr lang="zh-CN" altLang="en-US" sz="1100"/>
            <a:t>0000001000078,きゅうり　１本,１ホン　,,94,9401,94010303,0,,0,0,,,0,0,1</a:t>
          </a:r>
          <a:endParaRPr lang="zh-CN" altLang="en-US" sz="1100"/>
        </a:p>
        <a:p>
          <a:pPr algn="l"/>
          <a:r>
            <a:rPr lang="zh-CN" altLang="en-US" sz="1100"/>
            <a:t>0000001000368,きゅうり　３本パック,１パック　,,94,9401,94010306,0,,0,0,,,0,0,1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13</xdr:col>
      <xdr:colOff>2266950</xdr:colOff>
      <xdr:row>20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3749675"/>
          <a:ext cx="5095875" cy="1704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506;&#38988;&#36039;&#26009;\&#35506;&#38988;&#25104;&#26524;&#29289;&#31649;&#29702;\&#35199;&#21451;&#35506;&#38988;\&#22522;&#24185;&#32113;&#21512;\&#21442;&#32771;&#36039;&#26009;\Sinops%20I-F&#22793;&#25563;&#20181;&#27096;&#26360;\02_IF&#22793;&#25563;&#22522;&#26412;&#35373;&#35336;&#26360;%20sinops-R\sinops-R6_IF&#12524;&#12452;&#12450;&#12454;&#12488;(&#21830;&#21697;&#12510;&#12473;&#1247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更新履歴"/>
      <sheetName val="IF020_00"/>
      <sheetName val="注意点"/>
      <sheetName val="マッピング"/>
      <sheetName val="補足資料（参考）"/>
    </sheetNames>
    <sheetDataSet>
      <sheetData sheetId="0"/>
      <sheetData sheetId="1">
        <row r="1">
          <cell r="D1" t="str">
            <v>商品マスタ</v>
          </cell>
        </row>
        <row r="2">
          <cell r="D2" t="str">
            <v>item_mst.txt</v>
          </cell>
        </row>
        <row r="4">
          <cell r="C4" t="str">
            <v>基幹システムのデータベースより、商品の基本情報を連携します。</v>
          </cell>
        </row>
        <row r="7">
          <cell r="B7" t="str">
            <v>ｷｰ</v>
          </cell>
          <cell r="C7" t="str">
            <v>○</v>
          </cell>
          <cell r="D7" t="str">
            <v>商品コード</v>
          </cell>
        </row>
        <row r="7">
          <cell r="G7" t="str">
            <v>文字</v>
          </cell>
          <cell r="H7">
            <v>100</v>
          </cell>
        </row>
        <row r="8">
          <cell r="C8" t="str">
            <v>○</v>
          </cell>
          <cell r="D8" t="str">
            <v>商品名</v>
          </cell>
        </row>
        <row r="8">
          <cell r="G8" t="str">
            <v>文字</v>
          </cell>
          <cell r="H8">
            <v>100</v>
          </cell>
        </row>
        <row r="9">
          <cell r="C9" t="str">
            <v>○</v>
          </cell>
          <cell r="D9" t="str">
            <v>容量</v>
          </cell>
        </row>
        <row r="9">
          <cell r="G9" t="str">
            <v>文字</v>
          </cell>
          <cell r="H9">
            <v>100</v>
          </cell>
        </row>
        <row r="10">
          <cell r="D10" t="str">
            <v>メーカーコード</v>
          </cell>
        </row>
        <row r="10">
          <cell r="G10" t="str">
            <v>文字</v>
          </cell>
          <cell r="H10">
            <v>100</v>
          </cell>
        </row>
        <row r="11">
          <cell r="C11" t="str">
            <v>○</v>
          </cell>
          <cell r="D11" t="str">
            <v>大分類コード</v>
          </cell>
        </row>
        <row r="11">
          <cell r="F11" t="str">
            <v>固定長にて設定ください</v>
          </cell>
          <cell r="G11" t="str">
            <v>文字</v>
          </cell>
          <cell r="H11">
            <v>100</v>
          </cell>
        </row>
        <row r="12">
          <cell r="C12" t="str">
            <v>○</v>
          </cell>
          <cell r="D12" t="str">
            <v>中分類コード</v>
          </cell>
        </row>
        <row r="12">
          <cell r="F12" t="str">
            <v>固定長にて設定ください</v>
          </cell>
          <cell r="G12" t="str">
            <v>文字</v>
          </cell>
          <cell r="H12">
            <v>100</v>
          </cell>
        </row>
        <row r="13">
          <cell r="C13" t="str">
            <v>○</v>
          </cell>
          <cell r="D13" t="str">
            <v>小分類コード</v>
          </cell>
        </row>
        <row r="13">
          <cell r="F13" t="str">
            <v>固定長にて設定ください</v>
          </cell>
          <cell r="G13" t="str">
            <v>文字</v>
          </cell>
          <cell r="H13">
            <v>100</v>
          </cell>
        </row>
        <row r="14">
          <cell r="C14" t="str">
            <v>○</v>
          </cell>
          <cell r="D14" t="str">
            <v>細目コード</v>
          </cell>
        </row>
        <row r="14">
          <cell r="F14" t="str">
            <v>固定長にて設定ください
ない場合0固定</v>
          </cell>
          <cell r="G14" t="str">
            <v>文字</v>
          </cell>
          <cell r="H14">
            <v>100</v>
          </cell>
        </row>
        <row r="15">
          <cell r="D15" t="str">
            <v>入荷期限日数</v>
          </cell>
        </row>
        <row r="15">
          <cell r="F15" t="str">
            <v>0～99999
ない場合0固定</v>
          </cell>
          <cell r="G15" t="str">
            <v>整数値</v>
          </cell>
          <cell r="H15">
            <v>5</v>
          </cell>
        </row>
        <row r="16">
          <cell r="C16" t="str">
            <v>○</v>
          </cell>
          <cell r="D16" t="str">
            <v>販売許容日数</v>
          </cell>
        </row>
        <row r="16">
          <cell r="F16" t="str">
            <v>0～99999</v>
          </cell>
          <cell r="G16" t="str">
            <v>整数値</v>
          </cell>
          <cell r="H16">
            <v>5</v>
          </cell>
        </row>
        <row r="17">
          <cell r="C17" t="str">
            <v>○</v>
          </cell>
          <cell r="D17" t="str">
            <v>賞味期限日数</v>
          </cell>
        </row>
        <row r="17">
          <cell r="F17" t="str">
            <v>0～99999</v>
          </cell>
          <cell r="G17" t="str">
            <v>整数値</v>
          </cell>
          <cell r="H17">
            <v>5</v>
          </cell>
        </row>
        <row r="18">
          <cell r="D18" t="str">
            <v>発注開始日</v>
          </cell>
        </row>
        <row r="18">
          <cell r="F18" t="str">
            <v>yyyymmdd形式、未定の場合空文字列</v>
          </cell>
          <cell r="G18" t="str">
            <v>日付</v>
          </cell>
          <cell r="H18">
            <v>8</v>
          </cell>
        </row>
        <row r="19">
          <cell r="D19" t="str">
            <v>発注終了日</v>
          </cell>
        </row>
        <row r="19">
          <cell r="F19" t="str">
            <v>yyyymmdd形式、未定の場合空文字列</v>
          </cell>
          <cell r="G19" t="str">
            <v>日付</v>
          </cell>
          <cell r="H19">
            <v>8</v>
          </cell>
        </row>
        <row r="20">
          <cell r="D20" t="str">
            <v>内箱入り数</v>
          </cell>
        </row>
        <row r="20">
          <cell r="F20" t="str">
            <v>0～9999</v>
          </cell>
          <cell r="G20" t="str">
            <v>整数値</v>
          </cell>
          <cell r="H20">
            <v>4</v>
          </cell>
        </row>
        <row r="21">
          <cell r="D21" t="str">
            <v>外箱入り数</v>
          </cell>
        </row>
        <row r="21">
          <cell r="F21" t="str">
            <v>0～9999</v>
          </cell>
          <cell r="G21" t="str">
            <v>整数値</v>
          </cell>
          <cell r="H21">
            <v>4</v>
          </cell>
        </row>
        <row r="22">
          <cell r="C22" t="str">
            <v>○</v>
          </cell>
          <cell r="D22" t="str">
            <v>発注単位</v>
          </cell>
        </row>
        <row r="22">
          <cell r="F22" t="str">
            <v>1～99999999</v>
          </cell>
          <cell r="G22" t="str">
            <v>整数値</v>
          </cell>
          <cell r="H22">
            <v>8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Table_1" displayName="Table_1" ref="B10:C26">
  <tableColumns count="2">
    <tableColumn id="1" name="No" dataDxfId="0"/>
    <tableColumn id="2" name="R6項目名" dataDxfId="1"/>
  </tableColumns>
  <tableStyleInfo name="マッピング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J10:N26">
  <tableColumns count="5">
    <tableColumn id="1" name="Key" dataDxfId="2"/>
    <tableColumn id="2" name="必須" dataDxfId="3"/>
    <tableColumn id="3" name="データ型" dataDxfId="4"/>
    <tableColumn id="4" name="最大桁数" dataDxfId="5"/>
    <tableColumn id="5" name="区分・範囲" dataDxfId="6"/>
  </tableColumns>
  <tableStyleInfo name="マッピング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9"/>
  <sheetViews>
    <sheetView showGridLines="0" tabSelected="1" workbookViewId="0">
      <pane ySplit="3" topLeftCell="A4" activePane="bottomLeft" state="frozen"/>
      <selection/>
      <selection pane="bottomLeft" activeCell="F12" sqref="F12"/>
    </sheetView>
  </sheetViews>
  <sheetFormatPr defaultColWidth="14.4285714285714" defaultRowHeight="15" customHeight="1"/>
  <cols>
    <col min="1" max="1" width="7.57142857142857" style="65" customWidth="1"/>
    <col min="2" max="2" width="6" style="65" customWidth="1"/>
    <col min="3" max="3" width="20" style="65" customWidth="1"/>
    <col min="4" max="4" width="14" style="65" customWidth="1"/>
    <col min="5" max="5" width="20.1428571428571" style="65" customWidth="1"/>
    <col min="6" max="6" width="28" style="65" customWidth="1"/>
    <col min="7" max="7" width="14" style="65" customWidth="1"/>
    <col min="8" max="8" width="7" style="65" customWidth="1"/>
    <col min="9" max="9" width="55" style="65" customWidth="1"/>
    <col min="10" max="27" width="8.71428571428571" style="65" customWidth="1"/>
    <col min="28" max="16384" width="14.4285714285714" style="65"/>
  </cols>
  <sheetData>
    <row r="1" ht="24" customHeight="1" spans="1:10">
      <c r="A1" s="66" t="s">
        <v>0</v>
      </c>
      <c r="B1" s="67"/>
      <c r="C1" s="67"/>
      <c r="D1" s="67"/>
      <c r="E1" s="67"/>
      <c r="F1" s="67"/>
      <c r="G1" s="67"/>
      <c r="H1" s="67"/>
      <c r="I1" s="67"/>
    </row>
    <row r="2" ht="15.75" customHeight="1" spans="1:10">
      <c r="A2" s="68" t="s">
        <v>1</v>
      </c>
      <c r="B2" s="67"/>
      <c r="C2" s="67"/>
      <c r="D2" s="67"/>
      <c r="E2" s="67"/>
      <c r="F2" s="67"/>
      <c r="G2" s="67"/>
      <c r="H2" s="67"/>
      <c r="I2" s="67"/>
    </row>
    <row r="3" ht="27.75" customHeight="1" spans="1:10">
      <c r="A3" s="69" t="s">
        <v>2</v>
      </c>
      <c r="B3" s="69" t="s">
        <v>3</v>
      </c>
      <c r="C3" s="69" t="s">
        <v>4</v>
      </c>
      <c r="D3" s="69" t="s">
        <v>5</v>
      </c>
      <c r="E3" s="69" t="s">
        <v>6</v>
      </c>
      <c r="F3" s="69" t="s">
        <v>7</v>
      </c>
      <c r="G3" s="69" t="s">
        <v>8</v>
      </c>
      <c r="H3" s="69" t="s">
        <v>9</v>
      </c>
      <c r="I3" s="69" t="s">
        <v>10</v>
      </c>
    </row>
    <row r="4" ht="15.75" customHeight="1" spans="1:10">
      <c r="A4" s="70"/>
      <c r="B4" s="70"/>
      <c r="C4" s="70" t="s">
        <v>11</v>
      </c>
      <c r="D4" s="70"/>
      <c r="E4" s="70"/>
      <c r="F4" s="70"/>
      <c r="G4" s="70"/>
      <c r="H4" s="70"/>
      <c r="I4" s="70"/>
    </row>
    <row r="5" ht="45" customHeight="1" spans="1:10">
      <c r="A5" s="71" t="s">
        <v>12</v>
      </c>
      <c r="B5" s="71" t="s">
        <v>13</v>
      </c>
      <c r="C5" s="71" t="s">
        <v>14</v>
      </c>
      <c r="D5" s="71" t="s">
        <v>15</v>
      </c>
      <c r="E5" s="71"/>
      <c r="F5" s="71" t="s">
        <v>16</v>
      </c>
      <c r="G5" s="71" t="s">
        <v>17</v>
      </c>
      <c r="H5" s="72" t="s">
        <v>18</v>
      </c>
      <c r="I5" s="73" t="s">
        <v>19</v>
      </c>
    </row>
    <row r="6" ht="45" customHeight="1" spans="1:10">
      <c r="A6" s="71" t="s">
        <v>20</v>
      </c>
      <c r="B6" s="71" t="s">
        <v>13</v>
      </c>
      <c r="C6" s="71" t="s">
        <v>21</v>
      </c>
      <c r="D6" s="71" t="s">
        <v>15</v>
      </c>
      <c r="E6" s="71"/>
      <c r="F6" s="71" t="s">
        <v>22</v>
      </c>
      <c r="G6" s="71" t="s">
        <v>23</v>
      </c>
      <c r="H6" s="74" t="s">
        <v>13</v>
      </c>
      <c r="I6" s="75" t="s">
        <v>24</v>
      </c>
    </row>
    <row r="7" ht="45" customHeight="1" spans="1:10">
      <c r="A7" s="71" t="s">
        <v>25</v>
      </c>
      <c r="B7" s="71" t="s">
        <v>13</v>
      </c>
      <c r="C7" s="71" t="s">
        <v>26</v>
      </c>
      <c r="D7" s="71" t="s">
        <v>15</v>
      </c>
      <c r="E7" s="71"/>
      <c r="F7" s="71" t="s">
        <v>27</v>
      </c>
      <c r="G7" s="71" t="s">
        <v>28</v>
      </c>
      <c r="H7" s="74" t="s">
        <v>13</v>
      </c>
      <c r="I7" s="75" t="s">
        <v>29</v>
      </c>
    </row>
    <row r="8" ht="45" customHeight="1" spans="1:10">
      <c r="A8" s="71" t="s">
        <v>30</v>
      </c>
      <c r="B8" s="71"/>
      <c r="C8" s="71" t="s">
        <v>31</v>
      </c>
      <c r="D8" s="71" t="s">
        <v>15</v>
      </c>
      <c r="E8" s="71"/>
      <c r="F8" s="71" t="s">
        <v>31</v>
      </c>
      <c r="G8" s="71" t="s">
        <v>32</v>
      </c>
      <c r="H8" s="76" t="s">
        <v>18</v>
      </c>
      <c r="I8" s="77" t="s">
        <v>33</v>
      </c>
      <c r="J8" s="65" t="s">
        <v>34</v>
      </c>
    </row>
    <row r="9" ht="26.25" customHeight="1" spans="1:10">
      <c r="A9" s="70"/>
      <c r="B9" s="70"/>
      <c r="C9" s="70" t="s">
        <v>35</v>
      </c>
      <c r="D9" s="70"/>
      <c r="E9" s="70"/>
      <c r="F9" s="70"/>
      <c r="G9" s="70"/>
      <c r="H9" s="70"/>
      <c r="I9" s="70"/>
    </row>
    <row r="10" ht="45" customHeight="1" spans="1:10">
      <c r="A10" s="71" t="s">
        <v>36</v>
      </c>
      <c r="B10" s="71" t="s">
        <v>13</v>
      </c>
      <c r="C10" s="71" t="s">
        <v>37</v>
      </c>
      <c r="D10" s="71" t="s">
        <v>38</v>
      </c>
      <c r="E10" s="71" t="s">
        <v>39</v>
      </c>
      <c r="F10" s="78" t="s">
        <v>40</v>
      </c>
      <c r="G10" s="71" t="s">
        <v>41</v>
      </c>
      <c r="H10" s="76" t="s">
        <v>18</v>
      </c>
      <c r="I10" s="79" t="s">
        <v>42</v>
      </c>
    </row>
    <row r="11" ht="45" customHeight="1" spans="1:10">
      <c r="A11" s="71" t="s">
        <v>43</v>
      </c>
      <c r="B11" s="71" t="s">
        <v>13</v>
      </c>
      <c r="C11" s="71" t="s">
        <v>44</v>
      </c>
      <c r="D11" s="71" t="s">
        <v>38</v>
      </c>
      <c r="E11" s="71" t="s">
        <v>39</v>
      </c>
      <c r="F11" s="78" t="s">
        <v>45</v>
      </c>
      <c r="G11" s="71" t="s">
        <v>46</v>
      </c>
      <c r="H11" s="76" t="s">
        <v>18</v>
      </c>
      <c r="I11" s="79" t="s">
        <v>47</v>
      </c>
    </row>
    <row r="12" ht="45" customHeight="1" spans="1:10">
      <c r="A12" s="71" t="s">
        <v>48</v>
      </c>
      <c r="B12" s="71" t="s">
        <v>13</v>
      </c>
      <c r="C12" s="71" t="s">
        <v>49</v>
      </c>
      <c r="D12" s="71" t="s">
        <v>38</v>
      </c>
      <c r="E12" s="71" t="s">
        <v>39</v>
      </c>
      <c r="F12" s="78" t="s">
        <v>50</v>
      </c>
      <c r="G12" s="71" t="s">
        <v>51</v>
      </c>
      <c r="H12" s="76" t="s">
        <v>18</v>
      </c>
      <c r="I12" s="79" t="s">
        <v>52</v>
      </c>
    </row>
    <row r="13" ht="45" customHeight="1" spans="1:10">
      <c r="A13" s="71" t="s">
        <v>53</v>
      </c>
      <c r="B13" s="71" t="s">
        <v>13</v>
      </c>
      <c r="C13" s="71" t="s">
        <v>54</v>
      </c>
      <c r="D13" s="71" t="s">
        <v>38</v>
      </c>
      <c r="E13" s="71" t="s">
        <v>55</v>
      </c>
      <c r="F13" s="78" t="s">
        <v>56</v>
      </c>
      <c r="G13" s="78" t="s">
        <v>41</v>
      </c>
      <c r="H13" s="80" t="s">
        <v>57</v>
      </c>
      <c r="I13" s="81" t="s">
        <v>58</v>
      </c>
      <c r="J13" s="65" t="s">
        <v>59</v>
      </c>
    </row>
    <row r="14" ht="15.75" customHeight="1" spans="1:10">
      <c r="A14" s="70"/>
      <c r="B14" s="70"/>
      <c r="C14" s="70" t="s">
        <v>60</v>
      </c>
      <c r="D14" s="70"/>
      <c r="E14" s="70"/>
      <c r="F14" s="70"/>
      <c r="G14" s="70"/>
      <c r="H14" s="70"/>
      <c r="I14" s="70"/>
    </row>
    <row r="15" ht="45" customHeight="1" spans="1:10">
      <c r="A15" s="71" t="s">
        <v>61</v>
      </c>
      <c r="B15" s="71"/>
      <c r="C15" s="71" t="s">
        <v>62</v>
      </c>
      <c r="D15" s="71" t="s">
        <v>63</v>
      </c>
      <c r="E15" s="71" t="s">
        <v>64</v>
      </c>
      <c r="F15" s="71" t="s">
        <v>65</v>
      </c>
      <c r="G15" s="71" t="s">
        <v>57</v>
      </c>
      <c r="H15" s="80" t="s">
        <v>57</v>
      </c>
      <c r="I15" s="81" t="s">
        <v>66</v>
      </c>
    </row>
    <row r="16" ht="45" customHeight="1" spans="1:10">
      <c r="A16" s="71" t="s">
        <v>67</v>
      </c>
      <c r="B16" s="71" t="s">
        <v>13</v>
      </c>
      <c r="C16" s="71" t="s">
        <v>68</v>
      </c>
      <c r="D16" s="71" t="s">
        <v>63</v>
      </c>
      <c r="E16" s="71" t="s">
        <v>69</v>
      </c>
      <c r="F16" s="71" t="s">
        <v>65</v>
      </c>
      <c r="G16" s="71" t="s">
        <v>57</v>
      </c>
      <c r="H16" s="82" t="s">
        <v>70</v>
      </c>
      <c r="I16" s="83" t="s">
        <v>71</v>
      </c>
      <c r="J16" s="65" t="s">
        <v>72</v>
      </c>
    </row>
    <row r="17" ht="45" customHeight="1" spans="1:10">
      <c r="A17" s="71" t="s">
        <v>73</v>
      </c>
      <c r="B17" s="71" t="s">
        <v>13</v>
      </c>
      <c r="C17" s="71" t="s">
        <v>74</v>
      </c>
      <c r="D17" s="71" t="s">
        <v>63</v>
      </c>
      <c r="E17" s="71" t="s">
        <v>69</v>
      </c>
      <c r="F17" s="71" t="s">
        <v>75</v>
      </c>
      <c r="G17" s="71" t="s">
        <v>76</v>
      </c>
      <c r="H17" s="76" t="s">
        <v>18</v>
      </c>
      <c r="I17" s="77" t="s">
        <v>71</v>
      </c>
      <c r="J17" s="65" t="s">
        <v>77</v>
      </c>
    </row>
    <row r="18" ht="30.75" customHeight="1" spans="1:10">
      <c r="A18" s="70"/>
      <c r="B18" s="70"/>
      <c r="C18" s="70" t="s">
        <v>78</v>
      </c>
      <c r="D18" s="70"/>
      <c r="E18" s="70"/>
      <c r="F18" s="70"/>
      <c r="G18" s="70"/>
      <c r="H18" s="70"/>
      <c r="I18" s="70"/>
    </row>
    <row r="19" ht="45" customHeight="1" spans="1:10">
      <c r="A19" s="71" t="s">
        <v>79</v>
      </c>
      <c r="B19" s="71"/>
      <c r="C19" s="71" t="s">
        <v>80</v>
      </c>
      <c r="D19" s="71" t="s">
        <v>81</v>
      </c>
      <c r="E19" s="71" t="s">
        <v>82</v>
      </c>
      <c r="F19" s="71" t="s">
        <v>57</v>
      </c>
      <c r="G19" s="71" t="s">
        <v>57</v>
      </c>
      <c r="H19" s="80" t="s">
        <v>57</v>
      </c>
      <c r="I19" s="84" t="s">
        <v>83</v>
      </c>
      <c r="J19" s="65" t="s">
        <v>84</v>
      </c>
    </row>
    <row r="20" ht="45" customHeight="1" spans="1:10">
      <c r="A20" s="71" t="s">
        <v>85</v>
      </c>
      <c r="B20" s="71"/>
      <c r="C20" s="71" t="s">
        <v>86</v>
      </c>
      <c r="D20" s="71" t="s">
        <v>81</v>
      </c>
      <c r="E20" s="71" t="s">
        <v>82</v>
      </c>
      <c r="F20" s="71" t="s">
        <v>57</v>
      </c>
      <c r="G20" s="71" t="s">
        <v>57</v>
      </c>
      <c r="H20" s="80" t="s">
        <v>57</v>
      </c>
      <c r="I20" s="84" t="s">
        <v>83</v>
      </c>
      <c r="J20" s="65" t="s">
        <v>84</v>
      </c>
    </row>
    <row r="21" ht="15.75" customHeight="1" spans="1:10">
      <c r="A21" s="70"/>
      <c r="B21" s="70"/>
      <c r="C21" s="70" t="s">
        <v>87</v>
      </c>
      <c r="D21" s="70"/>
      <c r="E21" s="70"/>
      <c r="F21" s="70"/>
      <c r="G21" s="70"/>
      <c r="H21" s="70"/>
      <c r="I21" s="70"/>
    </row>
    <row r="22" ht="45" customHeight="1" spans="1:10">
      <c r="A22" s="71" t="s">
        <v>88</v>
      </c>
      <c r="B22" s="71"/>
      <c r="C22" s="71" t="s">
        <v>89</v>
      </c>
      <c r="D22" s="71" t="s">
        <v>90</v>
      </c>
      <c r="E22" s="71" t="s">
        <v>91</v>
      </c>
      <c r="F22" s="85" t="s">
        <v>92</v>
      </c>
      <c r="G22" s="85" t="s">
        <v>93</v>
      </c>
      <c r="H22" s="86" t="s">
        <v>18</v>
      </c>
      <c r="I22" s="87" t="s">
        <v>94</v>
      </c>
      <c r="J22" s="65" t="s">
        <v>84</v>
      </c>
    </row>
    <row r="23" ht="45" customHeight="1" spans="1:10">
      <c r="A23" s="71" t="s">
        <v>95</v>
      </c>
      <c r="B23" s="71"/>
      <c r="C23" s="71" t="s">
        <v>96</v>
      </c>
      <c r="D23" s="71" t="s">
        <v>90</v>
      </c>
      <c r="E23" s="71" t="s">
        <v>91</v>
      </c>
      <c r="F23" s="85" t="s">
        <v>97</v>
      </c>
      <c r="G23" s="85" t="s">
        <v>93</v>
      </c>
      <c r="H23" s="86" t="s">
        <v>18</v>
      </c>
      <c r="I23" s="87" t="s">
        <v>94</v>
      </c>
      <c r="J23" s="65" t="s">
        <v>84</v>
      </c>
    </row>
    <row r="24" ht="45" customHeight="1" spans="1:10">
      <c r="A24" s="71" t="s">
        <v>98</v>
      </c>
      <c r="B24" s="71" t="s">
        <v>13</v>
      </c>
      <c r="C24" s="71" t="s">
        <v>99</v>
      </c>
      <c r="D24" s="71" t="s">
        <v>76</v>
      </c>
      <c r="E24" s="71" t="s">
        <v>100</v>
      </c>
      <c r="F24" s="71" t="s">
        <v>101</v>
      </c>
      <c r="G24" s="71" t="s">
        <v>93</v>
      </c>
      <c r="H24" s="74" t="s">
        <v>102</v>
      </c>
      <c r="I24" s="88" t="s">
        <v>103</v>
      </c>
      <c r="J24" s="65" t="s">
        <v>84</v>
      </c>
    </row>
    <row r="25" ht="15.75" customHeight="1" spans="1:10">
      <c r="F25" s="89"/>
    </row>
    <row r="26" ht="15.75" customHeight="1" spans="1:10">
      <c r="F26" s="89"/>
    </row>
    <row r="27" ht="15.75" customHeight="1" spans="1:10">
      <c r="F27" s="89"/>
    </row>
    <row r="28" ht="15.75" customHeight="1" spans="1:10">
      <c r="F28" s="89"/>
    </row>
    <row r="29" ht="15.75" customHeight="1" spans="1:10">
      <c r="F29" s="89"/>
    </row>
    <row r="30" ht="15.75" customHeight="1" spans="1:10">
      <c r="F30" s="89"/>
    </row>
    <row r="31" ht="15.75" customHeight="1" spans="1:10">
      <c r="F31" s="89"/>
    </row>
    <row r="32" ht="15.75" customHeight="1"/>
    <row r="33" ht="15.75" customHeight="1"/>
    <row r="34" ht="15.75" customHeight="1"/>
    <row r="35" ht="15.75" customHeight="1"/>
    <row r="36" ht="15.75" customHeight="1" spans="6:6">
      <c r="F36" s="9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I1"/>
    <mergeCell ref="A2:I2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opLeftCell="A4" workbookViewId="0">
      <selection activeCell="C15" sqref="C15:C17"/>
    </sheetView>
  </sheetViews>
  <sheetFormatPr defaultColWidth="14.4285714285714" defaultRowHeight="15" customHeight="1"/>
  <cols>
    <col min="1" max="1" width="1.14285714285714" customWidth="1"/>
    <col min="2" max="2" width="5.28571428571429" customWidth="1"/>
    <col min="3" max="3" width="17.2857142857143" customWidth="1"/>
    <col min="4" max="4" width="23.4285714285714" customWidth="1"/>
    <col min="5" max="5" width="29.2857142857143" customWidth="1"/>
    <col min="6" max="6" width="8.71428571428571" customWidth="1"/>
    <col min="7" max="7" width="19.2857142857143" customWidth="1"/>
    <col min="8" max="8" width="12.5714285714286" customWidth="1"/>
    <col min="9" max="9" width="10.5714285714286" customWidth="1"/>
    <col min="10" max="11" width="6.71428571428571" customWidth="1"/>
    <col min="12" max="12" width="8.71428571428571" customWidth="1"/>
    <col min="13" max="13" width="9.71428571428571" customWidth="1"/>
    <col min="14" max="14" width="38" customWidth="1"/>
    <col min="15" max="15" width="41.7142857142857" customWidth="1"/>
    <col min="16" max="26" width="8.71428571428571" customWidth="1"/>
  </cols>
  <sheetData>
    <row r="1" ht="9" customHeight="1"/>
    <row r="2" ht="18" customHeight="1" spans="1:26">
      <c r="A2" s="1"/>
      <c r="B2" s="2" t="s">
        <v>104</v>
      </c>
      <c r="C2" s="3"/>
      <c r="D2" s="4" t="s">
        <v>105</v>
      </c>
      <c r="E2" s="5"/>
      <c r="F2" s="6" t="s">
        <v>106</v>
      </c>
      <c r="G2" s="7"/>
      <c r="H2" s="7"/>
      <c r="I2" s="7"/>
      <c r="J2" s="7"/>
      <c r="K2" s="7"/>
      <c r="L2" s="7"/>
      <c r="M2" s="7"/>
      <c r="N2" s="7"/>
      <c r="O2" s="5"/>
      <c r="P2" s="8"/>
      <c r="Q2" s="8"/>
      <c r="R2" s="8"/>
      <c r="S2" s="8"/>
      <c r="T2" s="1"/>
      <c r="U2" s="1"/>
      <c r="V2" s="1"/>
      <c r="W2" s="1"/>
      <c r="X2" s="1"/>
      <c r="Y2" s="1"/>
      <c r="Z2" s="1"/>
    </row>
    <row r="3" ht="18" customHeight="1" spans="1:26">
      <c r="A3" s="1"/>
      <c r="B3" s="9"/>
      <c r="C3" s="10"/>
      <c r="D3" s="11" t="str">
        <f>[1]IF020_00!D1</f>
        <v>商品マスタ</v>
      </c>
      <c r="E3" s="12"/>
      <c r="F3" s="13" t="str">
        <f>[1]IF020_00!C4</f>
        <v>基幹システムのデータベースより、商品の基本情報を連携します。</v>
      </c>
      <c r="G3" s="3"/>
      <c r="H3" s="3"/>
      <c r="I3" s="3"/>
      <c r="J3" s="3"/>
      <c r="K3" s="3"/>
      <c r="L3" s="3"/>
      <c r="M3" s="3"/>
      <c r="N3" s="3"/>
      <c r="O3" s="14"/>
      <c r="P3" s="8"/>
      <c r="Q3" s="8"/>
      <c r="R3" s="8"/>
      <c r="S3" s="8"/>
      <c r="T3" s="1"/>
      <c r="U3" s="1"/>
      <c r="V3" s="1"/>
      <c r="W3" s="1"/>
      <c r="X3" s="1"/>
      <c r="Y3" s="1"/>
      <c r="Z3" s="1"/>
    </row>
    <row r="4" ht="18" customHeight="1" spans="1:26">
      <c r="A4" s="8"/>
      <c r="B4" s="15"/>
      <c r="C4" s="16"/>
      <c r="D4" s="15"/>
      <c r="E4" s="17"/>
      <c r="F4" s="15"/>
      <c r="G4" s="16"/>
      <c r="H4" s="16"/>
      <c r="I4" s="16"/>
      <c r="J4" s="16"/>
      <c r="K4" s="16"/>
      <c r="L4" s="16"/>
      <c r="M4" s="16"/>
      <c r="N4" s="16"/>
      <c r="O4" s="17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.25" customHeight="1" spans="1:26">
      <c r="A5" s="8"/>
      <c r="B5" s="8"/>
      <c r="C5" s="8"/>
      <c r="D5" s="8"/>
      <c r="E5" s="8"/>
      <c r="F5" s="4" t="s">
        <v>107</v>
      </c>
      <c r="G5" s="5"/>
      <c r="H5" s="6"/>
      <c r="I5" s="6"/>
      <c r="J5" s="4" t="s">
        <v>108</v>
      </c>
      <c r="K5" s="5"/>
      <c r="L5" s="4"/>
      <c r="M5" s="5"/>
      <c r="N5" s="4" t="s">
        <v>109</v>
      </c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" customHeight="1" spans="1:26">
      <c r="A6" s="8"/>
      <c r="B6" s="8"/>
      <c r="C6" s="8"/>
      <c r="D6" s="8"/>
      <c r="E6" s="8"/>
      <c r="F6" s="18" t="str">
        <f>[1]IF020_00!D2</f>
        <v>item_mst.txt</v>
      </c>
      <c r="G6" s="5"/>
      <c r="H6" s="19"/>
      <c r="I6" s="19"/>
      <c r="J6" s="18" t="s">
        <v>110</v>
      </c>
      <c r="K6" s="5"/>
      <c r="L6" s="20"/>
      <c r="M6" s="5"/>
      <c r="N6" s="21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8" customHeight="1" spans="1:26">
      <c r="B7" s="22" t="s">
        <v>111</v>
      </c>
      <c r="C7" s="8"/>
      <c r="D7" s="8"/>
      <c r="E7" s="8"/>
      <c r="F7" s="23"/>
      <c r="G7" s="23"/>
      <c r="H7" s="23"/>
      <c r="I7" s="23"/>
      <c r="J7" s="23"/>
      <c r="K7" s="23"/>
      <c r="L7" s="24"/>
      <c r="M7" s="24"/>
      <c r="N7" s="25"/>
      <c r="O7" s="24"/>
    </row>
    <row r="8" ht="18" customHeight="1" spans="1:26">
      <c r="B8" s="26"/>
      <c r="C8" s="8"/>
      <c r="D8" s="8"/>
      <c r="E8" s="8"/>
      <c r="F8" s="8"/>
      <c r="G8" s="8"/>
      <c r="H8" s="8"/>
      <c r="I8" s="8"/>
      <c r="J8" s="8"/>
      <c r="K8" s="8"/>
      <c r="L8" s="24"/>
      <c r="M8" s="24"/>
      <c r="N8" s="25"/>
      <c r="O8" s="24"/>
    </row>
    <row r="9" ht="18" customHeight="1" spans="1:26">
      <c r="B9" s="27"/>
      <c r="C9" s="28"/>
      <c r="D9" s="29" t="s">
        <v>112</v>
      </c>
      <c r="E9" s="30"/>
      <c r="F9" s="31"/>
      <c r="G9" s="31"/>
      <c r="H9" s="31"/>
      <c r="I9" s="31"/>
      <c r="J9" s="31"/>
      <c r="K9" s="31"/>
      <c r="L9" s="31"/>
      <c r="M9" s="31"/>
      <c r="N9" s="32"/>
      <c r="O9" s="33"/>
    </row>
    <row r="10" ht="18" customHeight="1" spans="1:26">
      <c r="B10" s="34" t="s">
        <v>113</v>
      </c>
      <c r="C10" s="34" t="s">
        <v>114</v>
      </c>
      <c r="D10" s="35" t="s">
        <v>115</v>
      </c>
      <c r="E10" s="36" t="s">
        <v>116</v>
      </c>
      <c r="F10" s="36" t="s">
        <v>117</v>
      </c>
      <c r="G10" s="37" t="s">
        <v>118</v>
      </c>
      <c r="H10" s="36" t="s">
        <v>119</v>
      </c>
      <c r="I10" s="36" t="s">
        <v>120</v>
      </c>
      <c r="J10" s="38" t="s">
        <v>121</v>
      </c>
      <c r="K10" s="34" t="s">
        <v>3</v>
      </c>
      <c r="L10" s="34" t="s">
        <v>122</v>
      </c>
      <c r="M10" s="34" t="s">
        <v>123</v>
      </c>
      <c r="N10" s="39" t="s">
        <v>124</v>
      </c>
      <c r="O10" s="35" t="s">
        <v>125</v>
      </c>
    </row>
    <row r="11" ht="18" customHeight="1" spans="1:26">
      <c r="B11" s="40">
        <v>1</v>
      </c>
      <c r="C11" s="40" t="str">
        <f>[1]IF020_00!D7</f>
        <v>商品コード</v>
      </c>
      <c r="D11" s="41" t="s">
        <v>126</v>
      </c>
      <c r="E11" s="42" t="s">
        <v>127</v>
      </c>
      <c r="F11" s="43"/>
      <c r="G11" s="44"/>
      <c r="H11" s="44" t="s">
        <v>128</v>
      </c>
      <c r="I11" s="44" t="s">
        <v>88</v>
      </c>
      <c r="J11" s="45" t="str">
        <f>[1]IF020_00!B7</f>
        <v>ｷｰ</v>
      </c>
      <c r="K11" s="45" t="str">
        <f>[1]IF020_00!C7</f>
        <v>○</v>
      </c>
      <c r="L11" s="45" t="str">
        <f>[1]IF020_00!G7</f>
        <v>文字</v>
      </c>
      <c r="M11" s="45">
        <f>[1]IF020_00!H7</f>
        <v>100</v>
      </c>
      <c r="N11" s="46">
        <f>[1]IF020_00!F7</f>
        <v>0</v>
      </c>
      <c r="O11" s="47"/>
    </row>
    <row r="12" ht="18" customHeight="1" spans="1:26">
      <c r="B12" s="40">
        <v>2</v>
      </c>
      <c r="C12" s="40" t="str">
        <f>[1]IF020_00!D8</f>
        <v>商品名</v>
      </c>
      <c r="D12" s="41" t="s">
        <v>126</v>
      </c>
      <c r="E12" s="48" t="s">
        <v>129</v>
      </c>
      <c r="F12" s="43"/>
      <c r="G12" s="44"/>
      <c r="H12" s="44" t="s">
        <v>128</v>
      </c>
      <c r="I12" s="44" t="s">
        <v>130</v>
      </c>
      <c r="J12" s="45">
        <f>[1]IF020_00!B8</f>
        <v>0</v>
      </c>
      <c r="K12" s="45" t="str">
        <f>[1]IF020_00!C8</f>
        <v>○</v>
      </c>
      <c r="L12" s="45" t="str">
        <f>[1]IF020_00!G8</f>
        <v>文字</v>
      </c>
      <c r="M12" s="45">
        <f>[1]IF020_00!H8</f>
        <v>100</v>
      </c>
      <c r="N12" s="46">
        <f>[1]IF020_00!F8</f>
        <v>0</v>
      </c>
      <c r="O12" s="47"/>
    </row>
    <row r="13" ht="18" customHeight="1" spans="1:26">
      <c r="B13" s="40">
        <v>3</v>
      </c>
      <c r="C13" s="40" t="str">
        <f>[1]IF020_00!D9</f>
        <v>容量</v>
      </c>
      <c r="D13" s="41" t="s">
        <v>126</v>
      </c>
      <c r="E13" s="42" t="s">
        <v>131</v>
      </c>
      <c r="F13" s="43"/>
      <c r="G13" s="44"/>
      <c r="H13" s="44" t="s">
        <v>128</v>
      </c>
      <c r="I13" s="44" t="s">
        <v>98</v>
      </c>
      <c r="J13" s="45">
        <f>[1]IF020_00!B9</f>
        <v>0</v>
      </c>
      <c r="K13" s="45" t="str">
        <f>[1]IF020_00!C9</f>
        <v>○</v>
      </c>
      <c r="L13" s="45" t="str">
        <f>[1]IF020_00!G9</f>
        <v>文字</v>
      </c>
      <c r="M13" s="45">
        <f>[1]IF020_00!H9</f>
        <v>100</v>
      </c>
      <c r="N13" s="46">
        <f>[1]IF020_00!F9</f>
        <v>0</v>
      </c>
      <c r="O13" s="47"/>
    </row>
    <row r="14" ht="18" customHeight="1" spans="1:26">
      <c r="B14" s="40">
        <v>4</v>
      </c>
      <c r="C14" s="40" t="str">
        <f>[1]IF020_00!D10</f>
        <v>メーカーコード</v>
      </c>
      <c r="D14" s="41" t="s">
        <v>126</v>
      </c>
      <c r="E14" s="48" t="s">
        <v>132</v>
      </c>
      <c r="F14" s="43"/>
      <c r="G14" s="44"/>
      <c r="H14" s="44" t="s">
        <v>128</v>
      </c>
      <c r="I14" s="44" t="s">
        <v>43</v>
      </c>
      <c r="J14" s="45">
        <f>[1]IF020_00!B10</f>
        <v>0</v>
      </c>
      <c r="K14" s="45">
        <f>[1]IF020_00!C10</f>
        <v>0</v>
      </c>
      <c r="L14" s="45" t="str">
        <f>[1]IF020_00!G10</f>
        <v>文字</v>
      </c>
      <c r="M14" s="45">
        <f>[1]IF020_00!H10</f>
        <v>100</v>
      </c>
      <c r="N14" s="46">
        <f>[1]IF020_00!F10</f>
        <v>0</v>
      </c>
      <c r="O14" s="49"/>
    </row>
    <row r="15" ht="18" customHeight="1" spans="1:26">
      <c r="B15" s="40">
        <v>5</v>
      </c>
      <c r="C15" s="40" t="str">
        <f>[1]IF020_00!D11</f>
        <v>大分類コード</v>
      </c>
      <c r="D15" s="41" t="s">
        <v>126</v>
      </c>
      <c r="E15" s="91" t="s">
        <v>133</v>
      </c>
      <c r="F15" s="50"/>
      <c r="G15" s="51"/>
      <c r="H15" s="44" t="s">
        <v>128</v>
      </c>
      <c r="I15" s="44" t="s">
        <v>20</v>
      </c>
      <c r="J15" s="45">
        <f>[1]IF020_00!B11</f>
        <v>0</v>
      </c>
      <c r="K15" s="45" t="str">
        <f>[1]IF020_00!C11</f>
        <v>○</v>
      </c>
      <c r="L15" s="45" t="str">
        <f>[1]IF020_00!G11</f>
        <v>文字</v>
      </c>
      <c r="M15" s="45">
        <f>[1]IF020_00!H11</f>
        <v>100</v>
      </c>
      <c r="N15" s="46" t="str">
        <f>[1]IF020_00!F11</f>
        <v>固定長にて設定ください</v>
      </c>
      <c r="O15" s="52"/>
    </row>
    <row r="16" ht="35" customHeight="1" spans="1:26">
      <c r="B16" s="40">
        <v>6</v>
      </c>
      <c r="C16" s="40" t="str">
        <f>[1]IF020_00!D12</f>
        <v>中分類コード</v>
      </c>
      <c r="D16" s="41" t="s">
        <v>126</v>
      </c>
      <c r="E16" s="92" t="s">
        <v>134</v>
      </c>
      <c r="F16" s="50"/>
      <c r="G16" s="51"/>
      <c r="H16" s="44" t="s">
        <v>128</v>
      </c>
      <c r="I16" s="54" t="s">
        <v>135</v>
      </c>
      <c r="J16" s="45">
        <f>[1]IF020_00!B12</f>
        <v>0</v>
      </c>
      <c r="K16" s="45" t="str">
        <f>[1]IF020_00!C12</f>
        <v>○</v>
      </c>
      <c r="L16" s="45" t="str">
        <f>[1]IF020_00!G12</f>
        <v>文字</v>
      </c>
      <c r="M16" s="45">
        <f>[1]IF020_00!H12</f>
        <v>100</v>
      </c>
      <c r="N16" s="46" t="str">
        <f>[1]IF020_00!F12</f>
        <v>固定長にて設定ください</v>
      </c>
      <c r="O16" s="52"/>
    </row>
    <row r="17" ht="54" customHeight="1" spans="2:15">
      <c r="B17" s="40">
        <v>7</v>
      </c>
      <c r="C17" s="40" t="str">
        <f>[1]IF020_00!D13</f>
        <v>小分類コード</v>
      </c>
      <c r="D17" s="41" t="s">
        <v>126</v>
      </c>
      <c r="E17" s="92" t="s">
        <v>136</v>
      </c>
      <c r="F17" s="50"/>
      <c r="G17" s="51"/>
      <c r="H17" s="44" t="s">
        <v>128</v>
      </c>
      <c r="I17" s="54" t="s">
        <v>137</v>
      </c>
      <c r="J17" s="45">
        <f>[1]IF020_00!B13</f>
        <v>0</v>
      </c>
      <c r="K17" s="45" t="str">
        <f>[1]IF020_00!C13</f>
        <v>○</v>
      </c>
      <c r="L17" s="45" t="str">
        <f>[1]IF020_00!G13</f>
        <v>文字</v>
      </c>
      <c r="M17" s="45">
        <f>[1]IF020_00!H13</f>
        <v>100</v>
      </c>
      <c r="N17" s="46" t="str">
        <f>[1]IF020_00!F13</f>
        <v>固定長にて設定ください</v>
      </c>
      <c r="O17" s="52"/>
    </row>
    <row r="18" ht="18" customHeight="1" spans="2:15">
      <c r="B18" s="40">
        <v>8</v>
      </c>
      <c r="C18" s="40" t="str">
        <f>[1]IF020_00!D14</f>
        <v>細目コード</v>
      </c>
      <c r="D18" s="41"/>
      <c r="E18" s="55"/>
      <c r="F18" s="43">
        <v>0</v>
      </c>
      <c r="G18" s="51"/>
      <c r="H18" s="44"/>
      <c r="I18" s="51"/>
      <c r="J18" s="45">
        <f>[1]IF020_00!B14</f>
        <v>0</v>
      </c>
      <c r="K18" s="45" t="str">
        <f>[1]IF020_00!C14</f>
        <v>○</v>
      </c>
      <c r="L18" s="45" t="str">
        <f>[1]IF020_00!G14</f>
        <v>文字</v>
      </c>
      <c r="M18" s="45">
        <f>[1]IF020_00!H14</f>
        <v>100</v>
      </c>
      <c r="N18" s="46" t="str">
        <f>[1]IF020_00!F14</f>
        <v>固定長にて設定ください
ない場合0固定</v>
      </c>
      <c r="O18" s="52"/>
    </row>
    <row r="19" ht="18" customHeight="1" spans="2:15">
      <c r="B19" s="40">
        <v>9</v>
      </c>
      <c r="C19" s="40" t="str">
        <f>[1]IF020_00!D15</f>
        <v>入荷期限日数</v>
      </c>
      <c r="D19" s="56"/>
      <c r="E19" s="48"/>
      <c r="F19" s="43" t="s">
        <v>138</v>
      </c>
      <c r="G19" s="44"/>
      <c r="H19" s="44"/>
      <c r="I19" s="44"/>
      <c r="J19" s="45">
        <f>[1]IF020_00!B15</f>
        <v>0</v>
      </c>
      <c r="K19" s="45">
        <f>[1]IF020_00!C15</f>
        <v>0</v>
      </c>
      <c r="L19" s="45" t="str">
        <f>[1]IF020_00!G15</f>
        <v>整数値</v>
      </c>
      <c r="M19" s="45">
        <f>[1]IF020_00!H15</f>
        <v>5</v>
      </c>
      <c r="N19" s="46" t="str">
        <f>[1]IF020_00!F15</f>
        <v>0～99999
ない場合0固定</v>
      </c>
      <c r="O19" s="57"/>
    </row>
    <row r="20" ht="42.75" customHeight="1" spans="2:15">
      <c r="B20" s="40">
        <v>10</v>
      </c>
      <c r="C20" s="40" t="str">
        <f>[1]IF020_00!D16</f>
        <v>販売許容日数</v>
      </c>
      <c r="D20" s="41" t="s">
        <v>139</v>
      </c>
      <c r="E20" s="42" t="s">
        <v>140</v>
      </c>
      <c r="F20" s="43"/>
      <c r="G20" s="49"/>
      <c r="H20" s="44" t="s">
        <v>141</v>
      </c>
      <c r="I20" s="44" t="s">
        <v>25</v>
      </c>
      <c r="J20" s="45">
        <f>[1]IF020_00!B16</f>
        <v>0</v>
      </c>
      <c r="K20" s="45" t="str">
        <f>[1]IF020_00!C16</f>
        <v>○</v>
      </c>
      <c r="L20" s="45" t="str">
        <f>[1]IF020_00!G16</f>
        <v>整数値</v>
      </c>
      <c r="M20" s="45">
        <f>[1]IF020_00!H16</f>
        <v>5</v>
      </c>
      <c r="N20" s="46" t="str">
        <f>[1]IF020_00!F16</f>
        <v>0～99999</v>
      </c>
      <c r="O20" s="58" t="s">
        <v>142</v>
      </c>
    </row>
    <row r="21" ht="18" customHeight="1" spans="2:15">
      <c r="B21" s="40">
        <v>11</v>
      </c>
      <c r="C21" s="40" t="str">
        <f>[1]IF020_00!D17</f>
        <v>賞味期限日数</v>
      </c>
      <c r="D21" s="41"/>
      <c r="E21" s="48"/>
      <c r="F21" s="43">
        <v>0</v>
      </c>
      <c r="G21" s="49"/>
      <c r="H21" s="49"/>
      <c r="I21" s="49"/>
      <c r="J21" s="45">
        <f>[1]IF020_00!B17</f>
        <v>0</v>
      </c>
      <c r="K21" s="45" t="str">
        <f>[1]IF020_00!C17</f>
        <v>○</v>
      </c>
      <c r="L21" s="45" t="str">
        <f>[1]IF020_00!G17</f>
        <v>整数値</v>
      </c>
      <c r="M21" s="45">
        <f>[1]IF020_00!H17</f>
        <v>5</v>
      </c>
      <c r="N21" s="46" t="str">
        <f>[1]IF020_00!F17</f>
        <v>0～99999</v>
      </c>
      <c r="O21" s="57"/>
    </row>
    <row r="22" ht="18" customHeight="1" spans="2:15">
      <c r="B22" s="40">
        <v>12</v>
      </c>
      <c r="C22" s="40" t="str">
        <f>[1]IF020_00!D18</f>
        <v>発注開始日</v>
      </c>
      <c r="D22" s="41" t="s">
        <v>139</v>
      </c>
      <c r="E22" s="48" t="s">
        <v>143</v>
      </c>
      <c r="F22" s="43"/>
      <c r="G22" s="44"/>
      <c r="H22" s="44" t="s">
        <v>128</v>
      </c>
      <c r="I22" s="44" t="s">
        <v>53</v>
      </c>
      <c r="J22" s="45">
        <f>[1]IF020_00!B18</f>
        <v>0</v>
      </c>
      <c r="K22" s="45">
        <f>[1]IF020_00!C18</f>
        <v>0</v>
      </c>
      <c r="L22" s="45" t="str">
        <f>[1]IF020_00!G18</f>
        <v>日付</v>
      </c>
      <c r="M22" s="45">
        <f>[1]IF020_00!H18</f>
        <v>8</v>
      </c>
      <c r="N22" s="46" t="str">
        <f>[1]IF020_00!F18</f>
        <v>yyyymmdd形式、未定の場合空文字列</v>
      </c>
      <c r="O22" s="58" t="s">
        <v>142</v>
      </c>
    </row>
    <row r="23" ht="18" customHeight="1" spans="2:15">
      <c r="B23" s="40">
        <v>13</v>
      </c>
      <c r="C23" s="40" t="str">
        <f>[1]IF020_00!D19</f>
        <v>発注終了日</v>
      </c>
      <c r="D23" s="41" t="s">
        <v>139</v>
      </c>
      <c r="E23" s="48" t="s">
        <v>144</v>
      </c>
      <c r="F23" s="43"/>
      <c r="G23" s="44"/>
      <c r="H23" s="44" t="s">
        <v>128</v>
      </c>
      <c r="I23" s="44" t="s">
        <v>53</v>
      </c>
      <c r="J23" s="45">
        <f>[1]IF020_00!B19</f>
        <v>0</v>
      </c>
      <c r="K23" s="45">
        <f>[1]IF020_00!C19</f>
        <v>0</v>
      </c>
      <c r="L23" s="45" t="str">
        <f>[1]IF020_00!G19</f>
        <v>日付</v>
      </c>
      <c r="M23" s="45">
        <f>[1]IF020_00!H19</f>
        <v>8</v>
      </c>
      <c r="N23" s="46" t="str">
        <f>[1]IF020_00!F19</f>
        <v>yyyymmdd形式、未定の場合空文字列</v>
      </c>
      <c r="O23" s="58" t="s">
        <v>142</v>
      </c>
    </row>
    <row r="24" ht="18" customHeight="1" spans="2:15">
      <c r="B24" s="40">
        <v>14</v>
      </c>
      <c r="C24" s="40" t="str">
        <f>[1]IF020_00!D20</f>
        <v>内箱入り数</v>
      </c>
      <c r="D24" s="41"/>
      <c r="E24" s="48"/>
      <c r="F24" s="43">
        <v>0</v>
      </c>
      <c r="G24" s="44"/>
      <c r="H24" s="44" t="s">
        <v>141</v>
      </c>
      <c r="I24" s="44" t="s">
        <v>30</v>
      </c>
      <c r="J24" s="45">
        <f>[1]IF020_00!B20</f>
        <v>0</v>
      </c>
      <c r="K24" s="45">
        <f>[1]IF020_00!C20</f>
        <v>0</v>
      </c>
      <c r="L24" s="45" t="str">
        <f>[1]IF020_00!G20</f>
        <v>整数値</v>
      </c>
      <c r="M24" s="45">
        <f>[1]IF020_00!H20</f>
        <v>4</v>
      </c>
      <c r="N24" s="46" t="str">
        <f>[1]IF020_00!F20</f>
        <v>0～9999</v>
      </c>
      <c r="O24" s="59"/>
    </row>
    <row r="25" ht="18" customHeight="1" spans="2:15">
      <c r="B25" s="40">
        <v>15</v>
      </c>
      <c r="C25" s="40" t="str">
        <f>[1]IF020_00!D21</f>
        <v>外箱入り数</v>
      </c>
      <c r="D25" s="41"/>
      <c r="E25" s="48"/>
      <c r="F25" s="43">
        <v>0</v>
      </c>
      <c r="G25" s="44"/>
      <c r="H25" s="44" t="s">
        <v>141</v>
      </c>
      <c r="I25" s="44" t="s">
        <v>30</v>
      </c>
      <c r="J25" s="45">
        <f>[1]IF020_00!B21</f>
        <v>0</v>
      </c>
      <c r="K25" s="45">
        <f>[1]IF020_00!C21</f>
        <v>0</v>
      </c>
      <c r="L25" s="45" t="str">
        <f>[1]IF020_00!G21</f>
        <v>整数値</v>
      </c>
      <c r="M25" s="45">
        <f>[1]IF020_00!H21</f>
        <v>4</v>
      </c>
      <c r="N25" s="46" t="str">
        <f>[1]IF020_00!F21</f>
        <v>0～9999</v>
      </c>
      <c r="O25" s="59"/>
    </row>
    <row r="26" ht="18" customHeight="1" spans="2:15">
      <c r="B26" s="60">
        <v>16</v>
      </c>
      <c r="C26" s="60" t="str">
        <f>[1]IF020_00!D22</f>
        <v>発注単位</v>
      </c>
      <c r="D26" s="41"/>
      <c r="E26" s="48"/>
      <c r="F26" s="43">
        <v>1</v>
      </c>
      <c r="G26" s="44"/>
      <c r="H26" s="61"/>
      <c r="I26" s="61"/>
      <c r="J26" s="62">
        <f>[1]IF020_00!B22</f>
        <v>0</v>
      </c>
      <c r="K26" s="62" t="str">
        <f>[1]IF020_00!C22</f>
        <v>○</v>
      </c>
      <c r="L26" s="62" t="str">
        <f>[1]IF020_00!G22</f>
        <v>整数値</v>
      </c>
      <c r="M26" s="62">
        <f>[1]IF020_00!H22</f>
        <v>8</v>
      </c>
      <c r="N26" s="63" t="str">
        <f>[1]IF020_00!F22</f>
        <v>1～99999999</v>
      </c>
      <c r="O26" s="57"/>
    </row>
    <row r="27" ht="18" customHeight="1"/>
    <row r="28" ht="18" customHeight="1" spans="2:15">
      <c r="B28" s="64" t="s">
        <v>145</v>
      </c>
    </row>
    <row r="29" ht="18" customHeight="1" spans="2:15">
      <c r="B29" s="64" t="s">
        <v>146</v>
      </c>
    </row>
    <row r="30" ht="18" customHeight="1" spans="2:15">
      <c r="B30" s="64" t="s">
        <v>147</v>
      </c>
    </row>
    <row r="31" ht="18" customHeight="1" spans="2:15">
      <c r="B31" s="64" t="s">
        <v>148</v>
      </c>
    </row>
    <row r="32" ht="18" customHeight="1" spans="2:15">
      <c r="B32" s="64" t="s">
        <v>149</v>
      </c>
    </row>
    <row r="33" ht="18" customHeight="1"/>
    <row r="34" ht="18" customHeight="1" spans="2:2">
      <c r="B34" s="64" t="s">
        <v>150</v>
      </c>
    </row>
    <row r="35" ht="18" customHeight="1" spans="2:2">
      <c r="B35" s="64" t="s">
        <v>151</v>
      </c>
    </row>
    <row r="36" ht="18" customHeight="1" spans="2:2">
      <c r="B36" s="64" t="s">
        <v>152</v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14">
    <mergeCell ref="D2:E2"/>
    <mergeCell ref="F2:O2"/>
    <mergeCell ref="F5:G5"/>
    <mergeCell ref="J5:K5"/>
    <mergeCell ref="L5:M5"/>
    <mergeCell ref="N5:O5"/>
    <mergeCell ref="F6:G6"/>
    <mergeCell ref="J6:K6"/>
    <mergeCell ref="L6:M6"/>
    <mergeCell ref="N6:O6"/>
    <mergeCell ref="D9:E9"/>
    <mergeCell ref="B2:C4"/>
    <mergeCell ref="D3:E4"/>
    <mergeCell ref="F3:O4"/>
  </mergeCells>
  <pageMargins left="0.7" right="0.7" top="0.75" bottom="0.75" header="0" footer="0"/>
  <pageSetup paperSize="1" orientation="landscape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商品マスタ(item_mst.txt)</vt:lpstr>
      <vt:lpstr>マッピング(旧参照用)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2026-05-13T12:04:00Z</dcterms:created>
  <dcterms:modified xsi:type="dcterms:W3CDTF">2026-08-03T02:57:20Z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