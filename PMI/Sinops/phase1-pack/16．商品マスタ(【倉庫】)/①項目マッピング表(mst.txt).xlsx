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商品マスタ(mst.txt)" sheetId="1" r:id="rId4"/>
    <sheet state="hidden" name="③判定サマリ" sheetId="2" r:id="rId5"/>
    <sheet state="visible" name="マッピング(旧参照用)" sheetId="3" r:id="rId6"/>
  </sheets>
  <externalReferences>
    <externalReference r:id="rId7"/>
  </externalReferences>
  <definedNames>
    <definedName name="_DF400">{"サーバ別",#N/A,FALSE,"業務改造"}</definedName>
    <definedName name="a">{"サーバ別",#N/A,FALSE,"業務改造"}</definedName>
    <definedName name="a_">{"サーバ別",#N/A,FALSE,"業務改造"}</definedName>
    <definedName name="aa">{#N/A,#N/A,FALSE,"担当"}</definedName>
    <definedName name="aaa">{"Ｍ系全体",#N/A,FALSE,"業務改造";"サーバ別",#N/A,FALSE,"業務改造"}</definedName>
    <definedName name="aaaaa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a">{#N/A,#N/A,FALSE,"担当"}</definedName>
    <definedName name="aaaaaaaa">{"Ｍ系全体",#N/A,FALSE,"業務改造";"サーバ別",#N/A,FALSE,"業務改造"}</definedName>
    <definedName name="ABC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fee">{#N/A,#N/A,FALSE,"担当"}</definedName>
    <definedName name="aher">{"Ｍ系全体",#N/A,FALSE,"業務改造";"サーバ別",#N/A,FALSE,"業務改造"}</definedName>
    <definedName name="avd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ｂｂ">{#N/A,#N/A,FALSE,"担当"}</definedName>
    <definedName name="bbbbb">{#N/A,#N/A,FALSE,"担当"}</definedName>
    <definedName name="b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oo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t">{"Ｍ系全体",#N/A,FALSE,"業務改造";"サーバ別",#N/A,FALSE,"業務改造"}</definedName>
    <definedName name="bvrt">{"サーバ別",#N/A,FALSE,"業務改造"}</definedName>
    <definedName name="da">{"Ｍ系全体",#N/A,FALSE,"業務改造";"担当",#N/A,FALSE,"担当"}</definedName>
    <definedName name="djyg">{"サーバ別",#N/A,FALSE,"業務改造"}</definedName>
    <definedName name="dmhn">{"Ｍ系全体",#N/A,FALSE,"業務改造";"サーバ別",#N/A,FALSE,"業務改造"}</definedName>
    <definedName name="dmng">{"Ｍ系全体",#N/A,FALSE,"業務改造"}</definedName>
    <definedName name="dtmnf">{"Ｍ系全体",#N/A,FALSE,"業務改造";"担当",#N/A,FALSE,"担当"}</definedName>
    <definedName name="ea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at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awt">{"サーバ別",#N/A,FALSE,"業務改造"}</definedName>
    <definedName name="ee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t">{"Ｍ系全体",#N/A,FALSE,"業務改造";"サーバ別",#N/A,FALSE,"業務改造"}</definedName>
    <definedName name="er">{#N/A,#N/A,FALSE,"担当"}</definedName>
    <definedName name="ere">{"サーバ別",#N/A,FALSE,"業務改造"}</definedName>
    <definedName name="ert">{"Ｍ系全体",#N/A,FALSE,"業務改造";"サーバ別",#N/A,FALSE,"業務改造"}</definedName>
    <definedName name="ertjy">{"Ｍ系全体",#N/A,FALSE,"業務改造"}</definedName>
    <definedName name="erty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te">{"Ｍ系全体",#N/A,FALSE,"業務改造"}</definedName>
    <definedName name="etrh">{"Ｍ系全体",#N/A,FALSE,"業務改造"}</definedName>
    <definedName name="eytryj">{#N/A,#N/A,FALSE,"担当"}</definedName>
    <definedName name="f">{#N/A,#N/A,FALSE,"担当"}</definedName>
    <definedName name="fa">{#N/A,#N/A,FALSE,"担当"}</definedName>
    <definedName name="faea">{"Ｍ系全体",#N/A,FALSE,"業務改造";"サーバ別",#N/A,FALSE,"業務改造"}</definedName>
    <definedName name="feer">{"Ｍ系全体",#N/A,FALSE,"業務改造";"サーバ別",#N/A,FALSE,"業務改造"}</definedName>
    <definedName name="ｆｆｆ">{"Ｍ系全体",#N/A,FALSE,"業務改造";"サーバ別",#N/A,FALSE,"業務改造"}</definedName>
    <definedName name="ffg">{"Ｍ系全体",#N/A,FALSE,"業務改造";"サーバ別",#N/A,FALSE,"業務改造"}</definedName>
    <definedName name="fgh">{"サーバ別",#N/A,FALSE,"業務改造"}</definedName>
    <definedName name="ft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fyk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aer">{"Ｍ系全体",#N/A,FALSE,"業務改造";"サーバ別",#N/A,FALSE,"業務改造"}</definedName>
    <definedName name="geds">{"Ｍ系全体",#N/A,FALSE,"業務改造"}</definedName>
    <definedName name="gee">{"サーバ別",#N/A,FALSE,"業務改造"}</definedName>
    <definedName name="ge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erera">{"Ｍ系全体",#N/A,FALSE,"業務改造";"サーバ別",#N/A,FALSE,"業務改造"}</definedName>
    <definedName name="ge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gr">{"Ｍ系全体",#N/A,FALSE,"業務改造"}</definedName>
    <definedName name="ggre">{"サーバ別",#N/A,FALSE,"業務改造"}</definedName>
    <definedName name="ggres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greshr">{"Ｍ系全体",#N/A,FALSE,"業務改造";"担当",#N/A,FALSE,"担当"}</definedName>
    <definedName name="ha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b">{"Ｍ系全体",#N/A,FALSE,"業務改造";"サーバ別",#N/A,FALSE,"業務改造"}</definedName>
    <definedName name="he">{"Ｍ系全体",#N/A,FALSE,"業務改造"}</definedName>
    <definedName name="hfdr">{#N/A,#N/A,FALSE,"担当"}</definedName>
    <definedName name="hg">{"Ｍ系全体",#N/A,FALSE,"業務改造";"サーバ別",#N/A,FALSE,"業務改造"}</definedName>
    <definedName name="hgf">{"サーバ別",#N/A,FALSE,"業務改造"}</definedName>
    <definedName name="hg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hhhh">{#N/A,#N/A,FALSE,"担当"}</definedName>
    <definedName name="hhrg">{"Ｍ系全体",#N/A,FALSE,"業務改造";"サーバ別",#N/A,FALSE,"業務改造"}</definedName>
    <definedName name="hjg">{"Ｍ系全体",#N/A,FALSE,"業務改造";"サーバ別",#N/A,FALSE,"業務改造"}</definedName>
    <definedName name="hsrd">{#N/A,#N/A,FALSE,"担当"}</definedName>
    <definedName name="hsrtb">{"サーバ別",#N/A,FALSE,"業務改造"}</definedName>
    <definedName name="htht">{#N/A,#N/A,FALSE,"担当"}</definedName>
    <definedName name="htht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TML1_1">"'[MILLE999.xls]価格表（社外出力） (2)'!$A$1:$E$225"</definedName>
    <definedName name="HTML1_10">""</definedName>
    <definedName name="HTML1_11">1</definedName>
    <definedName name="HTML1_12">"J:\Ｎ技２\IWASHITA\MyHTML.htm"</definedName>
    <definedName name="HTML1_2">1</definedName>
    <definedName name="HTML1_3">"MILLE999.xls"</definedName>
    <definedName name="HTML1_4">"価格表（社外出力） (2)"</definedName>
    <definedName name="HTML1_5">""</definedName>
    <definedName name="HTML1_6">-4146</definedName>
    <definedName name="HTML1_7">-4146</definedName>
    <definedName name="HTML1_8">"98/03/13"</definedName>
    <definedName name="HTML1_9">"日立西部ソフトウェア(株)"</definedName>
    <definedName name="HTMLCount">1</definedName>
    <definedName name="htr">{"Ｍ系全体",#N/A,FALSE,"業務改造";"サーバ別",#N/A,FALSE,"業務改造"}</definedName>
    <definedName name="htrh">{"サーバ別",#N/A,FALSE,"業務改造"}</definedName>
    <definedName name="iku">{"Ｍ系全体",#N/A,FALSE,"業務改造";"サーバ別",#N/A,FALSE,"業務改造"}</definedName>
    <definedName name="iym">{"サーバ別",#N/A,FALSE,"業務改造"}</definedName>
    <definedName name="jdtr">{"Ｍ系全体",#N/A,FALSE,"業務改造";"担当",#N/A,FALSE,"担当"}</definedName>
    <definedName name="jdyyd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jjjj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ktu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mrfncgv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ndxf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rfg">{"サーバ別",#N/A,FALSE,"業務改造"}</definedName>
    <definedName name="jrnfg">{"Ｍ系全体",#N/A,FALSE,"業務改造";"サーバ別",#N/A,FALSE,"業務改造"}</definedName>
    <definedName name="jryfcghv">{"サーバ別",#N/A,FALSE,"業務改造"}</definedName>
    <definedName name="jtjy">{"Ｍ系全体",#N/A,FALSE,"業務改造";"サーバ別",#N/A,FALSE,"業務改造"}</definedName>
    <definedName name="jtrdgf">{#N/A,#N/A,FALSE,"担当"}</definedName>
    <definedName name="jty">{#N/A,#N/A,FALSE,"担当"}</definedName>
    <definedName name="juj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yjt">{"サーバ別",#N/A,FALSE,"業務改造"}</definedName>
    <definedName name="jyt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ytj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fun">{"サーバ別",#N/A,FALSE,"業務改造"}</definedName>
    <definedName name="kfymg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kk">{"サーバ別",#N/A,FALSE,"業務改造"}</definedName>
    <definedName name="kkk">{"Ｍ系全体",#N/A,FALSE,"業務改造"}</definedName>
    <definedName name="kkkkkk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tghbn">{"Ｍ系全体",#N/A,FALSE,"業務改造";"サーバ別",#N/A,FALSE,"業務改造"}</definedName>
    <definedName name="ktujg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">{"Ｍ系全体",#N/A,FALSE,"業務改造";"サーバ別",#N/A,FALSE,"業務改造"}</definedName>
    <definedName name="kufhg">{"Ｍ系全体",#N/A,FALSE,"業務改造"}</definedName>
    <definedName name="kujgh">{#N/A,#N/A,FALSE,"担当"}</definedName>
    <definedName name="kuk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y">{#N/A,#N/A,FALSE,"担当"}</definedName>
    <definedName name="kuy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f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ugh">{"Ｍ系全体",#N/A,FALSE,"業務改造";"サーバ別",#N/A,FALSE,"業務改造"}</definedName>
    <definedName name="kyumhn">{"Ｍ系全体",#N/A,FALSE,"業務改造";"担当",#N/A,FALSE,"担当"}</definedName>
    <definedName name="kyut">{"Ｍ系全体",#N/A,FALSE,"業務改造";"担当",#N/A,FALSE,"担当"}</definedName>
    <definedName name="l">{"Ｍ系全体",#N/A,FALSE,"業務改造"}</definedName>
    <definedName name="la">{"Ｍ系全体",#N/A,FALSE,"業務改造";"サーバ別",#N/A,FALSE,"業務改造"}</definedName>
    <definedName name="lll">{"Ｍ系全体",#N/A,FALSE,"業務改造";"サーバ別",#N/A,FALSE,"業務改造"}</definedName>
    <definedName name="mfgv">{"Ｍ系全体",#N/A,FALSE,"業務改造"}</definedName>
    <definedName name="mfhn">{"Ｍ系全体",#N/A,FALSE,"業務改造";"サーバ別",#N/A,FALSE,"業務改造"}</definedName>
    <definedName name="mfn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mn">{"サーバ別",#N/A,FALSE,"業務改造"}</definedName>
    <definedName name="mngf">{"Ｍ系全体",#N/A,FALSE,"業務改造";"サーバ別",#N/A,FALSE,"業務改造"}</definedName>
    <definedName name="mngfb">{"Ｍ系全体",#N/A,FALSE,"業務改造";"サーバ別",#N/A,FALSE,"業務改造"}</definedName>
    <definedName name="mygf">{"Ｍ系全体",#N/A,FALSE,"業務改造";"サーバ別",#N/A,FALSE,"業務改造"}</definedName>
    <definedName name="n">{"サーバ別",#N/A,FALSE,"業務改造"}</definedName>
    <definedName name="ng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OK">{"サーバ別",#N/A,FALSE,"業務改造"}</definedName>
    <definedName name="oo">{"サーバ別",#N/A,FALSE,"業務改造"}</definedName>
    <definedName name="pppp">{#N/A,#N/A,FALSE,"担当"}</definedName>
    <definedName name="q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ｑｑｑｑ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a">{"サーバ別",#N/A,FALSE,"業務改造"}</definedName>
    <definedName name="rea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ate">{"Ｍ系全体",#N/A,FALSE,"業務改造"}</definedName>
    <definedName name="reaw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tea">{"Ｍ系全体",#N/A,FALSE,"業務改造";"サーバ別",#N/A,FALSE,"業務改造"}</definedName>
    <definedName name="rej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te">{"Ｍ系全体",#N/A,FALSE,"業務改造";"サーバ別",#N/A,FALSE,"業務改造"}</definedName>
    <definedName name="rete">{"サーバ別",#N/A,FALSE,"業務改造"}</definedName>
    <definedName name="reth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ew">{"Ｍ系全体",#N/A,FALSE,"業務改造";"サーバ別",#N/A,FALSE,"業務改造"}</definedName>
    <definedName name="rgf">{"Ｍ系全体",#N/A,FALSE,"業務改造"}</definedName>
    <definedName name="rgrs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kdyyth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ngf">{"サーバ別",#N/A,FALSE,"業務改造"}</definedName>
    <definedName name="r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tuyj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rtyuj">{"Ｍ系全体",#N/A,FALSE,"業務改造";"サーバ別",#N/A,FALSE,"業務改造"}</definedName>
    <definedName name="sas">{"サーバ別",#N/A,FALSE,"業務改造"}</definedName>
    <definedName name="ser">{"Ｍ系全体",#N/A,FALSE,"業務改造";"サーバ別",#N/A,FALSE,"業務改造"}</definedName>
    <definedName name="ｓｓｓｓ">{#N/A,#N/A,FALSE,"担当"}</definedName>
    <definedName name="teate">{"Ｍ系全体",#N/A,FALSE,"業務改造";"担当",#N/A,FALSE,"担当"}</definedName>
    <definedName name="tes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gt">{"サーバ別",#N/A,FALSE,"業務改造"}</definedName>
    <definedName name="tj">{#N/A,#N/A,FALSE,"担当"}</definedName>
    <definedName name="tn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ryu">{"Ｍ系全体",#N/A,FALSE,"業務改造";"担当",#N/A,FALSE,"担当"}</definedName>
    <definedName name="tt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tttttttt">{#N/A,#N/A,FALSE,"担当"}</definedName>
    <definedName name="tyjkj">{"Ｍ系全体",#N/A,FALSE,"業務改造";"担当",#N/A,FALSE,"担当"}</definedName>
    <definedName name="uk">{"Ｍ系全体",#N/A,FALSE,"業務改造"}</definedName>
    <definedName name="u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uuku">{"サーバ別",#N/A,FALSE,"業務改造"}</definedName>
    <definedName name="uygh">{"サーバ別",#N/A,FALSE,"業務改造"}</definedName>
    <definedName name="ｗ">{"サーバ別",#N/A,FALSE,"業務改造"}</definedName>
    <definedName name="wa">{"Ｍ系全体",#N/A,FALSE,"業務改造";"サーバ別",#N/A,FALSE,"業務改造"}</definedName>
    <definedName name="wrn.confshet.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Ｍ系全体.">{"Ｍ系全体",#N/A,FALSE,"業務改造"}</definedName>
    <definedName name="wrn.サーバ別.">{"サーバ別",#N/A,FALSE,"業務改造"}</definedName>
    <definedName name="wrn.構成ｶﾞｲﾄﾞ_全印刷.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全体andサーバ別.">{"Ｍ系全体",#N/A,FALSE,"業務改造";"サーバ別",#N/A,FALSE,"業務改造"}</definedName>
    <definedName name="wrn.全体and担当.">{"Ｍ系全体",#N/A,FALSE,"業務改造";"担当",#N/A,FALSE,"担当"}</definedName>
    <definedName name="wrn.担当.">{#N/A,#N/A,FALSE,"担当"}</definedName>
    <definedName name="ww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ww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x">{"Ｍ系全体",#N/A,FALSE,"業務改造";"サーバ別",#N/A,FALSE,"業務改造"}</definedName>
    <definedName name="yfku">{#N/A,#N/A,FALSE,"担当"}</definedName>
    <definedName name="yfumg">{"Ｍ系全体",#N/A,FALSE,"業務改造"}</definedName>
    <definedName name="yimg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nrh">{"Ｍ系全体",#N/A,FALSE,"業務改造";"サーバ別",#N/A,FALSE,"業務改造"}</definedName>
    <definedName name="yrh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t">{#N/A,#N/A,FALSE,"担当"}</definedName>
    <definedName name="ytujk">{"サーバ別",#N/A,FALSE,"業務改造"}</definedName>
    <definedName name="yy">{"サーバ別",#N/A,FALSE,"業務改造"}</definedName>
    <definedName name="yyyy">{"Ｍ系全体",#N/A,FALSE,"業務改造"}</definedName>
    <definedName name="z">{"Ｍ系全体",#N/A,FALSE,"業務改造"}</definedName>
    <definedName name="zndg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">{"サーバ別",#N/A,FALSE,"業務改造"}</definedName>
    <definedName name="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ぁ">{"Ｍ系全体",#N/A,FALSE,"業務改造";"担当",#N/A,FALSE,"担当"}</definedName>
    <definedName name="ああ">{#N/A,#N/A,FALSE,"担当"}</definedName>
    <definedName name="ああ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あ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う">{"サーバ別",#N/A,FALSE,"業務改造"}</definedName>
    <definedName name="いい">{"Ｍ系全体",#N/A,FALSE,"業務改造"}</definedName>
    <definedName name="いいいいいいいいいいいいいいいい">{"サーバ別",#N/A,FALSE,"業務改造"}</definedName>
    <definedName name="う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おおお">{"Ｍ系全体",#N/A,FALSE,"業務改造";"サーバ別",#N/A,FALSE,"業務改造"}</definedName>
    <definedName name="かかし">{"Ｍ系全体",#N/A,FALSE,"業務改造";"サーバ別",#N/A,FALSE,"業務改造"}</definedName>
    <definedName name="けいさん">{"サーバ別",#N/A,FALSE,"業務改造"}</definedName>
    <definedName name="コンフィグ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すすす">{"Ｍ系全体",#N/A,FALSE,"業務改造";"サーバ別",#N/A,FALSE,"業務改造"}</definedName>
    <definedName name="だ">{"Ｍ系全体",#N/A,FALSE,"業務改造";"サーバ別",#N/A,FALSE,"業務改造"}</definedName>
    <definedName name="ちす">{"Ｍ系全体",#N/A,FALSE,"業務改造"}</definedName>
    <definedName name="テスト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ホスト">{"Ｍ系全体",#N/A,FALSE,"業務改造";"サーバ別",#N/A,FALSE,"業務改造"}</definedName>
    <definedName name="仮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計算">{"サーバ別",#N/A,FALSE,"業務改造"}</definedName>
    <definedName name="HTML1_13">#REF!</definedName>
    <definedName name="HTML1_15">#REF!</definedName>
    <definedName name="HTML1_14">#REF!</definedName>
  </definedNames>
  <calcPr/>
  <extLst>
    <ext uri="GoogleSheetsCustomDataVersion2">
      <go:sheetsCustomData xmlns:go="http://customooxmlschemas.google.com/" r:id="rId8" roundtripDataChecksum="d9K/OlnT1rJA2evuPXyusnMwQNJG2KpD8SQ96F/miiA="/>
    </ext>
  </extLst>
</workbook>
</file>

<file path=xl/sharedStrings.xml><?xml version="1.0" encoding="utf-8"?>
<sst xmlns="http://schemas.openxmlformats.org/spreadsheetml/2006/main" count="279" uniqueCount="186">
  <si>
    <t>項目マッピング 判定サマリ</t>
  </si>
  <si>
    <t>ファイル区分</t>
  </si>
  <si>
    <t>判定</t>
  </si>
  <si>
    <t>件数</t>
  </si>
  <si>
    <t>割合</t>
  </si>
  <si>
    <t>主な内容・対応方針</t>
  </si>
  <si>
    <t>sinops-W 商品マスタ
【倉庫コード】mst.txt
(20項目)</t>
  </si>
  <si>
    <t>○ 直接マッピング可</t>
  </si>
  <si>
    <t>1項目</t>
  </si>
  <si>
    <t>5%</t>
  </si>
  <si>
    <t>品名(ProductName) — 直接マッピング可（結合処理要確認）</t>
  </si>
  <si>
    <t>△ 変換・加工が必要</t>
  </si>
  <si>
    <t>8項目</t>
  </si>
  <si>
    <t>40%</t>
  </si>
  <si>
    <t>品番トリム・原価スケール変換(÷1000)・仕入先CD結合・カテゴリCD結合・現在庫数結合・重量変換・発注ロット変換・更新削除ロジック</t>
  </si>
  <si>
    <t>✕ GAPあり</t>
  </si>
  <si>
    <t>L/T（リードタイム）：TRIALの基本マスタに対応項目なし。暫定0固定または別途調査</t>
  </si>
  <si>
    <t>― 固定値/NULL</t>
  </si>
  <si>
    <t>IF変換仕様書</t>
  </si>
  <si>
    <t>10項目</t>
  </si>
  <si>
    <t>50%</t>
  </si>
  <si>
    <t>単位=空白・粗利=0.01・初期在庫=0・荷役費用=1・年間保管費用=1・追加L/T=0・最低発注数=NULL・備考=0 他</t>
  </si>
  <si>
    <t>名 称</t>
  </si>
  <si>
    <t>項目マッピング表 — sinops-W 商品マスタ（【倉庫コード】mst.txt）20項目</t>
  </si>
  <si>
    <t>概 要</t>
  </si>
  <si>
    <t>sinops-W（倉庫向け）↔ TRIAL 基本マスタ（PRODUCTS マスタ４次商品マスタ）/ 全件更新・差分更新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</si>
  <si>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</si>
  <si>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</si>
  <si>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</si>
  <si>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</si>
  <si>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</si>
  <si>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</si>
  <si>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
（PRODUCTS）</t>
  </si>
  <si>
    <t>変換後ファイル名</t>
  </si>
  <si>
    <t>TRIAL 型/桁</t>
  </si>
  <si>
    <t>変換ルール・留意事項</t>
  </si>
  <si>
    <t>ファイル形式</t>
  </si>
  <si>
    <t>◆ 商品識別・名称</t>
  </si>
  <si>
    <t>レコード作成条件</t>
  </si>
  <si>
    <t>○</t>
  </si>
  <si>
    <t>品番</t>
  </si>
  <si>
    <t>文字/100</t>
  </si>
  <si>
    <t>JAN (ProductCD)</t>
  </si>
  <si>
    <t>TSV</t>
  </si>
  <si>
    <t>固定長/char/20</t>
  </si>
  <si>
    <t>△</t>
  </si>
  <si>
    <t>商品マスタのJANになります。(sinops:13桁、TRIAL：20桁)</t>
  </si>
  <si>
    <t>マスタ内に現在庫が含まれるため全件更新が必要</t>
  </si>
  <si>
    <t>品名</t>
  </si>
  <si>
    <t>■マッピングシート</t>
  </si>
  <si>
    <t>商品名称(漢字) (ProductName)</t>
  </si>
  <si>
    <t>可変長</t>
  </si>
  <si>
    <t>直接マッピング可。TRIALのProductName（商品名称漢字）を使用。</t>
  </si>
  <si>
    <t/>
  </si>
  <si>
    <t>単位</t>
  </si>
  <si>
    <t>― (固定値)</t>
  </si>
  <si>
    <t>―</t>
  </si>
  <si>
    <t>sinops-Wマッピング仕様に「空白」固定と明記。空文字列で設定。</t>
  </si>
  <si>
    <t>メーカー名</t>
  </si>
  <si>
    <t xml:space="preserve">変換元データ　</t>
  </si>
  <si>
    <t>メーカーコード</t>
  </si>
  <si>
    <t>char/6</t>
  </si>
  <si>
    <r>
      <rPr>
        <rFont val="Meiryo"/>
        <b/>
        <color theme="1"/>
        <sz val="9.0"/>
      </rPr>
      <t>・GAPあり。</t>
    </r>
    <r>
      <rPr>
        <rFont val="Meiryo UI"/>
        <b/>
        <color theme="1"/>
        <sz val="12.0"/>
      </rPr>
      <t>合意意見も記入しています。</t>
    </r>
  </si>
  <si>
    <t>No</t>
  </si>
  <si>
    <t>◆ 仕入・価格</t>
  </si>
  <si>
    <t>W項目名</t>
  </si>
  <si>
    <t>テーブル名</t>
  </si>
  <si>
    <t>項目名</t>
  </si>
  <si>
    <t>固定値</t>
  </si>
  <si>
    <t>受領サンプルデータ</t>
  </si>
  <si>
    <t>型</t>
  </si>
  <si>
    <t>項目長</t>
  </si>
  <si>
    <t>Key</t>
  </si>
  <si>
    <t>データ型</t>
  </si>
  <si>
    <t>最大桁数</t>
  </si>
  <si>
    <t>区分・範囲</t>
  </si>
  <si>
    <t>編集仕様</t>
  </si>
  <si>
    <t>店別商品マスタファイル</t>
  </si>
  <si>
    <t>（2商品コード）</t>
  </si>
  <si>
    <t>英数字型</t>
  </si>
  <si>
    <t>14</t>
  </si>
  <si>
    <t>仕入先コード</t>
  </si>
  <si>
    <r>
      <rPr>
        <rFont val="Meiryo UI"/>
        <b/>
        <color theme="1"/>
        <sz val="10.0"/>
      </rPr>
      <t>店別調達</t>
    </r>
    <r>
      <rPr>
        <rFont val="Meiryo UI"/>
        <b val="0"/>
        <color theme="1"/>
        <sz val="10.0"/>
      </rPr>
      <t xml:space="preserve">
ベンダーCD (SupplierCD)</t>
    </r>
  </si>
  <si>
    <t>基本商品マスタファイル</t>
  </si>
  <si>
    <t>固定長/char/9</t>
  </si>
  <si>
    <t>（10商品名上段＋11商品名下段）</t>
  </si>
  <si>
    <r>
      <rPr>
        <rFont val="Meiryo UI"/>
        <color rgb="FF1A2E4A"/>
        <sz val="9.0"/>
      </rPr>
      <t xml:space="preserve">sinops
（30仕入先コード＋31仕入先コード枝番）
</t>
    </r>
    <r>
      <rPr>
        <rFont val="Meiryo UI"/>
        <b/>
        <color rgb="FFFF0000"/>
        <sz val="11.0"/>
      </rPr>
      <t>【商品マスタ統合プロジェクト】課題から設計内容の確認が必要</t>
    </r>
  </si>
  <si>
    <t>28+22</t>
  </si>
  <si>
    <t>仕入単価</t>
  </si>
  <si>
    <t>数値(8,2)/11</t>
  </si>
  <si>
    <t>0.01～99999999.99</t>
  </si>
  <si>
    <r>
      <rPr>
        <rFont val="Meiryo UI"/>
        <b/>
        <color theme="1"/>
        <sz val="10.0"/>
      </rPr>
      <t>店別調達</t>
    </r>
    <r>
      <rPr>
        <rFont val="Meiryo UI"/>
        <b val="0"/>
        <color theme="1"/>
        <sz val="10.0"/>
      </rPr>
      <t xml:space="preserve">
原価 (CostPrice)</t>
    </r>
  </si>
  <si>
    <t>〇</t>
  </si>
  <si>
    <t>sinopsは数値(8,2)（円.小数2桁）。</t>
  </si>
  <si>
    <t>粗利</t>
  </si>
  <si>
    <t>「0.01」固定値。sinops-Wマッピング仕様に明記。</t>
  </si>
  <si>
    <t>空白</t>
  </si>
  <si>
    <t>◆ 在庫・発注コスト（固定値群）</t>
  </si>
  <si>
    <t>初期在庫</t>
  </si>
  <si>
    <t>整数値/1</t>
  </si>
  <si>
    <t>「0」固定値。sinops-Wマッピング仕様に明記。</t>
  </si>
  <si>
    <t>荷役費用／回</t>
  </si>
  <si>
    <t>整数値/8</t>
  </si>
  <si>
    <t>1～99999999</t>
  </si>
  <si>
    <t>「1」固定値。sinops-Wマッピング仕様に明記。</t>
  </si>
  <si>
    <t>（34メーカーコード）</t>
  </si>
  <si>
    <t>年間保管費用／個</t>
  </si>
  <si>
    <t>6</t>
  </si>
  <si>
    <t>現在庫数</t>
  </si>
  <si>
    <t>-99999999～99999999　※１</t>
  </si>
  <si>
    <t>センター在庫
在庫数</t>
  </si>
  <si>
    <t>数値型/7桁</t>
  </si>
  <si>
    <r>
      <rPr>
        <rFont val="Meiryo UI"/>
        <color theme="1"/>
        <sz val="10.0"/>
      </rPr>
      <t xml:space="preserve">重要：基本マスタとは別ファイルからの結合が必要。-99999999～99999999の範囲チェック。
</t>
    </r>
    <r>
      <rPr>
        <rFont val="Meiryo UI"/>
        <b/>
        <color rgb="FFFF0000"/>
        <sz val="11.0"/>
      </rPr>
      <t>【WMS統合】予定がないので、どうやって取れるか要確認</t>
    </r>
  </si>
  <si>
    <t>データ元の調査が必要</t>
  </si>
  <si>
    <t>◆ 商品分類（カテゴリ）</t>
  </si>
  <si>
    <t>（30仕入先コード＋31仕入先コード枝番）</t>
  </si>
  <si>
    <t>カテゴリ</t>
  </si>
  <si>
    <t>6+3</t>
  </si>
  <si>
    <t>部門+
中分類+
小分類</t>
  </si>
  <si>
    <t>部門CD+ミニ部門CD+品種CD
(DepartmentCD+SubDeptCD+VarietyCD)</t>
  </si>
  <si>
    <t>固定長/各char/4</t>
  </si>
  <si>
    <r>
      <rPr>
        <rFont val="Meiryo UI"/>
        <color theme="1"/>
        <sz val="10.0"/>
      </rPr>
      <t>【生成ロジック必要】階層に応じてコードを結合して生成する。
・大分類(階層0)：部門のみ　例:「0011」
・中分類(階層1)：部門+中分類(4+4=8桁) 例:「00110001」
・小分類(階層2)：部門+中分類+小分類(4+4+4=12桁) 例:「001100010201」。結合後の値が0～99999999の</t>
    </r>
    <r>
      <rPr>
        <rFont val="Meiryo UI"/>
        <b/>
        <color rgb="FFFF0000"/>
        <sz val="10.0"/>
      </rPr>
      <t>8桁整数部超のオーバーフロー確認</t>
    </r>
  </si>
  <si>
    <t>最低発注数</t>
  </si>
  <si>
    <r>
      <rPr>
        <rFont val="Meiryo UI"/>
        <color theme="1"/>
        <sz val="10.0"/>
      </rPr>
      <t xml:space="preserve">NULL固定。sinops-Wマッピング仕様に明記。
</t>
    </r>
    <r>
      <rPr>
        <rFont val="Meiryo UI"/>
        <b/>
        <strike/>
        <color rgb="FF7F7F7F"/>
        <sz val="10.0"/>
      </rPr>
      <t>トライアル店別調達には最小発注数がある、今後運用上これを利用していくかどうか要確認</t>
    </r>
  </si>
  <si>
    <t>重量</t>
  </si>
  <si>
    <t>数値(16,3)</t>
  </si>
  <si>
    <t>0.000～9999999999999999.999</t>
  </si>
  <si>
    <t>梱包重量(外箱)</t>
  </si>
  <si>
    <r>
      <rPr>
        <rFont val="Arial"/>
        <color theme="1"/>
        <sz val="10.0"/>
      </rPr>
      <t xml:space="preserve">生鮮系(チルド？PC)は別で管理している。
</t>
    </r>
    <r>
      <rPr>
        <rFont val="Arial"/>
        <b/>
        <color rgb="FFFF0000"/>
        <sz val="10.0"/>
      </rPr>
      <t>梱包重量(外箱)しか持っていない</t>
    </r>
  </si>
  <si>
    <t>（19原価）</t>
  </si>
  <si>
    <t>運用上でどういう目的で使っているか確認した上で設定していく</t>
  </si>
  <si>
    <t>数値型</t>
  </si>
  <si>
    <t>9.2</t>
  </si>
  <si>
    <t>◆ リードタイム・発注設定</t>
  </si>
  <si>
    <t>追加L/T</t>
  </si>
  <si>
    <t>0データを0.01に変換</t>
  </si>
  <si>
    <t>0～9</t>
  </si>
  <si>
    <t>L/T</t>
  </si>
  <si>
    <t>整数値/3</t>
  </si>
  <si>
    <t>0～365(0の場合は、インポート時に 1 に変換する）</t>
  </si>
  <si>
    <r>
      <rPr>
        <rFont val="Meiryo UI"/>
        <color theme="1"/>
        <sz val="10.0"/>
      </rPr>
      <t xml:space="preserve">「0」固定値
</t>
    </r>
    <r>
      <rPr>
        <rFont val="Meiryo UI"/>
        <b/>
        <strike/>
        <color rgb="FF7F7F7F"/>
        <sz val="11.0"/>
      </rPr>
      <t>TRIALは別のテーブルで管理している、ここを利用しているか確認必要</t>
    </r>
    <r>
      <rPr>
        <rFont val="Meiryo UI"/>
        <strike/>
        <color rgb="FF7F7F7F"/>
        <sz val="10.0"/>
      </rPr>
      <t xml:space="preserve">
sinops
15　＋　半角スペース ＋　調達期間 (リードタイム/日) 
から調達期間（リードタイム/日）のみ抽出し格納</t>
    </r>
  </si>
  <si>
    <t>どうやって使っているか要確認</t>
  </si>
  <si>
    <t>発注ロット</t>
  </si>
  <si>
    <t>店別調達
発注単位数 (OrderUnitQty)</t>
  </si>
  <si>
    <r>
      <rPr>
        <rFont val="Meiryo UI"/>
        <color theme="1"/>
        <sz val="10.0"/>
      </rPr>
      <t xml:space="preserve">TRIALのOrderUnitQty（発注単位数）を使用。
</t>
    </r>
    <r>
      <rPr>
        <rFont val="Meiryo UI"/>
        <b/>
        <color rgb="FFFF0000"/>
        <sz val="10.0"/>
      </rPr>
      <t>要確認</t>
    </r>
  </si>
  <si>
    <t>パック入数か発注単位数か商品入数(外箱)か検討が必要</t>
  </si>
  <si>
    <t>◆ 更新区分・その他</t>
  </si>
  <si>
    <t>更新削除</t>
  </si>
  <si>
    <t>文字/40</t>
  </si>
  <si>
    <t>”削除”、”新商品”、”更新”、“新商品更新”、”部分変更”　※２</t>
  </si>
  <si>
    <t>― (ロジック制御)</t>
  </si>
  <si>
    <r>
      <rPr>
        <rFont val="Meiryo UI"/>
        <color theme="1"/>
        <sz val="10.0"/>
      </rPr>
      <t xml:space="preserve">「削除」「新商品」「更新」「新商品更新」「部分変更」のいずれかを設定。sinops-W内で在庫管理する場合は「部分変更」固定。TRIALのDelFlag(=1)→「削除」。
</t>
    </r>
    <r>
      <rPr>
        <rFont val="Meiryo UI"/>
        <b/>
        <color rgb="FFFF0000"/>
        <sz val="10.0"/>
      </rPr>
      <t>実際の判断内容は要確認.</t>
    </r>
  </si>
  <si>
    <t>区別条件を要確認</t>
  </si>
  <si>
    <t>予備１</t>
  </si>
  <si>
    <t>整数値/15</t>
  </si>
  <si>
    <t>000000000000000、700000000000000　※３</t>
  </si>
  <si>
    <t>店別調達
(適用)発注停止フラグ</t>
  </si>
  <si>
    <t>固定長/char/1</t>
  </si>
  <si>
    <t>×</t>
  </si>
  <si>
    <t>000000000000000（通常品）または700000000000000（店舗発注停止品）を設定。</t>
  </si>
  <si>
    <t>TCから同期していないので、データ元は？
現状どうやって利用しているか、確認してから設定内容確定</t>
  </si>
  <si>
    <t>備考</t>
  </si>
  <si>
    <t>在庫データファイル（W向け）</t>
  </si>
  <si>
    <t>（5在庫数）</t>
  </si>
  <si>
    <t>（4）分類コード3（部門）+
（5）分類コード4（中分類）+
（6）分類コード5（小分類）</t>
  </si>
  <si>
    <t>2
2
4</t>
  </si>
  <si>
    <t>NULL</t>
  </si>
  <si>
    <t>（78 アイテム重量単位：ｋｇ）</t>
  </si>
  <si>
    <t>11.4</t>
  </si>
  <si>
    <t>小数4桁目は切り捨て</t>
  </si>
  <si>
    <t>15　＋　半角スペース ＋　調達期間 (リードタイム/日) 
から調達期間（リードタイム/日）のみ抽出し格納</t>
  </si>
  <si>
    <t>（71ベンダーパック入数）</t>
  </si>
  <si>
    <t>3</t>
  </si>
  <si>
    <t>※１　現在庫数をSINOPS内で管理する場合は”” （ヌル文字)で固定</t>
  </si>
  <si>
    <t>※２　現在庫数をSINOPS内で管理する場合は”部分変更”で固定</t>
  </si>
  <si>
    <t xml:space="preserve">　　　（読み込み済みレコードの削除＝”削除”・新商品の表示＝”新商品”・</t>
  </si>
  <si>
    <t xml:space="preserve">　　　読み込み済みレコードの更新＝”更新”・“新商品更新”・一部の項目の更新をする＝”部分変更”）</t>
  </si>
  <si>
    <t>※３　000000000000000：通常品、700000000000000：店舗発注停止品</t>
  </si>
  <si>
    <t>■基幹出力方式</t>
  </si>
  <si>
    <t xml:space="preserve">　全件出力</t>
  </si>
  <si>
    <t xml:space="preserve">　※処理時間短縮のため、MD基幹／商品マスタ．自動補充対象フラグがOFFのデータは連携対象外にしていただく</t>
  </si>
  <si>
    <t>■sinops取込方式</t>
  </si>
  <si>
    <t xml:space="preserve">　差分更新</t>
  </si>
  <si>
    <t>■必要タイミング</t>
  </si>
  <si>
    <t xml:space="preserve">　取込結果は即日反映いたしますので、分類の変更などが発生する場合には</t>
  </si>
  <si>
    <t xml:space="preserve">　実際に分類が切り替わるタイミングで変更後データの連携をおこなってください。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</si>
</sst>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"/>
  </numFmts>
  <fonts count="30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Yu Gothic"/>
    </font>
    <font>
      <sz val="9.0"/>
      <color rgb="FF333333"/>
      <name val="Meiryo"/>
    </font>
    <font>
      <b/>
      <sz val="15.0"/>
      <color rgb="FFFFFFFF"/>
      <name val="Meiryo"/>
    </font>
    <font>
      <b/>
      <sz val="11.0"/>
      <color rgb="FFFFFFFF"/>
      <name val="Meiryo"/>
    </font>
    <font>
      <sz val="11.0"/>
      <color theme="1"/>
      <name val="Meiryo"/>
    </font>
    <font>
      <sz val="9.0"/>
      <color rgb="FF92400E"/>
      <name val="Meiryo"/>
    </font>
    <font>
      <b/>
      <sz val="9.0"/>
      <color rgb="FFFFFFFF"/>
      <name val="Meiryo"/>
    </font>
    <font>
      <sz val="14.0"/>
      <color rgb="FF333333"/>
      <name val="Meiryo"/>
    </font>
    <font>
      <sz val="12.0"/>
      <color rgb="FF333333"/>
      <name val="Meiryo"/>
    </font>
    <font>
      <b/>
      <sz val="10.0"/>
      <color rgb="FF1A2E4A"/>
      <name val="Meiryo"/>
    </font>
    <font>
      <sz val="10.0"/>
      <color theme="1"/>
      <name val="Meiryo"/>
    </font>
    <font>
      <sz val="11.0"/>
      <color rgb="FF333333"/>
      <name val="Meiryo"/>
    </font>
    <font>
      <sz val="9.0"/>
      <color theme="1"/>
      <name val="Meiryo"/>
    </font>
    <font>
      <b/>
      <sz val="16.0"/>
      <color rgb="FF333333"/>
      <name val="Meiryo"/>
    </font>
    <font>
      <b/>
      <sz val="13.0"/>
      <color rgb="FF333333"/>
      <name val="Meiryo"/>
    </font>
    <font>
      <b/>
      <sz val="11.0"/>
      <color rgb="FF333333"/>
      <name val="Meiryo"/>
    </font>
    <font>
      <b/>
      <sz val="9.0"/>
      <color theme="1"/>
      <name val="Meiryo"/>
    </font>
    <font>
      <sz val="10.0"/>
      <color rgb="FF333333"/>
      <name val="Meiryo"/>
    </font>
    <font>
      <sz val="9.0"/>
      <color rgb="FF1A2E4A"/>
      <name val="Meiryo"/>
    </font>
    <font>
      <b/>
      <sz val="10.0"/>
      <color theme="1"/>
      <name val="Meiryo"/>
    </font>
    <font>
      <b/>
      <sz val="11.0"/>
      <color rgb="FFFF0000"/>
      <name val="Meiryo"/>
    </font>
    <font>
      <b/>
      <sz val="10.0"/>
      <color rgb="FFFF0000"/>
      <name val="Meiryo"/>
    </font>
    <font>
      <sz val="10.0"/>
      <color rgb="FF000000"/>
      <name val="Meiryo"/>
    </font>
    <font>
      <strike/>
      <sz val="10.0"/>
      <color rgb="FF333333"/>
      <name val="Meiryo"/>
    </font>
    <font>
      <sz val="11.0"/>
      <color rgb="FF000000"/>
      <name val="Meiryo"/>
    </font>
  </fonts>
  <fills count="16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33CCCC"/>
        <bgColor rgb="FF33CCCC"/>
      </patternFill>
    </fill>
    <fill>
      <patternFill patternType="solid">
        <fgColor rgb="FF243A5E"/>
        <bgColor rgb="FF243A5E"/>
      </patternFill>
    </fill>
    <fill>
      <patternFill patternType="solid">
        <fgColor rgb="FFFFFBF0"/>
        <bgColor rgb="FFFFFBF0"/>
      </patternFill>
    </fill>
    <fill>
      <patternFill patternType="solid">
        <fgColor rgb="FFD6F0F1"/>
        <bgColor rgb="FFD6F0F1"/>
      </patternFill>
    </fill>
    <fill>
      <patternFill patternType="solid">
        <fgColor rgb="FF808080"/>
        <bgColor rgb="FF808080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</fills>
  <borders count="34">
    <border/>
    <border>
      <left/>
      <top/>
      <bottom/>
    </border>
    <border>
      <top/>
      <bottom/>
    </border>
    <border>
      <right/>
      <top/>
      <bottom/>
    </border>
    <border>
      <left style="medium">
        <color rgb="FF0D7377"/>
      </left>
      <right style="medium">
        <color rgb="FF0D7377"/>
      </right>
      <top style="medium">
        <color rgb="FF0D7377"/>
      </top>
      <bottom style="medium">
        <color rgb="FF0D7377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FFFFFF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0" fillId="0" fontId="5" numFmtId="0" xfId="0" applyFont="1"/>
    <xf borderId="5" fillId="5" fontId="4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left" shrinkToFit="0" vertical="center" wrapText="1"/>
    </xf>
    <xf borderId="5" fillId="7" fontId="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vertical="center"/>
    </xf>
    <xf borderId="5" fillId="8" fontId="4" numFmtId="0" xfId="0" applyAlignment="1" applyBorder="1" applyFill="1" applyFont="1">
      <alignment horizontal="left" shrinkToFit="0" vertical="center" wrapText="1"/>
    </xf>
    <xf borderId="6" fillId="9" fontId="7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9" fontId="8" numFmtId="0" xfId="0" applyAlignment="1" applyBorder="1" applyFill="1" applyFont="1">
      <alignment horizontal="center" vertical="center"/>
    </xf>
    <xf borderId="9" fillId="0" fontId="2" numFmtId="0" xfId="0" applyBorder="1" applyFont="1"/>
    <xf borderId="1" fillId="3" fontId="8" numFmtId="0" xfId="0" applyAlignment="1" applyBorder="1" applyFill="1" applyFont="1">
      <alignment horizontal="left" shrinkToFit="0" vertical="center" wrapText="1"/>
    </xf>
    <xf borderId="10" fillId="9" fontId="8" numFmtId="0" xfId="0" applyAlignment="1" applyBorder="1" applyFill="1" applyFont="1">
      <alignment horizontal="center" vertical="center"/>
    </xf>
    <xf borderId="11" fillId="0" fontId="2" numFmtId="0" xfId="0" applyBorder="1" applyFont="1"/>
    <xf borderId="0" fillId="0" fontId="9" numFmtId="0" xfId="0" applyFont="1"/>
    <xf borderId="0" fillId="0" fontId="6" numFmtId="0" xfId="0" applyFont="1"/>
    <xf borderId="12" fillId="0" fontId="2" numFmtId="0" xfId="0" applyBorder="1" applyFont="1"/>
    <xf borderId="13" fillId="0" fontId="2" numFmtId="0" xfId="0" applyBorder="1" applyFont="1"/>
    <xf borderId="1" fillId="10" fontId="8" numFmtId="0" xfId="0" applyAlignment="1" applyBorder="1" applyFill="1" applyFont="1">
      <alignment horizontal="left" shrinkToFit="0" vertical="center" wrapText="1"/>
    </xf>
    <xf borderId="1" fillId="11" fontId="10" numFmtId="0" xfId="0" applyAlignment="1" applyBorder="1" applyFill="1" applyFont="1">
      <alignment horizontal="left" vertical="center"/>
    </xf>
    <xf borderId="14" fillId="3" fontId="11" numFmtId="0" xfId="0" applyAlignment="1" applyBorder="1" applyFill="1" applyFon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15" fillId="0" fontId="2" numFmtId="0" xfId="0" applyBorder="1" applyFont="1"/>
    <xf borderId="6" fillId="4" fontId="13" numFmtId="0" xfId="0" applyAlignment="1" applyBorder="1" applyFill="1" applyFont="1">
      <alignment horizontal="left" shrinkToFit="0" vertical="top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9" fontId="8" numFmtId="0" xfId="0" applyAlignment="1" applyBorder="1" applyFill="1" applyFont="1">
      <alignment horizontal="center" vertical="center"/>
    </xf>
    <xf borderId="1" fillId="12" fontId="14" numFmtId="0" xfId="0" applyAlignment="1" applyBorder="1" applyFill="1" applyFont="1">
      <alignment horizontal="left" vertical="center"/>
    </xf>
    <xf borderId="5" fillId="4" fontId="15" numFmtId="0" xfId="0" applyAlignment="1" applyBorder="1" applyFill="1" applyFont="1">
      <alignment horizontal="center" shrinkToFit="0" vertical="center" wrapText="1"/>
    </xf>
    <xf borderId="8" fillId="0" fontId="16" numFmtId="0" xfId="0" applyAlignment="1" applyBorder="1" applyFont="1">
      <alignment horizontal="center" vertical="center"/>
    </xf>
    <xf borderId="5" fillId="4" fontId="15" numFmtId="0" xfId="0" applyAlignment="1" applyBorder="1" applyFill="1" applyFont="1">
      <alignment horizontal="left" shrinkToFit="0" vertical="center" wrapText="1"/>
    </xf>
    <xf borderId="11" fillId="0" fontId="16" numFmtId="0" xfId="0" applyAlignment="1" applyBorder="1" applyFont="1">
      <alignment horizontal="center" vertical="center"/>
    </xf>
    <xf borderId="5" fillId="6" fontId="15" numFmtId="0" xfId="0" applyAlignment="1" applyBorder="1" applyFill="1" applyFont="1">
      <alignment horizontal="center" shrinkToFit="0" vertical="center" wrapText="1"/>
    </xf>
    <xf borderId="14" fillId="6" fontId="17" numFmtId="0" xfId="0" applyAlignment="1" applyBorder="1" applyFill="1" applyFont="1">
      <alignment horizontal="left" shrinkToFit="0" vertical="center" wrapText="1"/>
    </xf>
    <xf borderId="8" fillId="4" fontId="16" numFmtId="0" xfId="0" applyAlignment="1" applyBorder="1" applyFill="1" applyFont="1">
      <alignment horizontal="center" vertical="center"/>
    </xf>
    <xf borderId="8" fillId="4" fontId="16" numFmtId="0" xfId="0" applyAlignment="1" applyBorder="1" applyFill="1" applyFont="1">
      <alignment horizontal="center" shrinkToFit="0" vertical="center" wrapText="1"/>
    </xf>
    <xf borderId="0" fillId="0" fontId="18" numFmtId="0" xfId="0" applyFont="1"/>
    <xf borderId="0" fillId="0" fontId="6" numFmtId="0" xfId="0" applyAlignment="1" applyFont="1">
      <alignment horizontal="center"/>
    </xf>
    <xf borderId="5" fillId="5" fontId="15" numFmtId="0" xfId="0" applyAlignment="1" applyBorder="1" applyFill="1" applyFont="1">
      <alignment horizontal="center" shrinkToFit="0" vertical="center" wrapText="1"/>
    </xf>
    <xf borderId="5" fillId="5" fontId="1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right" shrinkToFit="0" wrapText="1"/>
    </xf>
    <xf borderId="5" fillId="8" fontId="15" numFmtId="0" xfId="0" applyAlignment="1" applyBorder="1" applyFill="1" applyFont="1">
      <alignment horizontal="center" shrinkToFit="0" vertical="center" wrapText="1"/>
    </xf>
    <xf borderId="5" fillId="8" fontId="15" numFmtId="0" xfId="0" applyAlignment="1" applyBorder="1" applyFill="1" applyFont="1">
      <alignment horizontal="left" shrinkToFit="0" vertical="center" wrapText="1"/>
    </xf>
    <xf borderId="0" fillId="0" fontId="19" numFmtId="0" xfId="0" applyAlignment="1" applyFont="1">
      <alignment vertical="center"/>
    </xf>
    <xf borderId="0" fillId="0" fontId="20" numFmtId="0" xfId="0" applyFont="1"/>
    <xf borderId="0" fillId="0" fontId="16" numFmtId="0" xfId="0" applyFont="1"/>
    <xf borderId="23" fillId="9" fontId="8" numFmtId="0" xfId="0" applyAlignment="1" applyBorder="1" applyFill="1" applyFont="1">
      <alignment horizontal="center" vertical="center"/>
    </xf>
    <xf borderId="24" fillId="0" fontId="2" numFmtId="0" xfId="0" applyBorder="1" applyFont="1"/>
    <xf borderId="0" fillId="0" fontId="16" numFmtId="0" xfId="0" applyAlignment="1" applyFont="1">
      <alignment horizontal="left"/>
    </xf>
    <xf borderId="0" fillId="0" fontId="16" numFmtId="0" xfId="0" applyAlignment="1" applyFont="1">
      <alignment horizontal="left" shrinkToFit="0" wrapText="1"/>
    </xf>
    <xf borderId="0" fillId="0" fontId="16" numFmtId="0" xfId="0" applyAlignment="1" applyFont="1">
      <alignment horizontal="right"/>
    </xf>
    <xf borderId="14" fillId="6" fontId="21" numFmtId="0" xfId="0" applyAlignment="1" applyBorder="1" applyFill="1" applyFont="1">
      <alignment horizontal="left" shrinkToFit="0" vertical="center" wrapText="1"/>
    </xf>
    <xf borderId="25" fillId="13" fontId="8" numFmtId="0" xfId="0" applyAlignment="1" applyBorder="1" applyFill="1" applyFont="1">
      <alignment horizontal="center" vertical="center"/>
    </xf>
    <xf borderId="26" fillId="9" fontId="8" numFmtId="0" xfId="0" applyAlignment="1" applyBorder="1" applyFill="1" applyFont="1">
      <alignment horizontal="center" vertical="center"/>
    </xf>
    <xf borderId="27" fillId="9" fontId="8" numFmtId="0" xfId="0" applyAlignment="1" applyBorder="1" applyFill="1" applyFont="1">
      <alignment horizontal="center" vertical="center"/>
    </xf>
    <xf borderId="28" fillId="9" fontId="8" numFmtId="0" xfId="0" applyAlignment="1" applyBorder="1" applyFill="1" applyFont="1">
      <alignment horizontal="center" vertical="center"/>
    </xf>
    <xf borderId="29" fillId="13" fontId="8" numFmtId="0" xfId="0" applyAlignment="1" applyBorder="1" applyFill="1" applyFont="1">
      <alignment horizontal="center" vertical="center"/>
    </xf>
    <xf borderId="25" fillId="13" fontId="8" numFmtId="0" xfId="0" applyAlignment="1" applyBorder="1" applyFill="1" applyFont="1">
      <alignment horizontal="center" shrinkToFit="0" vertical="center" wrapText="1"/>
    </xf>
    <xf borderId="27" fillId="0" fontId="22" numFmtId="0" xfId="0" applyAlignment="1" applyBorder="1" applyFont="1">
      <alignment vertical="center"/>
    </xf>
    <xf borderId="26" fillId="14" fontId="22" numFmtId="0" xfId="0" applyAlignment="1" applyBorder="1" applyFill="1" applyFont="1">
      <alignment horizontal="left" shrinkToFit="0" vertical="center" wrapText="1"/>
    </xf>
    <xf borderId="27" fillId="14" fontId="22" numFmtId="0" xfId="0" applyAlignment="1" applyBorder="1" applyFill="1" applyFont="1">
      <alignment horizontal="left" shrinkToFit="0" vertical="center" wrapText="1"/>
    </xf>
    <xf borderId="27" fillId="14" fontId="22" numFmtId="0" xfId="0" applyAlignment="1" applyBorder="1" applyFill="1" applyFont="1">
      <alignment horizontal="center" vertical="center"/>
    </xf>
    <xf borderId="28" fillId="14" fontId="22" numFmtId="49" xfId="0" applyAlignment="1" applyBorder="1" applyFill="1" applyFont="1" applyNumberFormat="1">
      <alignment horizontal="left" vertical="center"/>
    </xf>
    <xf borderId="27" fillId="0" fontId="22" numFmtId="164" xfId="0" applyAlignment="1" applyBorder="1" applyFont="1" applyNumberFormat="1">
      <alignment horizontal="center" vertical="center"/>
    </xf>
    <xf borderId="27" fillId="0" fontId="22" numFmtId="164" xfId="0" applyAlignment="1" applyBorder="1" applyFont="1" applyNumberFormat="1">
      <alignment horizontal="left" shrinkToFit="0" vertical="center" wrapText="1"/>
    </xf>
    <xf borderId="26" fillId="14" fontId="22" numFmtId="0" xfId="0" applyAlignment="1" applyBorder="1" applyFill="1" applyFont="1">
      <alignment vertical="center"/>
    </xf>
    <xf borderId="14" fillId="4" fontId="23" numFmtId="0" xfId="0" applyAlignment="1" applyBorder="1" applyFill="1" applyFont="1">
      <alignment horizontal="left" shrinkToFit="0" vertical="center" wrapText="1"/>
    </xf>
    <xf borderId="5" fillId="4" fontId="24" numFmtId="0" xfId="0" applyAlignment="1" applyBorder="1" applyFill="1" applyFont="1">
      <alignment horizontal="left" shrinkToFit="0" vertical="center" wrapText="1"/>
    </xf>
    <xf borderId="27" fillId="14" fontId="22" numFmtId="0" xfId="0" applyAlignment="1" applyBorder="1" applyFill="1" applyFont="1">
      <alignment horizontal="left" vertical="center"/>
    </xf>
    <xf borderId="14" fillId="6" fontId="23" numFmtId="0" xfId="0" applyAlignment="1" applyBorder="1" applyFill="1" applyFont="1">
      <alignment horizontal="left" shrinkToFit="0" vertical="center" wrapText="1"/>
    </xf>
    <xf borderId="0" fillId="0" fontId="25" numFmtId="0" xfId="0" applyFont="1"/>
    <xf borderId="5" fillId="4" fontId="26" numFmtId="0" xfId="0" applyAlignment="1" applyBorder="1" applyFill="1" applyFont="1">
      <alignment horizontal="left" shrinkToFit="0" vertical="center" wrapText="1"/>
    </xf>
    <xf borderId="26" fillId="14" fontId="22" numFmtId="0" xfId="0" applyAlignment="1" applyBorder="1" applyFill="1" applyFont="1">
      <alignment shrinkToFit="0" vertical="center" wrapText="1"/>
    </xf>
    <xf borderId="5" fillId="6" fontId="15" numFmtId="0" xfId="0" applyAlignment="1" applyBorder="1" applyFill="1" applyFont="1">
      <alignment horizontal="left" shrinkToFit="0" vertical="center" wrapText="1"/>
    </xf>
    <xf quotePrefix="1" borderId="27" fillId="14" fontId="22" numFmtId="0" xfId="0" applyAlignment="1" applyBorder="1" applyFill="1" applyFont="1">
      <alignment horizontal="left"/>
    </xf>
    <xf borderId="27" fillId="14" fontId="22" numFmtId="0" xfId="0" applyAlignment="1" applyBorder="1" applyFill="1" applyFont="1">
      <alignment horizontal="center"/>
    </xf>
    <xf borderId="28" fillId="14" fontId="22" numFmtId="49" xfId="0" applyAlignment="1" applyBorder="1" applyFill="1" applyFont="1" applyNumberFormat="1">
      <alignment horizontal="left"/>
    </xf>
    <xf borderId="30" fillId="4" fontId="27" numFmtId="0" xfId="0" applyAlignment="1" applyBorder="1" applyFill="1" applyFont="1">
      <alignment horizontal="left" shrinkToFit="0" vertical="center" wrapText="1"/>
    </xf>
    <xf borderId="26" fillId="14" fontId="26" numFmtId="0" xfId="0" applyBorder="1" applyFill="1" applyFont="1"/>
    <xf borderId="5" fillId="6" fontId="15" numFmtId="0" xfId="0" applyAlignment="1" applyBorder="1" applyFill="1" applyFont="1">
      <alignment horizontal="left" readingOrder="0" shrinkToFit="0" vertical="center" wrapText="1"/>
    </xf>
    <xf borderId="26" fillId="14" fontId="15" numFmtId="0" xfId="0" applyAlignment="1" applyBorder="1" applyFill="1" applyFont="1">
      <alignment shrinkToFit="0" wrapText="1"/>
    </xf>
    <xf borderId="27" fillId="14" fontId="22" numFmtId="0" xfId="0" applyAlignment="1" applyBorder="1" applyFill="1" applyFont="1">
      <alignment horizontal="left"/>
    </xf>
    <xf borderId="28" fillId="14" fontId="22" numFmtId="49" xfId="0" applyAlignment="1" applyBorder="1" applyFill="1" applyFont="1" applyNumberFormat="1">
      <alignment horizontal="left" shrinkToFit="0" wrapText="1"/>
    </xf>
    <xf borderId="26" fillId="14" fontId="22" numFmtId="0" xfId="0" applyAlignment="1" applyBorder="1" applyFill="1" applyFont="1">
      <alignment horizontal="left" vertical="center"/>
    </xf>
    <xf borderId="26" fillId="14" fontId="26" numFmtId="0" xfId="0" applyAlignment="1" applyBorder="1" applyFill="1" applyFont="1">
      <alignment vertical="center"/>
    </xf>
    <xf borderId="0" fillId="0" fontId="25" numFmtId="0" xfId="0" applyAlignment="1" applyFont="1">
      <alignment shrinkToFit="0" wrapText="1"/>
    </xf>
    <xf borderId="26" fillId="14" fontId="15" numFmtId="0" xfId="0" applyAlignment="1" applyBorder="1" applyFill="1" applyFont="1">
      <alignment shrinkToFit="0" vertical="center" wrapText="1"/>
    </xf>
    <xf quotePrefix="1" borderId="27" fillId="14" fontId="22" numFmtId="0" xfId="0" applyAlignment="1" applyBorder="1" applyFill="1" applyFont="1">
      <alignment horizontal="left" shrinkToFit="0" vertical="center" wrapText="1"/>
    </xf>
    <xf borderId="26" fillId="14" fontId="22" numFmtId="0" xfId="0" applyAlignment="1" applyBorder="1" applyFill="1" applyFont="1">
      <alignment horizontal="center" shrinkToFit="0" vertical="center" wrapText="1"/>
    </xf>
    <xf borderId="27" fillId="14" fontId="22" numFmtId="0" xfId="0" applyAlignment="1" applyBorder="1" applyFill="1" applyFont="1">
      <alignment shrinkToFit="0" vertical="center" wrapText="1"/>
    </xf>
    <xf borderId="27" fillId="14" fontId="28" numFmtId="0" xfId="0" applyAlignment="1" applyBorder="1" applyFill="1" applyFont="1">
      <alignment horizontal="left" vertical="center"/>
    </xf>
    <xf borderId="26" fillId="14" fontId="26" numFmtId="0" xfId="0" applyAlignment="1" applyBorder="1" applyFill="1" applyFont="1">
      <alignment shrinkToFit="0" vertical="center" wrapText="1"/>
    </xf>
    <xf borderId="31" fillId="0" fontId="22" numFmtId="0" xfId="0" applyAlignment="1" applyBorder="1" applyFont="1">
      <alignment vertical="center"/>
    </xf>
    <xf borderId="27" fillId="14" fontId="22" numFmtId="49" xfId="0" applyAlignment="1" applyBorder="1" applyFill="1" applyFont="1" applyNumberFormat="1">
      <alignment horizontal="left" vertical="center"/>
    </xf>
    <xf borderId="31" fillId="0" fontId="22" numFmtId="164" xfId="0" applyAlignment="1" applyBorder="1" applyFont="1" applyNumberFormat="1">
      <alignment horizontal="center" vertical="center"/>
    </xf>
    <xf borderId="31" fillId="0" fontId="22" numFmtId="164" xfId="0" applyAlignment="1" applyBorder="1" applyFont="1" applyNumberFormat="1">
      <alignment horizontal="left" shrinkToFit="0" vertical="center" wrapText="1"/>
    </xf>
    <xf borderId="32" fillId="15" fontId="22" numFmtId="0" xfId="0" applyAlignment="1" applyBorder="1" applyFill="1" applyFont="1">
      <alignment vertical="center"/>
    </xf>
    <xf borderId="33" fillId="14" fontId="22" numFmtId="49" xfId="0" applyAlignment="1" applyBorder="1" applyFill="1" applyFont="1" applyNumberFormat="1">
      <alignment horizontal="left" vertical="center"/>
    </xf>
    <xf borderId="32" fillId="15" fontId="22" numFmtId="164" xfId="0" applyAlignment="1" applyBorder="1" applyFill="1" applyFont="1" applyNumberFormat="1">
      <alignment horizontal="center" vertical="center"/>
    </xf>
    <xf borderId="32" fillId="15" fontId="22" numFmtId="164" xfId="0" applyAlignment="1" applyBorder="1" applyFill="1" applyFont="1" applyNumberFormat="1">
      <alignment horizontal="left" shrinkToFit="0" vertical="center" wrapText="1"/>
    </xf>
    <xf borderId="31" fillId="0" fontId="22" numFmtId="0" xfId="0" applyAlignment="1" applyBorder="1" applyFont="1">
      <alignment vertical="center"/>
    </xf>
    <xf borderId="31" fillId="0" fontId="22" numFmtId="164" xfId="0" applyAlignment="1" applyBorder="1" applyFont="1" applyNumberFormat="1">
      <alignment horizontal="center" vertical="center"/>
    </xf>
    <xf borderId="31" fillId="0" fontId="22" numFmtId="164" xfId="0" applyAlignment="1" applyBorder="1" applyFont="1" applyNumberFormat="1">
      <alignment horizontal="left" shrinkToFit="0" vertical="center" wrapText="1"/>
    </xf>
    <xf borderId="27" fillId="0" fontId="22" numFmtId="0" xfId="0" applyAlignment="1" applyBorder="1" applyFont="1">
      <alignment vertical="center"/>
    </xf>
    <xf borderId="27" fillId="0" fontId="22" numFmtId="164" xfId="0" applyAlignment="1" applyBorder="1" applyFont="1" applyNumberFormat="1">
      <alignment horizontal="center" vertical="center"/>
    </xf>
    <xf borderId="27" fillId="0" fontId="22" numFmtId="164" xfId="0" applyAlignment="1" applyBorder="1" applyFont="1" applyNumberFormat="1">
      <alignment horizontal="left" shrinkToFit="0" vertical="center" wrapText="1"/>
    </xf>
    <xf borderId="27" fillId="14" fontId="26" numFmtId="0" xfId="0" applyAlignment="1" applyBorder="1" applyFill="1" applyFont="1">
      <alignment vertical="center"/>
    </xf>
    <xf borderId="0" fillId="0" fontId="29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マッピング(旧参照用)-style">
      <tableStyleElement dxfId="1" type="headerRow"/>
      <tableStyleElement dxfId="2" type="firstRowStripe"/>
      <tableStyleElement dxfId="3" type="secondRowStripe"/>
    </tableStyle>
    <tableStyle count="3" pivot="0" name="マッピング(旧参照用)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3086100</xdr:colOff>
      <xdr:row>10</xdr:row>
      <xdr:rowOff>419100</xdr:rowOff>
    </xdr:from>
    <xdr:ext cx="7258050" cy="876300"/>
    <xdr:sp>
      <xdr:nvSpPr>
        <xdr:cNvPr id="3" name="Shape 3"/>
        <xdr:cNvSpPr/>
      </xdr:nvSpPr>
      <xdr:spPr>
        <a:xfrm>
          <a:off x="1731263" y="3356138"/>
          <a:ext cx="7229475" cy="847725"/>
        </a:xfrm>
        <a:prstGeom prst="rect">
          <a:avLst/>
        </a:prstGeom>
        <a:solidFill>
          <a:schemeClr val="accent1"/>
        </a:solidFill>
        <a:ln cap="flat" cmpd="sng" w="25400">
          <a:solidFill>
            <a:srgbClr val="36609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(mst.txt)サンプルデータ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0000045104916,オハヨー　ジャージー牛乳ソフト　　　, ,,017368900,119,0.01,0,1,1,,909002,,0.150,0,0,部分変更,16,000000000000000,0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0000045116568,ロッテ　雪見だいふく　　　　　　　　, ,,016212902,92,0.01,0,1,1,,909002,,0.084,0,0,部分変更,25,000000000000000,0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0000045126420,ロッテキシリトール粒ニューライムミント, ,,015401010,120,0.01,0,1,1,,010111,,0.024,0,0,部分変更,320,000000000000000,0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0000045126437,ロッテキシリトール粒ニューフレッシュ, ,,015401010,120,0.01,0,1,1,,010111,,0.024,0,0,部分変更,320,000000000000000,0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&#35506;&#38988;&#36039;&#26009;\&#35506;&#38988;&#25104;&#26524;&#29289;&#31649;&#29702;\&#35199;&#21451;&#35506;&#38988;\&#22522;&#24185;&#32113;&#21512;\&#21442;&#32771;&#36039;&#26009;\Sinops%20I-F&#22793;&#25563;&#20181;&#27096;&#26360;\03_IF&#22793;&#25563;&#22522;&#26412;&#35373;&#35336;&#26360;%20sinops-W\sinops-W_IF&#12524;&#12452;&#12450;&#12454;&#12488;(&#21830;&#21697;&#12510;&#12473;&#12479;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更新履歴"/>
      <sheetName val="商品マスタ"/>
      <sheetName val="注意点"/>
      <sheetName val="マッピング"/>
      <sheetName val="ファイルフォーマット留意点"/>
      <sheetName val="補足資料（参考）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ref="B10:C26" displayName="Table_1" name="Table_1" id="1">
  <tableColumns count="2">
    <tableColumn name="No" id="1"/>
    <tableColumn name="W項目名" id="2"/>
  </tableColumns>
  <tableStyleInfo name="マッピング(旧参照用)-style" showColumnStripes="0" showFirstColumn="1" showLastColumn="1" showRowStripes="1"/>
</table>
</file>

<file path=xl/tables/table2.xml><?xml version="1.0" encoding="utf-8"?>
<table xmlns="http://schemas.openxmlformats.org/spreadsheetml/2006/main" ref="J10:N26" displayName="Table_2" name="Table_2" id="2">
  <tableColumns count="5">
    <tableColumn name="Key" id="1"/>
    <tableColumn name="必須" id="2"/>
    <tableColumn name="データ型" id="3"/>
    <tableColumn name="最大桁数" id="4"/>
    <tableColumn name="区分・範囲" id="5"/>
  </tableColumns>
  <tableStyleInfo name="マッピング(旧参照用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6.0"/>
    <col customWidth="1" min="3" max="3" width="13.57"/>
    <col customWidth="1" min="4" max="4" width="10.86"/>
    <col customWidth="1" min="5" max="5" width="20.14"/>
    <col customWidth="1" min="6" max="6" width="28.0"/>
    <col customWidth="1" min="7" max="7" width="18.0"/>
    <col customWidth="1" min="8" max="8" width="8.0"/>
    <col customWidth="1" min="9" max="9" width="62.71"/>
    <col customWidth="1" min="10" max="26" width="9.0"/>
  </cols>
  <sheetData>
    <row r="1" ht="30.0" customHeight="1">
      <c r="A1" s="18" t="s">
        <v>23</v>
      </c>
      <c r="B1" s="2"/>
      <c r="C1" s="2"/>
      <c r="D1" s="2"/>
      <c r="E1" s="2"/>
      <c r="F1" s="2"/>
      <c r="G1" s="2"/>
      <c r="H1" s="2"/>
      <c r="I1" s="3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0" customHeight="1">
      <c r="A2" s="25" t="s">
        <v>25</v>
      </c>
      <c r="B2" s="2"/>
      <c r="C2" s="2"/>
      <c r="D2" s="2"/>
      <c r="E2" s="2"/>
      <c r="F2" s="2"/>
      <c r="G2" s="2"/>
      <c r="H2" s="2"/>
      <c r="I2" s="3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8.0" customHeight="1">
      <c r="A3" s="26" t="s">
        <v>26</v>
      </c>
      <c r="B3" s="2"/>
      <c r="C3" s="2"/>
      <c r="D3" s="2"/>
      <c r="E3" s="2"/>
      <c r="F3" s="2"/>
      <c r="G3" s="2"/>
      <c r="H3" s="2"/>
      <c r="I3" s="3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7.75" customHeight="1">
      <c r="A4" s="27" t="s">
        <v>27</v>
      </c>
      <c r="B4" s="27" t="s">
        <v>28</v>
      </c>
      <c r="C4" s="27" t="s">
        <v>29</v>
      </c>
      <c r="D4" s="27" t="s">
        <v>30</v>
      </c>
      <c r="E4" s="27" t="s">
        <v>31</v>
      </c>
      <c r="F4" s="27" t="s">
        <v>32</v>
      </c>
      <c r="G4" s="27" t="s">
        <v>34</v>
      </c>
      <c r="H4" s="27" t="s">
        <v>2</v>
      </c>
      <c r="I4" s="27" t="s">
        <v>35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0" customHeight="1">
      <c r="A5" s="38" t="s">
        <v>37</v>
      </c>
      <c r="B5" s="2"/>
      <c r="C5" s="2"/>
      <c r="D5" s="2"/>
      <c r="E5" s="2"/>
      <c r="F5" s="2"/>
      <c r="G5" s="2"/>
      <c r="H5" s="2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49.5" customHeight="1">
      <c r="A6" s="39">
        <v>1.0</v>
      </c>
      <c r="B6" s="39" t="s">
        <v>39</v>
      </c>
      <c r="C6" s="41" t="s">
        <v>40</v>
      </c>
      <c r="D6" s="39" t="s">
        <v>41</v>
      </c>
      <c r="E6" s="39"/>
      <c r="F6" s="41" t="s">
        <v>42</v>
      </c>
      <c r="G6" s="39" t="s">
        <v>44</v>
      </c>
      <c r="H6" s="43" t="s">
        <v>45</v>
      </c>
      <c r="I6" s="44" t="s">
        <v>46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49.5" customHeight="1">
      <c r="A7" s="39">
        <v>2.0</v>
      </c>
      <c r="B7" s="39" t="s">
        <v>39</v>
      </c>
      <c r="C7" s="41" t="s">
        <v>48</v>
      </c>
      <c r="D7" s="39" t="s">
        <v>41</v>
      </c>
      <c r="E7" s="39"/>
      <c r="F7" s="41" t="s">
        <v>50</v>
      </c>
      <c r="G7" s="39" t="s">
        <v>51</v>
      </c>
      <c r="H7" s="49" t="s">
        <v>39</v>
      </c>
      <c r="I7" s="50" t="s">
        <v>52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49.5" customHeight="1">
      <c r="A8" s="39">
        <v>3.0</v>
      </c>
      <c r="B8" s="39" t="s">
        <v>53</v>
      </c>
      <c r="C8" s="41" t="s">
        <v>54</v>
      </c>
      <c r="D8" s="39" t="s">
        <v>41</v>
      </c>
      <c r="E8" s="39"/>
      <c r="F8" s="41" t="s">
        <v>55</v>
      </c>
      <c r="G8" s="39" t="s">
        <v>56</v>
      </c>
      <c r="H8" s="53" t="s">
        <v>56</v>
      </c>
      <c r="I8" s="54" t="s">
        <v>57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49.5" customHeight="1">
      <c r="A9" s="39">
        <v>4.0</v>
      </c>
      <c r="B9" s="39" t="s">
        <v>53</v>
      </c>
      <c r="C9" s="41" t="s">
        <v>58</v>
      </c>
      <c r="D9" s="39" t="s">
        <v>41</v>
      </c>
      <c r="E9" s="39"/>
      <c r="F9" s="41" t="s">
        <v>60</v>
      </c>
      <c r="G9" s="39" t="s">
        <v>61</v>
      </c>
      <c r="H9" s="43" t="s">
        <v>45</v>
      </c>
      <c r="I9" s="63" t="s">
        <v>62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8.0" customHeight="1">
      <c r="A10" s="38" t="s">
        <v>64</v>
      </c>
      <c r="B10" s="2"/>
      <c r="C10" s="2"/>
      <c r="D10" s="2"/>
      <c r="E10" s="2"/>
      <c r="F10" s="2"/>
      <c r="G10" s="2"/>
      <c r="H10" s="2"/>
      <c r="I10" s="3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49.5" customHeight="1">
      <c r="A11" s="39">
        <v>5.0</v>
      </c>
      <c r="B11" s="39" t="s">
        <v>39</v>
      </c>
      <c r="C11" s="41" t="s">
        <v>81</v>
      </c>
      <c r="D11" s="39" t="s">
        <v>41</v>
      </c>
      <c r="E11" s="78"/>
      <c r="F11" s="79" t="s">
        <v>82</v>
      </c>
      <c r="G11" s="39" t="s">
        <v>84</v>
      </c>
      <c r="H11" s="43" t="s">
        <v>45</v>
      </c>
      <c r="I11" s="81" t="s">
        <v>86</v>
      </c>
      <c r="J11" s="82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49.5" customHeight="1">
      <c r="A12" s="39">
        <v>6.0</v>
      </c>
      <c r="B12" s="39" t="s">
        <v>39</v>
      </c>
      <c r="C12" s="41" t="s">
        <v>88</v>
      </c>
      <c r="D12" s="39" t="s">
        <v>89</v>
      </c>
      <c r="E12" s="78" t="s">
        <v>90</v>
      </c>
      <c r="F12" s="79" t="s">
        <v>91</v>
      </c>
      <c r="G12" s="39" t="s">
        <v>51</v>
      </c>
      <c r="H12" s="49" t="s">
        <v>92</v>
      </c>
      <c r="I12" s="50" t="s">
        <v>93</v>
      </c>
      <c r="J12" s="82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49.5" customHeight="1">
      <c r="A13" s="39">
        <v>7.0</v>
      </c>
      <c r="B13" s="39" t="s">
        <v>53</v>
      </c>
      <c r="C13" s="41" t="s">
        <v>94</v>
      </c>
      <c r="D13" s="39" t="s">
        <v>89</v>
      </c>
      <c r="E13" s="78" t="s">
        <v>90</v>
      </c>
      <c r="F13" s="41" t="s">
        <v>55</v>
      </c>
      <c r="G13" s="39" t="s">
        <v>56</v>
      </c>
      <c r="H13" s="53" t="s">
        <v>56</v>
      </c>
      <c r="I13" s="54" t="s">
        <v>95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8.0" customHeight="1">
      <c r="A14" s="38" t="s">
        <v>97</v>
      </c>
      <c r="B14" s="2"/>
      <c r="C14" s="2"/>
      <c r="D14" s="2"/>
      <c r="E14" s="2"/>
      <c r="F14" s="2"/>
      <c r="G14" s="2"/>
      <c r="H14" s="2"/>
      <c r="I14" s="3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49.5" customHeight="1">
      <c r="A15" s="39">
        <v>8.0</v>
      </c>
      <c r="B15" s="39" t="s">
        <v>53</v>
      </c>
      <c r="C15" s="41" t="s">
        <v>98</v>
      </c>
      <c r="D15" s="39" t="s">
        <v>99</v>
      </c>
      <c r="E15" s="78">
        <v>0.0</v>
      </c>
      <c r="F15" s="41" t="s">
        <v>55</v>
      </c>
      <c r="G15" s="39" t="s">
        <v>56</v>
      </c>
      <c r="H15" s="53" t="s">
        <v>56</v>
      </c>
      <c r="I15" s="54" t="s">
        <v>100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49.5" customHeight="1">
      <c r="A16" s="39">
        <v>9.0</v>
      </c>
      <c r="B16" s="39" t="s">
        <v>53</v>
      </c>
      <c r="C16" s="41" t="s">
        <v>101</v>
      </c>
      <c r="D16" s="39" t="s">
        <v>102</v>
      </c>
      <c r="E16" s="78" t="s">
        <v>103</v>
      </c>
      <c r="F16" s="41" t="s">
        <v>55</v>
      </c>
      <c r="G16" s="39" t="s">
        <v>56</v>
      </c>
      <c r="H16" s="53" t="s">
        <v>56</v>
      </c>
      <c r="I16" s="54" t="s">
        <v>104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49.5" customHeight="1">
      <c r="A17" s="39">
        <v>10.0</v>
      </c>
      <c r="B17" s="39" t="s">
        <v>53</v>
      </c>
      <c r="C17" s="41" t="s">
        <v>106</v>
      </c>
      <c r="D17" s="39" t="s">
        <v>102</v>
      </c>
      <c r="E17" s="78" t="s">
        <v>103</v>
      </c>
      <c r="F17" s="41" t="s">
        <v>55</v>
      </c>
      <c r="G17" s="39" t="s">
        <v>56</v>
      </c>
      <c r="H17" s="53" t="s">
        <v>56</v>
      </c>
      <c r="I17" s="54" t="s">
        <v>104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49.5" customHeight="1">
      <c r="A18" s="39">
        <v>11.0</v>
      </c>
      <c r="B18" s="39" t="s">
        <v>39</v>
      </c>
      <c r="C18" s="41" t="s">
        <v>108</v>
      </c>
      <c r="D18" s="39" t="s">
        <v>102</v>
      </c>
      <c r="E18" s="78" t="s">
        <v>109</v>
      </c>
      <c r="F18" s="83" t="s">
        <v>110</v>
      </c>
      <c r="G18" s="39" t="s">
        <v>111</v>
      </c>
      <c r="H18" s="43" t="s">
        <v>45</v>
      </c>
      <c r="I18" s="85" t="s">
        <v>112</v>
      </c>
      <c r="J18" s="82" t="s">
        <v>113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8.0" customHeight="1">
      <c r="A19" s="38" t="s">
        <v>114</v>
      </c>
      <c r="B19" s="2"/>
      <c r="C19" s="2"/>
      <c r="D19" s="2"/>
      <c r="E19" s="2"/>
      <c r="F19" s="2"/>
      <c r="G19" s="2"/>
      <c r="H19" s="2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39">
        <v>12.0</v>
      </c>
      <c r="B20" s="39" t="s">
        <v>53</v>
      </c>
      <c r="C20" s="41" t="s">
        <v>116</v>
      </c>
      <c r="D20" s="39" t="s">
        <v>102</v>
      </c>
      <c r="E20" s="89" t="s">
        <v>118</v>
      </c>
      <c r="F20" s="41" t="s">
        <v>119</v>
      </c>
      <c r="G20" s="39" t="s">
        <v>120</v>
      </c>
      <c r="H20" s="43" t="s">
        <v>45</v>
      </c>
      <c r="I20" s="85" t="s">
        <v>121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49.5" customHeight="1">
      <c r="A21" s="39">
        <v>13.0</v>
      </c>
      <c r="B21" s="39" t="s">
        <v>53</v>
      </c>
      <c r="C21" s="41" t="s">
        <v>122</v>
      </c>
      <c r="D21" s="39" t="s">
        <v>102</v>
      </c>
      <c r="E21" s="78"/>
      <c r="F21" s="41" t="s">
        <v>55</v>
      </c>
      <c r="G21" s="39" t="s">
        <v>56</v>
      </c>
      <c r="H21" s="53" t="s">
        <v>56</v>
      </c>
      <c r="I21" s="54" t="s">
        <v>123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49.5" customHeight="1">
      <c r="A22" s="39">
        <v>14.0</v>
      </c>
      <c r="B22" s="39" t="s">
        <v>53</v>
      </c>
      <c r="C22" s="41" t="s">
        <v>124</v>
      </c>
      <c r="D22" s="39" t="s">
        <v>125</v>
      </c>
      <c r="E22" s="78" t="s">
        <v>126</v>
      </c>
      <c r="F22" s="41" t="s">
        <v>127</v>
      </c>
      <c r="G22" s="39" t="s">
        <v>51</v>
      </c>
      <c r="H22" s="43" t="s">
        <v>45</v>
      </c>
      <c r="I22" s="91" t="s">
        <v>128</v>
      </c>
      <c r="J22" s="82" t="s">
        <v>130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8.0" customHeight="1">
      <c r="A23" s="38" t="s">
        <v>133</v>
      </c>
      <c r="B23" s="2"/>
      <c r="C23" s="2"/>
      <c r="D23" s="2"/>
      <c r="E23" s="2"/>
      <c r="F23" s="2"/>
      <c r="G23" s="2"/>
      <c r="H23" s="2"/>
      <c r="I23" s="3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49.5" customHeight="1">
      <c r="A24" s="39">
        <v>15.0</v>
      </c>
      <c r="B24" s="39" t="s">
        <v>53</v>
      </c>
      <c r="C24" s="41" t="s">
        <v>134</v>
      </c>
      <c r="D24" s="39" t="s">
        <v>99</v>
      </c>
      <c r="E24" s="78" t="s">
        <v>136</v>
      </c>
      <c r="F24" s="41" t="s">
        <v>55</v>
      </c>
      <c r="G24" s="39" t="s">
        <v>56</v>
      </c>
      <c r="H24" s="53" t="s">
        <v>56</v>
      </c>
      <c r="I24" s="54" t="s">
        <v>100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87.75" customHeight="1">
      <c r="A25" s="39">
        <v>16.0</v>
      </c>
      <c r="B25" s="39" t="s">
        <v>39</v>
      </c>
      <c r="C25" s="41" t="s">
        <v>137</v>
      </c>
      <c r="D25" s="39" t="s">
        <v>138</v>
      </c>
      <c r="E25" s="78" t="s">
        <v>139</v>
      </c>
      <c r="F25" s="41" t="s">
        <v>55</v>
      </c>
      <c r="G25" s="39" t="s">
        <v>56</v>
      </c>
      <c r="H25" s="53" t="s">
        <v>56</v>
      </c>
      <c r="I25" s="54" t="s">
        <v>140</v>
      </c>
      <c r="J25" s="21" t="s">
        <v>141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49.5" customHeight="1">
      <c r="A26" s="39">
        <v>18.0</v>
      </c>
      <c r="B26" s="39" t="s">
        <v>53</v>
      </c>
      <c r="C26" s="41" t="s">
        <v>142</v>
      </c>
      <c r="D26" s="39" t="s">
        <v>102</v>
      </c>
      <c r="E26" s="78" t="s">
        <v>103</v>
      </c>
      <c r="F26" s="41" t="s">
        <v>143</v>
      </c>
      <c r="G26" s="39" t="s">
        <v>51</v>
      </c>
      <c r="H26" s="43" t="s">
        <v>45</v>
      </c>
      <c r="I26" s="85" t="s">
        <v>144</v>
      </c>
      <c r="J26" s="82" t="s">
        <v>145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8.0" customHeight="1">
      <c r="A27" s="38" t="s">
        <v>146</v>
      </c>
      <c r="B27" s="2"/>
      <c r="C27" s="2"/>
      <c r="D27" s="2"/>
      <c r="E27" s="2"/>
      <c r="F27" s="2"/>
      <c r="G27" s="2"/>
      <c r="H27" s="2"/>
      <c r="I27" s="3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49.5" customHeight="1">
      <c r="A28" s="39">
        <v>17.0</v>
      </c>
      <c r="B28" s="39" t="s">
        <v>53</v>
      </c>
      <c r="C28" s="41" t="s">
        <v>147</v>
      </c>
      <c r="D28" s="39" t="s">
        <v>148</v>
      </c>
      <c r="E28" s="78" t="s">
        <v>149</v>
      </c>
      <c r="F28" s="41" t="s">
        <v>150</v>
      </c>
      <c r="G28" s="39" t="s">
        <v>56</v>
      </c>
      <c r="H28" s="43" t="s">
        <v>45</v>
      </c>
      <c r="I28" s="85" t="s">
        <v>151</v>
      </c>
      <c r="J28" s="82" t="s">
        <v>152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49.5" customHeight="1">
      <c r="A29" s="39">
        <v>19.0</v>
      </c>
      <c r="B29" s="39" t="s">
        <v>53</v>
      </c>
      <c r="C29" s="41" t="s">
        <v>153</v>
      </c>
      <c r="D29" s="39" t="s">
        <v>154</v>
      </c>
      <c r="E29" s="78" t="s">
        <v>155</v>
      </c>
      <c r="F29" s="83" t="s">
        <v>156</v>
      </c>
      <c r="G29" s="39" t="s">
        <v>157</v>
      </c>
      <c r="H29" s="43" t="s">
        <v>158</v>
      </c>
      <c r="I29" s="85" t="s">
        <v>159</v>
      </c>
      <c r="J29" s="97" t="s">
        <v>160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49.5" customHeight="1">
      <c r="A30" s="39">
        <v>20.0</v>
      </c>
      <c r="B30" s="39" t="s">
        <v>53</v>
      </c>
      <c r="C30" s="41" t="s">
        <v>161</v>
      </c>
      <c r="D30" s="39" t="s">
        <v>41</v>
      </c>
      <c r="E30" s="78"/>
      <c r="F30" s="41" t="s">
        <v>55</v>
      </c>
      <c r="G30" s="39" t="s">
        <v>56</v>
      </c>
      <c r="H30" s="53" t="s">
        <v>56</v>
      </c>
      <c r="I30" s="54" t="s">
        <v>100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9">
    <mergeCell ref="A23:I23"/>
    <mergeCell ref="A27:I27"/>
    <mergeCell ref="A1:I1"/>
    <mergeCell ref="A2:I2"/>
    <mergeCell ref="A3:I3"/>
    <mergeCell ref="A5:I5"/>
    <mergeCell ref="A10:I10"/>
    <mergeCell ref="A14:I14"/>
    <mergeCell ref="A19:I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4.0"/>
    <col customWidth="1" min="3" max="3" width="10.0"/>
    <col customWidth="1" min="4" max="4" width="8.0"/>
    <col customWidth="1" min="5" max="5" width="56.0"/>
    <col customWidth="1" min="6" max="26" width="9.0"/>
  </cols>
  <sheetData>
    <row r="1" ht="27.7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4" t="s">
        <v>2</v>
      </c>
      <c r="C2" s="5" t="s">
        <v>3</v>
      </c>
      <c r="D2" s="5" t="s">
        <v>4</v>
      </c>
      <c r="E2" s="4" t="s">
        <v>5</v>
      </c>
    </row>
    <row r="3" ht="49.5" customHeight="1">
      <c r="A3" s="6" t="s">
        <v>6</v>
      </c>
      <c r="B3" s="8" t="s">
        <v>7</v>
      </c>
      <c r="C3" s="9" t="s">
        <v>8</v>
      </c>
      <c r="D3" s="9" t="s">
        <v>9</v>
      </c>
      <c r="E3" s="6" t="s">
        <v>10</v>
      </c>
    </row>
    <row r="4" ht="49.5" customHeight="1">
      <c r="A4" s="6" t="s">
        <v>6</v>
      </c>
      <c r="B4" s="10" t="s">
        <v>11</v>
      </c>
      <c r="C4" s="9" t="s">
        <v>12</v>
      </c>
      <c r="D4" s="9" t="s">
        <v>13</v>
      </c>
      <c r="E4" s="6" t="s">
        <v>14</v>
      </c>
    </row>
    <row r="5" ht="49.5" customHeight="1">
      <c r="A5" s="6" t="s">
        <v>6</v>
      </c>
      <c r="B5" s="11" t="s">
        <v>15</v>
      </c>
      <c r="C5" s="9" t="s">
        <v>8</v>
      </c>
      <c r="D5" s="9" t="s">
        <v>9</v>
      </c>
      <c r="E5" s="6" t="s">
        <v>16</v>
      </c>
    </row>
    <row r="6" ht="49.5" customHeight="1">
      <c r="A6" s="6" t="s">
        <v>6</v>
      </c>
      <c r="B6" s="13" t="s">
        <v>17</v>
      </c>
      <c r="C6" s="9" t="s">
        <v>19</v>
      </c>
      <c r="D6" s="9" t="s">
        <v>20</v>
      </c>
      <c r="E6" s="6" t="s">
        <v>21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5.29"/>
    <col customWidth="1" min="3" max="3" width="17.29"/>
    <col customWidth="1" min="4" max="4" width="23.43"/>
    <col customWidth="1" min="5" max="5" width="33.43"/>
    <col customWidth="1" min="6" max="6" width="9.0"/>
    <col customWidth="1" min="7" max="7" width="19.29"/>
    <col customWidth="1" min="8" max="8" width="8.71"/>
    <col customWidth="1" min="9" max="9" width="7.57"/>
    <col customWidth="1" min="10" max="11" width="6.71"/>
    <col customWidth="1" min="12" max="12" width="9.0"/>
    <col customWidth="1" min="13" max="13" width="9.71"/>
    <col customWidth="1" min="14" max="14" width="54.57"/>
    <col customWidth="1" min="15" max="15" width="41.71"/>
    <col customWidth="1" min="16" max="26" width="9.0"/>
  </cols>
  <sheetData>
    <row r="1" ht="9.0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0" customHeight="1">
      <c r="A2" s="12"/>
      <c r="B2" s="14" t="s">
        <v>18</v>
      </c>
      <c r="C2" s="15"/>
      <c r="D2" s="16" t="s">
        <v>22</v>
      </c>
      <c r="E2" s="17"/>
      <c r="F2" s="19" t="s">
        <v>24</v>
      </c>
      <c r="G2" s="20"/>
      <c r="H2" s="20"/>
      <c r="I2" s="20"/>
      <c r="J2" s="20"/>
      <c r="K2" s="20"/>
      <c r="L2" s="20"/>
      <c r="M2" s="20"/>
      <c r="N2" s="20"/>
      <c r="O2" s="17"/>
      <c r="P2" s="22"/>
      <c r="Q2" s="22"/>
      <c r="R2" s="22"/>
      <c r="S2" s="22"/>
      <c r="T2" s="12"/>
      <c r="U2" s="12"/>
      <c r="V2" s="12"/>
      <c r="W2" s="12"/>
      <c r="X2" s="12"/>
      <c r="Y2" s="12"/>
      <c r="Z2" s="12"/>
    </row>
    <row r="3" ht="18.0" customHeight="1">
      <c r="A3" s="12"/>
      <c r="B3" s="23"/>
      <c r="C3" s="24"/>
      <c r="D3" s="28" t="str">
        <f>[1]商品マスタ!D1</f>
        <v>#ERROR!</v>
      </c>
      <c r="E3" s="29"/>
      <c r="F3" s="30" t="str">
        <f>[1]商品マスタ!C4</f>
        <v>#ERROR!</v>
      </c>
      <c r="G3" s="31"/>
      <c r="H3" s="31"/>
      <c r="I3" s="31"/>
      <c r="J3" s="31"/>
      <c r="K3" s="31"/>
      <c r="L3" s="31"/>
      <c r="M3" s="31"/>
      <c r="N3" s="31"/>
      <c r="O3" s="32"/>
      <c r="P3" s="22"/>
      <c r="Q3" s="22"/>
      <c r="R3" s="22"/>
      <c r="S3" s="22"/>
      <c r="T3" s="12"/>
      <c r="U3" s="12"/>
      <c r="V3" s="12"/>
      <c r="W3" s="12"/>
      <c r="X3" s="12"/>
      <c r="Y3" s="12"/>
      <c r="Z3" s="12"/>
    </row>
    <row r="4" ht="18.0" customHeight="1">
      <c r="A4" s="22"/>
      <c r="B4" s="33"/>
      <c r="C4" s="34"/>
      <c r="D4" s="33"/>
      <c r="E4" s="35"/>
      <c r="F4" s="33"/>
      <c r="G4" s="36"/>
      <c r="H4" s="36"/>
      <c r="I4" s="36"/>
      <c r="J4" s="36"/>
      <c r="K4" s="36"/>
      <c r="L4" s="36"/>
      <c r="M4" s="36"/>
      <c r="N4" s="36"/>
      <c r="O4" s="35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7.25" customHeight="1">
      <c r="A5" s="22"/>
      <c r="B5" s="22"/>
      <c r="C5" s="22"/>
      <c r="D5" s="22"/>
      <c r="E5" s="22"/>
      <c r="F5" s="16" t="s">
        <v>33</v>
      </c>
      <c r="G5" s="17"/>
      <c r="H5" s="37"/>
      <c r="I5" s="37"/>
      <c r="J5" s="16" t="s">
        <v>36</v>
      </c>
      <c r="K5" s="17"/>
      <c r="L5" s="16"/>
      <c r="M5" s="17"/>
      <c r="N5" s="16" t="s">
        <v>38</v>
      </c>
      <c r="O5" s="17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8.0" customHeight="1">
      <c r="A6" s="22"/>
      <c r="B6" s="22"/>
      <c r="C6" s="22"/>
      <c r="D6" s="22"/>
      <c r="E6" s="22"/>
      <c r="F6" s="40" t="str">
        <f>[1]商品マスタ!D2</f>
        <v>#ERROR!</v>
      </c>
      <c r="G6" s="17"/>
      <c r="H6" s="42"/>
      <c r="I6" s="42"/>
      <c r="J6" s="40" t="s">
        <v>43</v>
      </c>
      <c r="K6" s="17"/>
      <c r="L6" s="45"/>
      <c r="M6" s="17"/>
      <c r="N6" s="46" t="s">
        <v>47</v>
      </c>
      <c r="O6" s="17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8.75" customHeight="1">
      <c r="A7" s="7"/>
      <c r="B7" s="47" t="s">
        <v>49</v>
      </c>
      <c r="C7" s="22"/>
      <c r="D7" s="22"/>
      <c r="E7" s="22"/>
      <c r="F7" s="48"/>
      <c r="G7" s="48"/>
      <c r="H7" s="48"/>
      <c r="I7" s="48"/>
      <c r="J7" s="48"/>
      <c r="K7" s="48"/>
      <c r="L7" s="51"/>
      <c r="M7" s="51"/>
      <c r="N7" s="52"/>
      <c r="O7" s="51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7"/>
      <c r="B8" s="55"/>
      <c r="C8" s="22"/>
      <c r="D8" s="22"/>
      <c r="E8" s="22"/>
      <c r="F8" s="22"/>
      <c r="G8" s="22"/>
      <c r="H8" s="22"/>
      <c r="I8" s="22"/>
      <c r="J8" s="22"/>
      <c r="K8" s="22"/>
      <c r="L8" s="51"/>
      <c r="M8" s="51"/>
      <c r="N8" s="52"/>
      <c r="O8" s="51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7"/>
      <c r="B9" s="56"/>
      <c r="C9" s="57"/>
      <c r="D9" s="58" t="s">
        <v>59</v>
      </c>
      <c r="E9" s="59"/>
      <c r="F9" s="60"/>
      <c r="G9" s="60"/>
      <c r="H9" s="60"/>
      <c r="I9" s="60"/>
      <c r="J9" s="60"/>
      <c r="K9" s="60"/>
      <c r="L9" s="60"/>
      <c r="M9" s="60"/>
      <c r="N9" s="61"/>
      <c r="O9" s="62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7"/>
      <c r="B10" s="64" t="s">
        <v>63</v>
      </c>
      <c r="C10" s="64" t="s">
        <v>65</v>
      </c>
      <c r="D10" s="65" t="s">
        <v>66</v>
      </c>
      <c r="E10" s="66" t="s">
        <v>67</v>
      </c>
      <c r="F10" s="66" t="s">
        <v>68</v>
      </c>
      <c r="G10" s="67" t="s">
        <v>69</v>
      </c>
      <c r="H10" s="66" t="s">
        <v>70</v>
      </c>
      <c r="I10" s="66" t="s">
        <v>71</v>
      </c>
      <c r="J10" s="68" t="s">
        <v>72</v>
      </c>
      <c r="K10" s="64" t="s">
        <v>28</v>
      </c>
      <c r="L10" s="64" t="s">
        <v>73</v>
      </c>
      <c r="M10" s="64" t="s">
        <v>74</v>
      </c>
      <c r="N10" s="69" t="s">
        <v>75</v>
      </c>
      <c r="O10" s="65" t="s">
        <v>76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7"/>
      <c r="B11" s="70">
        <v>1.0</v>
      </c>
      <c r="C11" s="70" t="str">
        <f>[1]商品マスタ!D7</f>
        <v>#ERROR!</v>
      </c>
      <c r="D11" s="71" t="s">
        <v>77</v>
      </c>
      <c r="E11" s="72" t="s">
        <v>78</v>
      </c>
      <c r="F11" s="73"/>
      <c r="G11" s="74"/>
      <c r="H11" s="74" t="s">
        <v>79</v>
      </c>
      <c r="I11" s="74" t="s">
        <v>80</v>
      </c>
      <c r="J11" s="75" t="str">
        <f>[1]商品マスタ!B7</f>
        <v>#ERROR!</v>
      </c>
      <c r="K11" s="75" t="str">
        <f>[1]商品マスタ!C7</f>
        <v>#ERROR!</v>
      </c>
      <c r="L11" s="75" t="str">
        <f>[1]商品マスタ!G7</f>
        <v>#ERROR!</v>
      </c>
      <c r="M11" s="75" t="str">
        <f>[1]商品マスタ!H7</f>
        <v>#ERROR!</v>
      </c>
      <c r="N11" s="76" t="str">
        <f>[1]商品マスタ!F7</f>
        <v>#ERROR!</v>
      </c>
      <c r="O11" s="7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7"/>
      <c r="B12" s="70">
        <v>2.0</v>
      </c>
      <c r="C12" s="70" t="str">
        <f>[1]商品マスタ!D8</f>
        <v>#ERROR!</v>
      </c>
      <c r="D12" s="71" t="s">
        <v>83</v>
      </c>
      <c r="E12" s="80" t="s">
        <v>85</v>
      </c>
      <c r="F12" s="73"/>
      <c r="G12" s="74"/>
      <c r="H12" s="74" t="s">
        <v>79</v>
      </c>
      <c r="I12" s="74" t="s">
        <v>87</v>
      </c>
      <c r="J12" s="75" t="str">
        <f>[1]商品マスタ!B8</f>
        <v>#ERROR!</v>
      </c>
      <c r="K12" s="75" t="str">
        <f>[1]商品マスタ!C8</f>
        <v>#ERROR!</v>
      </c>
      <c r="L12" s="75" t="str">
        <f>[1]商品マスタ!G8</f>
        <v>#ERROR!</v>
      </c>
      <c r="M12" s="75" t="str">
        <f>[1]商品マスタ!H8</f>
        <v>#ERROR!</v>
      </c>
      <c r="N12" s="76" t="str">
        <f>[1]商品マスタ!F8</f>
        <v>#ERROR!</v>
      </c>
      <c r="O12" s="7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7"/>
      <c r="B13" s="70">
        <v>3.0</v>
      </c>
      <c r="C13" s="70" t="str">
        <f>[1]商品マスタ!D9</f>
        <v>#ERROR!</v>
      </c>
      <c r="D13" s="71"/>
      <c r="E13" s="72"/>
      <c r="F13" s="73" t="s">
        <v>96</v>
      </c>
      <c r="G13" s="74"/>
      <c r="H13" s="74"/>
      <c r="I13" s="74"/>
      <c r="J13" s="75" t="str">
        <f>[1]商品マスタ!B9</f>
        <v>#ERROR!</v>
      </c>
      <c r="K13" s="75" t="str">
        <f>[1]商品マスタ!C9</f>
        <v>#ERROR!</v>
      </c>
      <c r="L13" s="75" t="str">
        <f>[1]商品マスタ!G9</f>
        <v>#ERROR!</v>
      </c>
      <c r="M13" s="75" t="str">
        <f>[1]商品マスタ!H9</f>
        <v>#ERROR!</v>
      </c>
      <c r="N13" s="76" t="str">
        <f>[1]商品マスタ!F9</f>
        <v>#ERROR!</v>
      </c>
      <c r="O13" s="7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7"/>
      <c r="B14" s="70">
        <v>4.0</v>
      </c>
      <c r="C14" s="70" t="str">
        <f>[1]商品マスタ!D10</f>
        <v>#ERROR!</v>
      </c>
      <c r="D14" s="71" t="s">
        <v>83</v>
      </c>
      <c r="E14" s="80" t="s">
        <v>105</v>
      </c>
      <c r="F14" s="73"/>
      <c r="G14" s="74"/>
      <c r="H14" s="74" t="s">
        <v>79</v>
      </c>
      <c r="I14" s="74" t="s">
        <v>107</v>
      </c>
      <c r="J14" s="75" t="str">
        <f>[1]商品マスタ!B10</f>
        <v>#ERROR!</v>
      </c>
      <c r="K14" s="75" t="str">
        <f>[1]商品マスタ!C10</f>
        <v>#ERROR!</v>
      </c>
      <c r="L14" s="75" t="str">
        <f>[1]商品マスタ!G10</f>
        <v>#ERROR!</v>
      </c>
      <c r="M14" s="75" t="str">
        <f>[1]商品マスタ!H10</f>
        <v>#ERROR!</v>
      </c>
      <c r="N14" s="76" t="str">
        <f>[1]商品マスタ!F10</f>
        <v>#ERROR!</v>
      </c>
      <c r="O14" s="84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7"/>
      <c r="B15" s="70">
        <v>5.0</v>
      </c>
      <c r="C15" s="70" t="str">
        <f>[1]商品マスタ!D11</f>
        <v>#ERROR!</v>
      </c>
      <c r="D15" s="71" t="s">
        <v>77</v>
      </c>
      <c r="E15" s="86" t="s">
        <v>115</v>
      </c>
      <c r="F15" s="87"/>
      <c r="G15" s="88"/>
      <c r="H15" s="74" t="s">
        <v>79</v>
      </c>
      <c r="I15" s="74" t="s">
        <v>117</v>
      </c>
      <c r="J15" s="75" t="str">
        <f>[1]商品マスタ!B11</f>
        <v>#ERROR!</v>
      </c>
      <c r="K15" s="75" t="str">
        <f>[1]商品マスタ!C11</f>
        <v>#ERROR!</v>
      </c>
      <c r="L15" s="75" t="str">
        <f>[1]商品マスタ!G11</f>
        <v>#ERROR!</v>
      </c>
      <c r="M15" s="75" t="str">
        <f>[1]商品マスタ!H11</f>
        <v>#ERROR!</v>
      </c>
      <c r="N15" s="76" t="str">
        <f>[1]商品マスタ!F11</f>
        <v>#ERROR!</v>
      </c>
      <c r="O15" s="9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7"/>
      <c r="B16" s="70">
        <v>6.0</v>
      </c>
      <c r="C16" s="70" t="str">
        <f>[1]商品マスタ!D12</f>
        <v>#ERROR!</v>
      </c>
      <c r="D16" s="71" t="s">
        <v>77</v>
      </c>
      <c r="E16" s="80" t="s">
        <v>129</v>
      </c>
      <c r="F16" s="87"/>
      <c r="G16" s="88"/>
      <c r="H16" s="74" t="s">
        <v>131</v>
      </c>
      <c r="I16" s="74" t="s">
        <v>132</v>
      </c>
      <c r="J16" s="75" t="str">
        <f>[1]商品マスタ!B12</f>
        <v>#ERROR!</v>
      </c>
      <c r="K16" s="75" t="str">
        <f>[1]商品マスタ!C12</f>
        <v>#ERROR!</v>
      </c>
      <c r="L16" s="75" t="str">
        <f>[1]商品マスタ!G12</f>
        <v>#ERROR!</v>
      </c>
      <c r="M16" s="75" t="str">
        <f>[1]商品マスタ!H12</f>
        <v>#ERROR!</v>
      </c>
      <c r="N16" s="76" t="str">
        <f>[1]商品マスタ!F12</f>
        <v>#ERROR!</v>
      </c>
      <c r="O16" s="92" t="s">
        <v>135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7"/>
      <c r="B17" s="70">
        <v>7.0</v>
      </c>
      <c r="C17" s="70" t="str">
        <f>[1]商品マスタ!D13</f>
        <v>#ERROR!</v>
      </c>
      <c r="D17" s="71"/>
      <c r="E17" s="93"/>
      <c r="F17" s="87">
        <v>0.01</v>
      </c>
      <c r="G17" s="88"/>
      <c r="H17" s="74"/>
      <c r="I17" s="94"/>
      <c r="J17" s="75" t="str">
        <f>[1]商品マスタ!B13</f>
        <v>#ERROR!</v>
      </c>
      <c r="K17" s="75" t="str">
        <f>[1]商品マスタ!C13</f>
        <v>#ERROR!</v>
      </c>
      <c r="L17" s="75" t="str">
        <f>[1]商品マスタ!G13</f>
        <v>#ERROR!</v>
      </c>
      <c r="M17" s="75" t="str">
        <f>[1]商品マスタ!H13</f>
        <v>#ERROR!</v>
      </c>
      <c r="N17" s="76" t="str">
        <f>[1]商品マスタ!F13</f>
        <v>#ERROR!</v>
      </c>
      <c r="O17" s="9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7"/>
      <c r="B18" s="70">
        <v>8.0</v>
      </c>
      <c r="C18" s="70" t="str">
        <f>[1]商品マスタ!D14</f>
        <v>#ERROR!</v>
      </c>
      <c r="D18" s="71"/>
      <c r="E18" s="93"/>
      <c r="F18" s="73">
        <v>0.0</v>
      </c>
      <c r="G18" s="88"/>
      <c r="H18" s="74"/>
      <c r="I18" s="88"/>
      <c r="J18" s="75" t="str">
        <f>[1]商品マスタ!B14</f>
        <v>#ERROR!</v>
      </c>
      <c r="K18" s="75" t="str">
        <f>[1]商品マスタ!C14</f>
        <v>#ERROR!</v>
      </c>
      <c r="L18" s="75" t="str">
        <f>[1]商品マスタ!G14</f>
        <v>#ERROR!</v>
      </c>
      <c r="M18" s="75" t="str">
        <f>[1]商品マスタ!H14</f>
        <v>#ERROR!</v>
      </c>
      <c r="N18" s="76" t="str">
        <f>[1]商品マスタ!F14</f>
        <v>#ERROR!</v>
      </c>
      <c r="O18" s="9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7"/>
      <c r="B19" s="70">
        <v>9.0</v>
      </c>
      <c r="C19" s="70" t="str">
        <f>[1]商品マスタ!D15</f>
        <v>#ERROR!</v>
      </c>
      <c r="D19" s="95"/>
      <c r="E19" s="80"/>
      <c r="F19" s="73">
        <v>1.0</v>
      </c>
      <c r="G19" s="74"/>
      <c r="H19" s="74"/>
      <c r="I19" s="74"/>
      <c r="J19" s="75" t="str">
        <f>[1]商品マスタ!B15</f>
        <v>#ERROR!</v>
      </c>
      <c r="K19" s="75" t="str">
        <f>[1]商品マスタ!C15</f>
        <v>#ERROR!</v>
      </c>
      <c r="L19" s="75" t="str">
        <f>[1]商品マスタ!G15</f>
        <v>#ERROR!</v>
      </c>
      <c r="M19" s="75" t="str">
        <f>[1]商品マスタ!H15</f>
        <v>#ERROR!</v>
      </c>
      <c r="N19" s="76" t="str">
        <f>[1]商品マスタ!F15</f>
        <v>#ERROR!</v>
      </c>
      <c r="O19" s="9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7"/>
      <c r="B20" s="70">
        <v>10.0</v>
      </c>
      <c r="C20" s="70" t="str">
        <f>[1]商品マスタ!D16</f>
        <v>#ERROR!</v>
      </c>
      <c r="D20" s="71"/>
      <c r="E20" s="72"/>
      <c r="F20" s="73">
        <v>1.0</v>
      </c>
      <c r="G20" s="84"/>
      <c r="H20" s="84"/>
      <c r="I20" s="84"/>
      <c r="J20" s="75" t="str">
        <f>[1]商品マスタ!B16</f>
        <v>#ERROR!</v>
      </c>
      <c r="K20" s="75" t="str">
        <f>[1]商品マスタ!C16</f>
        <v>#ERROR!</v>
      </c>
      <c r="L20" s="75" t="str">
        <f>[1]商品マスタ!G16</f>
        <v>#ERROR!</v>
      </c>
      <c r="M20" s="75" t="str">
        <f>[1]商品マスタ!H16</f>
        <v>#ERROR!</v>
      </c>
      <c r="N20" s="76" t="str">
        <f>[1]商品マスタ!F16</f>
        <v>#ERROR!</v>
      </c>
      <c r="O20" s="98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7"/>
      <c r="B21" s="70">
        <v>11.0</v>
      </c>
      <c r="C21" s="70" t="str">
        <f>[1]商品マスタ!D17</f>
        <v>#ERROR!</v>
      </c>
      <c r="D21" s="71" t="s">
        <v>162</v>
      </c>
      <c r="E21" s="80" t="s">
        <v>163</v>
      </c>
      <c r="F21" s="73"/>
      <c r="G21" s="84"/>
      <c r="H21" s="84" t="s">
        <v>131</v>
      </c>
      <c r="I21" s="71">
        <v>7.0</v>
      </c>
      <c r="J21" s="75" t="str">
        <f>[1]商品マスタ!B17</f>
        <v>#ERROR!</v>
      </c>
      <c r="K21" s="75" t="str">
        <f>[1]商品マスタ!C17</f>
        <v>#ERROR!</v>
      </c>
      <c r="L21" s="75" t="str">
        <f>[1]商品マスタ!G17</f>
        <v>#ERROR!</v>
      </c>
      <c r="M21" s="75" t="str">
        <f>[1]商品マスタ!H17</f>
        <v>#ERROR!</v>
      </c>
      <c r="N21" s="76" t="str">
        <f>[1]商品マスタ!F17</f>
        <v>#ERROR!</v>
      </c>
      <c r="O21" s="9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53.25" customHeight="1">
      <c r="A22" s="7"/>
      <c r="B22" s="70">
        <v>12.0</v>
      </c>
      <c r="C22" s="70" t="str">
        <f>[1]商品マスタ!D18</f>
        <v>#ERROR!</v>
      </c>
      <c r="D22" s="71" t="s">
        <v>83</v>
      </c>
      <c r="E22" s="99" t="s">
        <v>164</v>
      </c>
      <c r="F22" s="73"/>
      <c r="G22" s="74"/>
      <c r="H22" s="74" t="s">
        <v>79</v>
      </c>
      <c r="I22" s="94" t="s">
        <v>165</v>
      </c>
      <c r="J22" s="75" t="str">
        <f>[1]商品マスタ!B18</f>
        <v>#ERROR!</v>
      </c>
      <c r="K22" s="75" t="str">
        <f>[1]商品マスタ!C18</f>
        <v>#ERROR!</v>
      </c>
      <c r="L22" s="75" t="str">
        <f>[1]商品マスタ!G18</f>
        <v>#ERROR!</v>
      </c>
      <c r="M22" s="75" t="str">
        <f>[1]商品マスタ!H18</f>
        <v>#ERROR!</v>
      </c>
      <c r="N22" s="76" t="str">
        <f>[1]商品マスタ!F18</f>
        <v>#ERROR!</v>
      </c>
      <c r="O22" s="98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70">
        <v>13.0</v>
      </c>
      <c r="C23" s="70" t="str">
        <f>[1]商品マスタ!D19</f>
        <v>#ERROR!</v>
      </c>
      <c r="D23" s="71"/>
      <c r="E23" s="80"/>
      <c r="F23" s="100" t="s">
        <v>166</v>
      </c>
      <c r="G23" s="74"/>
      <c r="H23" s="74"/>
      <c r="I23" s="74"/>
      <c r="J23" s="75" t="str">
        <f>[1]商品マスタ!B19</f>
        <v>#ERROR!</v>
      </c>
      <c r="K23" s="75" t="str">
        <f>[1]商品マスタ!C19</f>
        <v>#ERROR!</v>
      </c>
      <c r="L23" s="75" t="str">
        <f>[1]商品マスタ!G19</f>
        <v>#ERROR!</v>
      </c>
      <c r="M23" s="75" t="str">
        <f>[1]商品マスタ!H19</f>
        <v>#ERROR!</v>
      </c>
      <c r="N23" s="76" t="str">
        <f>[1]商品マスタ!F19</f>
        <v>#ERROR!</v>
      </c>
      <c r="O23" s="9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70">
        <v>14.0</v>
      </c>
      <c r="C24" s="70" t="str">
        <f>[1]商品マスタ!D20</f>
        <v>#ERROR!</v>
      </c>
      <c r="D24" s="71" t="s">
        <v>83</v>
      </c>
      <c r="E24" s="80" t="s">
        <v>167</v>
      </c>
      <c r="F24" s="73"/>
      <c r="G24" s="74"/>
      <c r="H24" s="101" t="s">
        <v>131</v>
      </c>
      <c r="I24" s="74" t="s">
        <v>168</v>
      </c>
      <c r="J24" s="75" t="str">
        <f>[1]商品マスタ!B20</f>
        <v>#ERROR!</v>
      </c>
      <c r="K24" s="75" t="str">
        <f>[1]商品マスタ!C20</f>
        <v>#ERROR!</v>
      </c>
      <c r="L24" s="75" t="str">
        <f>[1]商品マスタ!G20</f>
        <v>#ERROR!</v>
      </c>
      <c r="M24" s="75" t="str">
        <f>[1]商品マスタ!H20</f>
        <v>#ERROR!</v>
      </c>
      <c r="N24" s="76" t="str">
        <f>[1]商品マスタ!F20</f>
        <v>#ERROR!</v>
      </c>
      <c r="O24" s="98" t="s">
        <v>169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70">
        <v>15.0</v>
      </c>
      <c r="C25" s="70" t="str">
        <f>[1]商品マスタ!D21</f>
        <v>#ERROR!</v>
      </c>
      <c r="D25" s="71"/>
      <c r="E25" s="102"/>
      <c r="F25" s="73">
        <v>0.0</v>
      </c>
      <c r="G25" s="74"/>
      <c r="H25" s="74"/>
      <c r="I25" s="74"/>
      <c r="J25" s="75" t="str">
        <f>[1]商品マスタ!B21</f>
        <v>#ERROR!</v>
      </c>
      <c r="K25" s="75" t="str">
        <f>[1]商品マスタ!C21</f>
        <v>#ERROR!</v>
      </c>
      <c r="L25" s="75" t="str">
        <f>[1]商品マスタ!G21</f>
        <v>#ERROR!</v>
      </c>
      <c r="M25" s="75" t="str">
        <f>[1]商品マスタ!H21</f>
        <v>#ERROR!</v>
      </c>
      <c r="N25" s="76" t="str">
        <f>[1]商品マスタ!F21</f>
        <v>#ERROR!</v>
      </c>
      <c r="O25" s="103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41.25" customHeight="1">
      <c r="A26" s="7"/>
      <c r="B26" s="104">
        <v>16.0</v>
      </c>
      <c r="C26" s="104" t="str">
        <f>[1]商品マスタ!D22</f>
        <v>#ERROR!</v>
      </c>
      <c r="D26" s="71"/>
      <c r="E26" s="80"/>
      <c r="F26" s="73">
        <v>0.0</v>
      </c>
      <c r="G26" s="74"/>
      <c r="H26" s="105"/>
      <c r="I26" s="105"/>
      <c r="J26" s="106" t="str">
        <f>[1]商品マスタ!B22</f>
        <v>#ERROR!</v>
      </c>
      <c r="K26" s="106" t="str">
        <f>[1]商品マスタ!C22</f>
        <v>#ERROR!</v>
      </c>
      <c r="L26" s="106" t="str">
        <f>[1]商品マスタ!G22</f>
        <v>#ERROR!</v>
      </c>
      <c r="M26" s="106" t="str">
        <f>[1]商品マスタ!H22</f>
        <v>#ERROR!</v>
      </c>
      <c r="N26" s="107" t="str">
        <f>[1]商品マスタ!F22</f>
        <v>#ERROR!</v>
      </c>
      <c r="O26" s="98" t="s">
        <v>170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108">
        <v>17.0</v>
      </c>
      <c r="C27" s="108" t="str">
        <f>[1]商品マスタ!D23</f>
        <v>#ERROR!</v>
      </c>
      <c r="D27" s="71"/>
      <c r="E27" s="80"/>
      <c r="F27" s="73"/>
      <c r="G27" s="74"/>
      <c r="H27" s="109"/>
      <c r="I27" s="109"/>
      <c r="J27" s="110" t="str">
        <f>[1]商品マスタ!B23</f>
        <v>#ERROR!</v>
      </c>
      <c r="K27" s="110" t="str">
        <f>[1]商品マスタ!C23</f>
        <v>#ERROR!</v>
      </c>
      <c r="L27" s="110" t="str">
        <f>[1]商品マスタ!G23</f>
        <v>#ERROR!</v>
      </c>
      <c r="M27" s="110" t="str">
        <f>[1]商品マスタ!H23</f>
        <v>#ERROR!</v>
      </c>
      <c r="N27" s="111" t="str">
        <f>[1]商品マスタ!F23</f>
        <v>#ERROR!</v>
      </c>
      <c r="O27" s="9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112">
        <v>18.0</v>
      </c>
      <c r="C28" s="112" t="str">
        <f>[1]商品マスタ!D24</f>
        <v>#ERROR!</v>
      </c>
      <c r="D28" s="71" t="s">
        <v>77</v>
      </c>
      <c r="E28" s="80" t="s">
        <v>171</v>
      </c>
      <c r="F28" s="73"/>
      <c r="G28" s="74"/>
      <c r="H28" s="74" t="s">
        <v>131</v>
      </c>
      <c r="I28" s="105" t="s">
        <v>172</v>
      </c>
      <c r="J28" s="113" t="str">
        <f>[1]商品マスタ!B24</f>
        <v>#ERROR!</v>
      </c>
      <c r="K28" s="113" t="str">
        <f>[1]商品マスタ!C24</f>
        <v>#ERROR!</v>
      </c>
      <c r="L28" s="113" t="str">
        <f>[1]商品マスタ!G24</f>
        <v>#ERROR!</v>
      </c>
      <c r="M28" s="113" t="str">
        <f>[1]商品マスタ!H24</f>
        <v>#ERROR!</v>
      </c>
      <c r="N28" s="114" t="str">
        <f>[1]商品マスタ!F24</f>
        <v>#ERROR!</v>
      </c>
      <c r="O28" s="9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108">
        <v>19.0</v>
      </c>
      <c r="C29" s="108" t="str">
        <f>[1]商品マスタ!D25</f>
        <v>#ERROR!</v>
      </c>
      <c r="D29" s="71"/>
      <c r="E29" s="80"/>
      <c r="F29" s="73"/>
      <c r="G29" s="74"/>
      <c r="H29" s="109"/>
      <c r="I29" s="109"/>
      <c r="J29" s="110" t="str">
        <f>[1]商品マスタ!B25</f>
        <v>#ERROR!</v>
      </c>
      <c r="K29" s="110" t="str">
        <f>[1]商品マスタ!C25</f>
        <v>#ERROR!</v>
      </c>
      <c r="L29" s="110" t="str">
        <f>[1]商品マスタ!G25</f>
        <v>#ERROR!</v>
      </c>
      <c r="M29" s="110" t="str">
        <f>[1]商品マスタ!H25</f>
        <v>#ERROR!</v>
      </c>
      <c r="N29" s="111" t="str">
        <f>[1]商品マスタ!F25</f>
        <v>#ERROR!</v>
      </c>
      <c r="O29" s="9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115">
        <v>20.0</v>
      </c>
      <c r="C30" s="115" t="str">
        <f>[1]商品マスタ!D26</f>
        <v>#ERROR!</v>
      </c>
      <c r="D30" s="72"/>
      <c r="E30" s="80"/>
      <c r="F30" s="73"/>
      <c r="G30" s="105"/>
      <c r="H30" s="105"/>
      <c r="I30" s="105"/>
      <c r="J30" s="116" t="str">
        <f>[1]商品マスタ!B26</f>
        <v>#ERROR!</v>
      </c>
      <c r="K30" s="116" t="str">
        <f>[1]商品マスタ!C26</f>
        <v>#ERROR!</v>
      </c>
      <c r="L30" s="116" t="str">
        <f>[1]商品マスタ!G26</f>
        <v>#ERROR!</v>
      </c>
      <c r="M30" s="116" t="str">
        <f>[1]商品マスタ!H26</f>
        <v>#ERROR!</v>
      </c>
      <c r="N30" s="117" t="str">
        <f>[1]商品マスタ!F26</f>
        <v>#ERROR!</v>
      </c>
      <c r="O30" s="11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"/>
      <c r="C32" s="119" t="s">
        <v>173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"/>
      <c r="C33" s="119" t="s">
        <v>174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"/>
      <c r="C34" s="119" t="s">
        <v>175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"/>
      <c r="C35" s="119" t="s">
        <v>176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7"/>
      <c r="B36" s="7"/>
      <c r="C36" s="119" t="s">
        <v>177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21" t="s">
        <v>178</v>
      </c>
      <c r="C38" s="21"/>
      <c r="D38" s="21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21" t="s">
        <v>179</v>
      </c>
      <c r="C39" s="21"/>
      <c r="D39" s="2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21" t="s">
        <v>180</v>
      </c>
      <c r="C40" s="21"/>
      <c r="D40" s="2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21" t="s">
        <v>181</v>
      </c>
      <c r="C41" s="21"/>
      <c r="D41" s="21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21" t="s">
        <v>182</v>
      </c>
      <c r="C42" s="21"/>
      <c r="D42" s="2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21"/>
      <c r="C43" s="21"/>
      <c r="D43" s="2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21" t="s">
        <v>183</v>
      </c>
      <c r="C44" s="21"/>
      <c r="D44" s="2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21" t="s">
        <v>184</v>
      </c>
      <c r="C45" s="21"/>
      <c r="D45" s="2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21" t="s">
        <v>185</v>
      </c>
      <c r="C46" s="21"/>
      <c r="D46" s="2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21"/>
      <c r="C47" s="21"/>
      <c r="D47" s="2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21"/>
      <c r="C48" s="21"/>
      <c r="D48" s="2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L5:M5"/>
    <mergeCell ref="N5:O5"/>
    <mergeCell ref="J5:K5"/>
    <mergeCell ref="J6:K6"/>
    <mergeCell ref="D9:E9"/>
    <mergeCell ref="L6:M6"/>
    <mergeCell ref="N6:O6"/>
    <mergeCell ref="B2:C4"/>
    <mergeCell ref="D2:E2"/>
    <mergeCell ref="F2:O2"/>
    <mergeCell ref="D3:E4"/>
    <mergeCell ref="F3:O4"/>
    <mergeCell ref="F5:G5"/>
    <mergeCell ref="F6:G6"/>
  </mergeCells>
  <printOptions/>
  <pageMargins bottom="0.748031496062992" footer="0.0" header="0.0" left="0.708661417322835" right="0.708661417322835" top="0.748031496062992"/>
  <pageSetup paperSize="9" orientation="landscape"/>
  <headerFooter>
    <oddFooter>&amp;C&amp;P ページ</oddFooter>
  </headerFooter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2026-06-11T06:31:00Z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BD33654AFF0741CB9C472C74B77B1CDC_12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