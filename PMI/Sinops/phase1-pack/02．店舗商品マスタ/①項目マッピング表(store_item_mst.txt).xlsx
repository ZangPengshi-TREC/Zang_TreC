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790"/>
  </bookViews>
  <sheets>
    <sheet name="店舗商品マスタ(store_item_mst.txt)" sheetId="2" r:id="rId1"/>
    <sheet name="マッピング(旧参照用)" sheetId="3" r:id="rId2"/>
  </sheets>
  <externalReferences>
    <externalReference r:id="rId3"/>
  </externalReferences>
  <definedNames>
    <definedName name="_DF400" hidden="1">{"サーバ別",#N/A,FALSE,"業務改造"}</definedName>
    <definedName name="a" hidden="1">{"サーバ別",#N/A,FALSE,"業務改造"}</definedName>
    <definedName name="a_" hidden="1">{"サーバ別",#N/A,FALSE,"業務改造"}</definedName>
    <definedName name="aa" hidden="1">{#N/A,#N/A,FALSE,"担当"}</definedName>
    <definedName name="aaa" hidden="1">{"Ｍ系全体",#N/A,FALSE,"業務改造";"サーバ別",#N/A,FALSE,"業務改造"}</definedName>
    <definedName name="aaaaa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aaaaa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aaaaaa" hidden="1">{#N/A,#N/A,FALSE,"担当"}</definedName>
    <definedName name="aaaaaaaa" hidden="1">{"Ｍ系全体",#N/A,FALSE,"業務改造";"サーバ別",#N/A,FALSE,"業務改造"}</definedName>
    <definedName name="ABC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fee" hidden="1">{#N/A,#N/A,FALSE,"担当"}</definedName>
    <definedName name="aher" hidden="1">{"Ｍ系全体",#N/A,FALSE,"業務改造";"サーバ別",#N/A,FALSE,"業務改造"}</definedName>
    <definedName name="avd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ｂｂ" hidden="1">{#N/A,#N/A,FALSE,"担当"}</definedName>
    <definedName name="bbbbb" hidden="1">{#N/A,#N/A,FALSE,"担当"}</definedName>
    <definedName name="bk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book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bt" hidden="1">{"Ｍ系全体",#N/A,FALSE,"業務改造";"サーバ別",#N/A,FALSE,"業務改造"}</definedName>
    <definedName name="bvrt" hidden="1">{"サーバ別",#N/A,FALSE,"業務改造"}</definedName>
    <definedName name="da" hidden="1">{"Ｍ系全体",#N/A,FALSE,"業務改造";"担当",#N/A,FALSE,"担当"}</definedName>
    <definedName name="djyg" hidden="1">{"サーバ別",#N/A,FALSE,"業務改造"}</definedName>
    <definedName name="dmhn" hidden="1">{"Ｍ系全体",#N/A,FALSE,"業務改造";"サーバ別",#N/A,FALSE,"業務改造"}</definedName>
    <definedName name="dmng" hidden="1">{"Ｍ系全体",#N/A,FALSE,"業務改造"}</definedName>
    <definedName name="dtmnf" hidden="1">{"Ｍ系全体",#N/A,FALSE,"業務改造";"担当",#N/A,FALSE,"担当"}</definedName>
    <definedName name="ear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at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eawt" hidden="1">{"サーバ別",#N/A,FALSE,"業務改造"}</definedName>
    <definedName name="ee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et" hidden="1">{"Ｍ系全体",#N/A,FALSE,"業務改造";"サーバ別",#N/A,FALSE,"業務改造"}</definedName>
    <definedName name="er" hidden="1">{#N/A,#N/A,FALSE,"担当"}</definedName>
    <definedName name="ere" hidden="1">{"サーバ別",#N/A,FALSE,"業務改造"}</definedName>
    <definedName name="ert" hidden="1">{"Ｍ系全体",#N/A,FALSE,"業務改造";"サーバ別",#N/A,FALSE,"業務改造"}</definedName>
    <definedName name="ertjy" hidden="1">{"Ｍ系全体",#N/A,FALSE,"業務改造"}</definedName>
    <definedName name="ertyj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te" hidden="1">{"Ｍ系全体",#N/A,FALSE,"業務改造"}</definedName>
    <definedName name="etrh" hidden="1">{"Ｍ系全体",#N/A,FALSE,"業務改造"}</definedName>
    <definedName name="eytryj" hidden="1">{#N/A,#N/A,FALSE,"担当"}</definedName>
    <definedName name="f" hidden="1">{#N/A,#N/A,FALSE,"担当"}</definedName>
    <definedName name="fa" hidden="1">{#N/A,#N/A,FALSE,"担当"}</definedName>
    <definedName name="faea" hidden="1">{"Ｍ系全体",#N/A,FALSE,"業務改造";"サーバ別",#N/A,FALSE,"業務改造"}</definedName>
    <definedName name="feer" hidden="1">{"Ｍ系全体",#N/A,FALSE,"業務改造";"サーバ別",#N/A,FALSE,"業務改造"}</definedName>
    <definedName name="ｆｆｆ" hidden="1">{"Ｍ系全体",#N/A,FALSE,"業務改造";"サーバ別",#N/A,FALSE,"業務改造"}</definedName>
    <definedName name="ffg" hidden="1">{"Ｍ系全体",#N/A,FALSE,"業務改造";"サーバ別",#N/A,FALSE,"業務改造"}</definedName>
    <definedName name="fgh" hidden="1">{"サーバ別",#N/A,FALSE,"業務改造"}</definedName>
    <definedName name="ft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fyku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aer" hidden="1">{"Ｍ系全体",#N/A,FALSE,"業務改造";"サーバ別",#N/A,FALSE,"業務改造"}</definedName>
    <definedName name="geds" hidden="1">{"Ｍ系全体",#N/A,FALSE,"業務改造"}</definedName>
    <definedName name="gee" hidden="1">{"サーバ別",#N/A,FALSE,"業務改造"}</definedName>
    <definedName name="geer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eerera" hidden="1">{"Ｍ系全体",#N/A,FALSE,"業務改造";"サーバ別",#N/A,FALSE,"業務改造"}</definedName>
    <definedName name="ger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er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gr" hidden="1">{"Ｍ系全体",#N/A,FALSE,"業務改造"}</definedName>
    <definedName name="ggre" hidden="1">{"サーバ別",#N/A,FALSE,"業務改造"}</definedName>
    <definedName name="ggres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greshr" hidden="1">{"Ｍ系全体",#N/A,FALSE,"業務改造";"担当",#N/A,FALSE,"担当"}</definedName>
    <definedName name="har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b" hidden="1">{"Ｍ系全体",#N/A,FALSE,"業務改造";"サーバ別",#N/A,FALSE,"業務改造"}</definedName>
    <definedName name="he" hidden="1">{"Ｍ系全体",#N/A,FALSE,"業務改造"}</definedName>
    <definedName name="hfdr" hidden="1">{#N/A,#N/A,FALSE,"担当"}</definedName>
    <definedName name="hg" hidden="1">{"Ｍ系全体",#N/A,FALSE,"業務改造";"サーバ別",#N/A,FALSE,"業務改造"}</definedName>
    <definedName name="hgf" hidden="1">{"サーバ別",#N/A,FALSE,"業務改造"}</definedName>
    <definedName name="hgk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hhhhh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hhhhhhhhh" hidden="1">{#N/A,#N/A,FALSE,"担当"}</definedName>
    <definedName name="hhrg" hidden="1">{"Ｍ系全体",#N/A,FALSE,"業務改造";"サーバ別",#N/A,FALSE,"業務改造"}</definedName>
    <definedName name="hjg" hidden="1">{"Ｍ系全体",#N/A,FALSE,"業務改造";"サーバ別",#N/A,FALSE,"業務改造"}</definedName>
    <definedName name="hsrd" hidden="1">{#N/A,#N/A,FALSE,"担当"}</definedName>
    <definedName name="hsrtb" hidden="1">{"サーバ別",#N/A,FALSE,"業務改造"}</definedName>
    <definedName name="htht" hidden="1">{#N/A,#N/A,FALSE,"担当"}</definedName>
    <definedName name="hthtr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htr" hidden="1">{"Ｍ系全体",#N/A,FALSE,"業務改造";"サーバ別",#N/A,FALSE,"業務改造"}</definedName>
    <definedName name="htrh" hidden="1">{"サーバ別",#N/A,FALSE,"業務改造"}</definedName>
    <definedName name="iku" hidden="1">{"Ｍ系全体",#N/A,FALSE,"業務改造";"サーバ別",#N/A,FALSE,"業務改造"}</definedName>
    <definedName name="iym" hidden="1">{"サーバ別",#N/A,FALSE,"業務改造"}</definedName>
    <definedName name="jdtr" hidden="1">{"Ｍ系全体",#N/A,FALSE,"業務改造";"担当",#N/A,FALSE,"担当"}</definedName>
    <definedName name="jdyyd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j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jjjjj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ktuy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mrfncgv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ndxfg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rfg" hidden="1">{"サーバ別",#N/A,FALSE,"業務改造"}</definedName>
    <definedName name="jrnfg" hidden="1">{"Ｍ系全体",#N/A,FALSE,"業務改造";"サーバ別",#N/A,FALSE,"業務改造"}</definedName>
    <definedName name="jryfcghv" hidden="1">{"サーバ別",#N/A,FALSE,"業務改造"}</definedName>
    <definedName name="jtjy" hidden="1">{"Ｍ系全体",#N/A,FALSE,"業務改造";"サーバ別",#N/A,FALSE,"業務改造"}</definedName>
    <definedName name="jtrdgf" hidden="1">{#N/A,#N/A,FALSE,"担当"}</definedName>
    <definedName name="jty" hidden="1">{#N/A,#N/A,FALSE,"担当"}</definedName>
    <definedName name="juj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yjt" hidden="1">{"サーバ別",#N/A,FALSE,"業務改造"}</definedName>
    <definedName name="jytj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jytjy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fun" hidden="1">{"サーバ別",#N/A,FALSE,"業務改造"}</definedName>
    <definedName name="kfymg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kk" hidden="1">{"サーバ別",#N/A,FALSE,"業務改造"}</definedName>
    <definedName name="kkk" hidden="1">{"Ｍ系全体",#N/A,FALSE,"業務改造"}</definedName>
    <definedName name="kkkkkkk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tghbn" hidden="1">{"Ｍ系全体",#N/A,FALSE,"業務改造";"サーバ別",#N/A,FALSE,"業務改造"}</definedName>
    <definedName name="ktujgh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u" hidden="1">{"Ｍ系全体",#N/A,FALSE,"業務改造";"サーバ別",#N/A,FALSE,"業務改造"}</definedName>
    <definedName name="kufhg" hidden="1">{"Ｍ系全体",#N/A,FALSE,"業務改造"}</definedName>
    <definedName name="kujgh" hidden="1">{#N/A,#N/A,FALSE,"担当"}</definedName>
    <definedName name="kuku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uy" hidden="1">{#N/A,#N/A,FALSE,"担当"}</definedName>
    <definedName name="kuyg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yfu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yugh" hidden="1">{"Ｍ系全体",#N/A,FALSE,"業務改造";"サーバ別",#N/A,FALSE,"業務改造"}</definedName>
    <definedName name="kyumhn" hidden="1">{"Ｍ系全体",#N/A,FALSE,"業務改造";"担当",#N/A,FALSE,"担当"}</definedName>
    <definedName name="kyut" hidden="1">{"Ｍ系全体",#N/A,FALSE,"業務改造";"担当",#N/A,FALSE,"担当"}</definedName>
    <definedName name="l" hidden="1">{"Ｍ系全体",#N/A,FALSE,"業務改造"}</definedName>
    <definedName name="la" hidden="1">{"Ｍ系全体",#N/A,FALSE,"業務改造";"サーバ別",#N/A,FALSE,"業務改造"}</definedName>
    <definedName name="lll" hidden="1">{"Ｍ系全体",#N/A,FALSE,"業務改造";"サーバ別",#N/A,FALSE,"業務改造"}</definedName>
    <definedName name="mfgv" hidden="1">{"Ｍ系全体",#N/A,FALSE,"業務改造"}</definedName>
    <definedName name="mfhn" hidden="1">{"Ｍ系全体",#N/A,FALSE,"業務改造";"サーバ別",#N/A,FALSE,"業務改造"}</definedName>
    <definedName name="mfng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mn" hidden="1">{"サーバ別",#N/A,FALSE,"業務改造"}</definedName>
    <definedName name="mngf" hidden="1">{"Ｍ系全体",#N/A,FALSE,"業務改造";"サーバ別",#N/A,FALSE,"業務改造"}</definedName>
    <definedName name="mngfb" hidden="1">{"Ｍ系全体",#N/A,FALSE,"業務改造";"サーバ別",#N/A,FALSE,"業務改造"}</definedName>
    <definedName name="mygf" hidden="1">{"Ｍ系全体",#N/A,FALSE,"業務改造";"サーバ別",#N/A,FALSE,"業務改造"}</definedName>
    <definedName name="n" hidden="1">{"サーバ別",#N/A,FALSE,"業務改造"}</definedName>
    <definedName name="ngf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OK" hidden="1">{"サーバ別",#N/A,FALSE,"業務改造"}</definedName>
    <definedName name="oo" hidden="1">{"サーバ別",#N/A,FALSE,"業務改造"}</definedName>
    <definedName name="pppp" hidden="1">{#N/A,#N/A,FALSE,"担当"}</definedName>
    <definedName name="q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ｑｑｑｑ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a" hidden="1">{"サーバ別",#N/A,FALSE,"業務改造"}</definedName>
    <definedName name="rea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ate" hidden="1">{"Ｍ系全体",#N/A,FALSE,"業務改造"}</definedName>
    <definedName name="reaw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etea" hidden="1">{"Ｍ系全体",#N/A,FALSE,"業務改造";"サーバ別",#N/A,FALSE,"業務改造"}</definedName>
    <definedName name="rejy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r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rete" hidden="1">{"Ｍ系全体",#N/A,FALSE,"業務改造";"サーバ別",#N/A,FALSE,"業務改造"}</definedName>
    <definedName name="rete" hidden="1">{"サーバ別",#N/A,FALSE,"業務改造"}</definedName>
    <definedName name="reth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rew" hidden="1">{"Ｍ系全体",#N/A,FALSE,"業務改造";"サーバ別",#N/A,FALSE,"業務改造"}</definedName>
    <definedName name="rgf" hidden="1">{"Ｍ系全体",#N/A,FALSE,"業務改造"}</definedName>
    <definedName name="rgrs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rkdyythg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ngf" hidden="1">{"サーバ別",#N/A,FALSE,"業務改造"}</definedName>
    <definedName name="r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tuyj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rtyuj" hidden="1">{"Ｍ系全体",#N/A,FALSE,"業務改造";"サーバ別",#N/A,FALSE,"業務改造"}</definedName>
    <definedName name="sas" hidden="1">{"サーバ別",#N/A,FALSE,"業務改造"}</definedName>
    <definedName name="ser" hidden="1">{"Ｍ系全体",#N/A,FALSE,"業務改造";"サーバ別",#N/A,FALSE,"業務改造"}</definedName>
    <definedName name="ｓｓｓｓ" hidden="1">{#N/A,#N/A,FALSE,"担当"}</definedName>
    <definedName name="teate" hidden="1">{"Ｍ系全体",#N/A,FALSE,"業務改造";"担当",#N/A,FALSE,"担当"}</definedName>
    <definedName name="tes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gt" hidden="1">{"サーバ別",#N/A,FALSE,"業務改造"}</definedName>
    <definedName name="tj" hidden="1">{#N/A,#N/A,FALSE,"担当"}</definedName>
    <definedName name="tnf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ryu" hidden="1">{"Ｍ系全体",#N/A,FALSE,"業務改造";"担当",#N/A,FALSE,"担当"}</definedName>
    <definedName name="tt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tttttttt" hidden="1">{#N/A,#N/A,FALSE,"担当"}</definedName>
    <definedName name="tyjkj" hidden="1">{"Ｍ系全体",#N/A,FALSE,"業務改造";"担当",#N/A,FALSE,"担当"}</definedName>
    <definedName name="uk" hidden="1">{"Ｍ系全体",#N/A,FALSE,"業務改造"}</definedName>
    <definedName name="u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uuku" hidden="1">{"サーバ別",#N/A,FALSE,"業務改造"}</definedName>
    <definedName name="uygh" hidden="1">{"サーバ別",#N/A,FALSE,"業務改造"}</definedName>
    <definedName name="ｗ" hidden="1">{"サーバ別",#N/A,FALSE,"業務改造"}</definedName>
    <definedName name="wa" hidden="1">{"Ｍ系全体",#N/A,FALSE,"業務改造";"サーバ別",#N/A,FALSE,"業務改造"}</definedName>
    <definedName name="wrn.confshet.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Ｍ系全体." hidden="1">{"Ｍ系全体",#N/A,FALSE,"業務改造"}</definedName>
    <definedName name="wrn.サーバ別." hidden="1">{"サーバ別",#N/A,FALSE,"業務改造"}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全体andサーバ別." hidden="1">{"Ｍ系全体",#N/A,FALSE,"業務改造";"サーバ別",#N/A,FALSE,"業務改造"}</definedName>
    <definedName name="wrn.全体and担当." hidden="1">{"Ｍ系全体",#N/A,FALSE,"業務改造";"担当",#N/A,FALSE,"担当"}</definedName>
    <definedName name="wrn.担当." hidden="1">{#N/A,#N/A,FALSE,"担当"}</definedName>
    <definedName name="ww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ww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x" hidden="1">{"Ｍ系全体",#N/A,FALSE,"業務改造";"サーバ別",#N/A,FALSE,"業務改造"}</definedName>
    <definedName name="yfku" hidden="1">{#N/A,#N/A,FALSE,"担当"}</definedName>
    <definedName name="yfumg" hidden="1">{"Ｍ系全体",#N/A,FALSE,"業務改造"}</definedName>
    <definedName name="yimgh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ynrh" hidden="1">{"Ｍ系全体",#N/A,FALSE,"業務改造";"サーバ別",#N/A,FALSE,"業務改造"}</definedName>
    <definedName name="yrh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yt" hidden="1">{#N/A,#N/A,FALSE,"担当"}</definedName>
    <definedName name="ytujk" hidden="1">{"サーバ別",#N/A,FALSE,"業務改造"}</definedName>
    <definedName name="yy" hidden="1">{"サーバ別",#N/A,FALSE,"業務改造"}</definedName>
    <definedName name="yyyy" hidden="1">{"Ｍ系全体",#N/A,FALSE,"業務改造"}</definedName>
    <definedName name="z" hidden="1">{"Ｍ系全体",#N/A,FALSE,"業務改造"}</definedName>
    <definedName name="zndgf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ぁ" hidden="1">{"サーバ別",#N/A,FALSE,"業務改造"}</definedName>
    <definedName name="あ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ぁぁ" hidden="1">{"Ｍ系全体",#N/A,FALSE,"業務改造";"担当",#N/A,FALSE,"担当"}</definedName>
    <definedName name="ああ" hidden="1">{#N/A,#N/A,FALSE,"担当"}</definedName>
    <definedName name="あああ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あああ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い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いう" hidden="1">{"サーバ別",#N/A,FALSE,"業務改造"}</definedName>
    <definedName name="いい" hidden="1">{"Ｍ系全体",#N/A,FALSE,"業務改造"}</definedName>
    <definedName name="いいいいいいいいいいいいいいいい" hidden="1">{"サーバ別",#N/A,FALSE,"業務改造"}</definedName>
    <definedName name="う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え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おおお" hidden="1">{"Ｍ系全体",#N/A,FALSE,"業務改造";"サーバ別",#N/A,FALSE,"業務改造"}</definedName>
    <definedName name="かかし" hidden="1">{"Ｍ系全体",#N/A,FALSE,"業務改造";"サーバ別",#N/A,FALSE,"業務改造"}</definedName>
    <definedName name="けいさん" hidden="1">{"サーバ別",#N/A,FALSE,"業務改造"}</definedName>
    <definedName name="コンフィグ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すすす" hidden="1">{"Ｍ系全体",#N/A,FALSE,"業務改造";"サーバ別",#N/A,FALSE,"業務改造"}</definedName>
    <definedName name="だ" hidden="1">{"Ｍ系全体",#N/A,FALSE,"業務改造";"サーバ別",#N/A,FALSE,"業務改造"}</definedName>
    <definedName name="ちす" hidden="1">{"Ｍ系全体",#N/A,FALSE,"業務改造"}</definedName>
    <definedName name="テスト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ホスト" hidden="1">{"Ｍ系全体",#N/A,FALSE,"業務改造";"サーバ別",#N/A,FALSE,"業務改造"}</definedName>
    <definedName name="仮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計算" hidden="1">{"サーバ別",#N/A,FALSE,"業務改造"}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<sst xmlns="http://schemas.openxmlformats.org/spreadsheetml/2006/main" count="204" uniqueCount="136">
  <si>
    <t>項目マッピング表 — 店舗商品マスタ（store_item_mst.txt ）13項目</t>
  </si>
  <si>
    <t>判定凡例：  ○ 直接マッピング可  △ 変換・加工が必要  ✕ GAPあり（要対応）  ― 固定値またはNULL設定</t>
  </si>
  <si>
    <t>sinops
No.</t>
  </si>
  <si>
    <t>必須</t>
  </si>
  <si>
    <t>sinops 項目名</t>
  </si>
  <si>
    <t>sinops 型/桁</t>
  </si>
  <si>
    <t>FMT内容</t>
  </si>
  <si>
    <t>TRIAL 項目名
（店舗商品マスタ）</t>
  </si>
  <si>
    <t>TRIAL 型/桁</t>
  </si>
  <si>
    <t>判定</t>
  </si>
  <si>
    <t>変換ルール・留意事項</t>
  </si>
  <si>
    <t>◆ 店舗・商品識別キー（複合PK）</t>
  </si>
  <si>
    <t>1</t>
  </si>
  <si>
    <t>○</t>
  </si>
  <si>
    <t>店舗コード</t>
  </si>
  <si>
    <t>文字/100</t>
  </si>
  <si>
    <t>文字/4</t>
  </si>
  <si>
    <t>△</t>
  </si>
  <si>
    <t>【商品マスタ統合プロジェクト】課題から設計内容の確認が必要</t>
  </si>
  <si>
    <t>対象商品は西友か、トライアルが区別できるか、
sinopsへには西友商品しか送付しないか</t>
  </si>
  <si>
    <t>2</t>
  </si>
  <si>
    <t>商品コード</t>
  </si>
  <si>
    <t>文字/20</t>
  </si>
  <si>
    <t>商品マスタのJANになります。(sinops:13桁、TRIAL：20桁)
右端13桁を取得</t>
  </si>
  <si>
    <t>◆ 仕入・価格</t>
  </si>
  <si>
    <t>3</t>
  </si>
  <si>
    <t>仕入先コード</t>
  </si>
  <si>
    <t>文字/9</t>
  </si>
  <si>
    <r>
      <t xml:space="preserve">sinops
（30仕入先コード＋31仕入先コード枝番）
</t>
    </r>
    <r>
      <rPr>
        <b/>
        <sz val="11"/>
        <color rgb="FFFF0000"/>
        <rFont val="Meiryo UI"/>
        <charset val="134"/>
      </rPr>
      <t>【商品マスタ統合プロジェクト】課題から設計内容の確認が必要</t>
    </r>
  </si>
  <si>
    <t>4</t>
  </si>
  <si>
    <t>標準仕入単価</t>
  </si>
  <si>
    <t>数値(8,2)/11</t>
  </si>
  <si>
    <t>0.01～99999999.99</t>
  </si>
  <si>
    <t>仕入原価(税抜)</t>
  </si>
  <si>
    <t>money</t>
  </si>
  <si>
    <t>〇</t>
  </si>
  <si>
    <r>
      <t>sinops</t>
    </r>
    <r>
      <rPr>
        <sz val="9"/>
        <color rgb="FF1A2E4A"/>
        <rFont val="ＭＳ ゴシック"/>
        <charset val="134"/>
      </rPr>
      <t>は</t>
    </r>
    <r>
      <rPr>
        <sz val="9"/>
        <color rgb="FF1A2E4A"/>
        <rFont val="SimSun"/>
        <charset val="134"/>
      </rPr>
      <t>数値</t>
    </r>
    <r>
      <rPr>
        <sz val="9"/>
        <color rgb="FF1A2E4A"/>
        <rFont val="Arial"/>
        <charset val="134"/>
      </rPr>
      <t>(8,2)</t>
    </r>
    <r>
      <rPr>
        <sz val="9"/>
        <color rgb="FF1A2E4A"/>
        <rFont val="SimSun"/>
        <charset val="134"/>
      </rPr>
      <t>（円</t>
    </r>
    <r>
      <rPr>
        <sz val="9"/>
        <color rgb="FF1A2E4A"/>
        <rFont val="Arial"/>
        <charset val="134"/>
      </rPr>
      <t>.</t>
    </r>
    <r>
      <rPr>
        <sz val="9"/>
        <color rgb="FF1A2E4A"/>
        <rFont val="SimSun"/>
        <charset val="134"/>
      </rPr>
      <t>小数</t>
    </r>
    <r>
      <rPr>
        <sz val="9"/>
        <color rgb="FF1A2E4A"/>
        <rFont val="Arial"/>
        <charset val="134"/>
      </rPr>
      <t>2</t>
    </r>
    <r>
      <rPr>
        <sz val="9"/>
        <color rgb="FF1A2E4A"/>
        <rFont val="SimSun"/>
        <charset val="134"/>
      </rPr>
      <t>桁）。</t>
    </r>
  </si>
  <si>
    <t>5</t>
  </si>
  <si>
    <t>標準売価（税抜）</t>
  </si>
  <si>
    <t>売価(税抜)</t>
  </si>
  <si>
    <r>
      <rPr>
        <sz val="9"/>
        <color rgb="FF1A2E4A"/>
        <rFont val="Meiryo UI"/>
        <charset val="134"/>
      </rPr>
      <t>TRIAL店別販売は税込み、</t>
    </r>
    <r>
      <rPr>
        <b/>
        <sz val="9"/>
        <color rgb="FFFF0000"/>
        <rFont val="Meiryo UI"/>
        <charset val="134"/>
      </rPr>
      <t>税抜けに計算が必要</t>
    </r>
    <r>
      <rPr>
        <sz val="9"/>
        <color rgb="FF1A2E4A"/>
        <rFont val="Meiryo UI"/>
        <charset val="134"/>
      </rPr>
      <t xml:space="preserve">
</t>
    </r>
    <r>
      <rPr>
        <b/>
        <sz val="9"/>
        <color rgb="FFFF0000"/>
        <rFont val="Meiryo UI"/>
        <charset val="134"/>
      </rPr>
      <t>※別データマスタ</t>
    </r>
  </si>
  <si>
    <t>◆ 発注日程</t>
  </si>
  <si>
    <t>6</t>
  </si>
  <si>
    <t>発注開始日</t>
  </si>
  <si>
    <t>日付/8</t>
  </si>
  <si>
    <t>yyyymmdd</t>
  </si>
  <si>
    <t>yyyymmdd形式、未定の場合空文字列</t>
  </si>
  <si>
    <t>7</t>
  </si>
  <si>
    <t>発注終了日</t>
  </si>
  <si>
    <t>◆ 発注設定</t>
  </si>
  <si>
    <t>8</t>
  </si>
  <si>
    <t>最低発注数</t>
  </si>
  <si>
    <t>整数値/8</t>
  </si>
  <si>
    <t>固定：1</t>
  </si>
  <si>
    <t>最小発注数量</t>
  </si>
  <si>
    <t>int/8</t>
  </si>
  <si>
    <t>sinopsに確認が必要です。</t>
  </si>
  <si>
    <t>9</t>
  </si>
  <si>
    <t>発注単位</t>
  </si>
  <si>
    <t>1～99999999</t>
  </si>
  <si>
    <t>発注単位数</t>
  </si>
  <si>
    <r>
      <rPr>
        <b/>
        <sz val="9"/>
        <rFont val="Meiryo UI"/>
        <charset val="134"/>
      </rPr>
      <t>「発注勧告数は発注単位の整数倍となります」</t>
    </r>
    <r>
      <rPr>
        <b/>
        <sz val="9"/>
        <color rgb="FFFF0000"/>
        <rFont val="Meiryo UI"/>
        <charset val="134"/>
      </rPr>
      <t xml:space="preserve">
sinopsは発注単位ではなくて、発注単位数ではないか？</t>
    </r>
  </si>
  <si>
    <t>◆ 削除フラグ</t>
  </si>
  <si>
    <t>10</t>
  </si>
  <si>
    <t>削除フラグ</t>
  </si>
  <si>
    <t>整数値/1</t>
  </si>
  <si>
    <t>0：登録・更新、1：削除</t>
  </si>
  <si>
    <t>tinyint/3</t>
  </si>
  <si>
    <t>「0」をデフォルト設定</t>
  </si>
  <si>
    <t>◆ 予備項目</t>
  </si>
  <si>
    <t>11</t>
  </si>
  <si>
    <t>予備１（DCNo）</t>
  </si>
  <si>
    <t>― (未使用)</t>
  </si>
  <si>
    <t>納品先</t>
  </si>
  <si>
    <t>（33出荷元店登録コード)？</t>
  </si>
  <si>
    <t>12</t>
  </si>
  <si>
    <t>予備２（チャネル）</t>
  </si>
  <si>
    <t>01:仕入先店別配送（直納）,02:センター在庫・店別出荷,03:一括仕入店別分荷</t>
  </si>
  <si>
    <t>納品経路区分</t>
  </si>
  <si>
    <t>int16_t/5</t>
  </si>
  <si>
    <r>
      <rPr>
        <b/>
        <sz val="9"/>
        <color rgb="FF1A2E4A"/>
        <rFont val="Meiryo UI"/>
        <charset val="134"/>
      </rPr>
      <t>「sinops_コード変換テーブル.xlsxの納品経路区分」を参考して、</t>
    </r>
    <r>
      <rPr>
        <sz val="9"/>
        <color rgb="FF1A2E4A"/>
        <rFont val="Meiryo UI"/>
        <charset val="134"/>
      </rPr>
      <t>コード変換必要</t>
    </r>
  </si>
  <si>
    <t>13</t>
  </si>
  <si>
    <t>予備3</t>
  </si>
  <si>
    <t>―</t>
  </si>
  <si>
    <t>未使用。空文字列で設定。</t>
  </si>
  <si>
    <t>IF変換仕様書</t>
  </si>
  <si>
    <t>名 称</t>
  </si>
  <si>
    <t>概 要</t>
  </si>
  <si>
    <t>変換後ファイル名</t>
  </si>
  <si>
    <t>ファイル形式</t>
  </si>
  <si>
    <t>出力条件</t>
  </si>
  <si>
    <t>レコード作成条件</t>
  </si>
  <si>
    <t>TSV</t>
  </si>
  <si>
    <t>■マッピングシート</t>
  </si>
  <si>
    <t>変換元データ　</t>
  </si>
  <si>
    <t>No</t>
  </si>
  <si>
    <t>R6項目名</t>
  </si>
  <si>
    <t>ファイル名</t>
  </si>
  <si>
    <t>項目名</t>
  </si>
  <si>
    <t>固定値</t>
  </si>
  <si>
    <t>受領サンプルデータ</t>
  </si>
  <si>
    <t>型</t>
  </si>
  <si>
    <t>項目長</t>
  </si>
  <si>
    <t>Key</t>
  </si>
  <si>
    <t>データ型</t>
  </si>
  <si>
    <t>最大桁数</t>
  </si>
  <si>
    <t>区分・範囲</t>
  </si>
  <si>
    <t>編集仕様</t>
  </si>
  <si>
    <t>店別商品マスタMAM_MISEITEM.CSV</t>
  </si>
  <si>
    <t>（6店コード）</t>
  </si>
  <si>
    <t>英数字型</t>
  </si>
  <si>
    <t>（2商品コード）</t>
  </si>
  <si>
    <t>14</t>
  </si>
  <si>
    <t>（30仕入先コード＋31仕入先コード枝番）</t>
  </si>
  <si>
    <t>6+3</t>
  </si>
  <si>
    <t>（19原価）</t>
  </si>
  <si>
    <t>数値型</t>
  </si>
  <si>
    <t>9.2</t>
  </si>
  <si>
    <t>（21売価）</t>
  </si>
  <si>
    <t>（16発注開始日）</t>
  </si>
  <si>
    <t>（17発注停止日）</t>
  </si>
  <si>
    <t>（7発注単位数）</t>
  </si>
  <si>
    <t>（59削除フラグ）</t>
  </si>
  <si>
    <t>（33出荷元店登録コード)</t>
  </si>
  <si>
    <t>仕入先マスタファイルMAM_SIRSAKI.CSV</t>
  </si>
  <si>
    <t>（139納品方法区分)</t>
  </si>
  <si>
    <t>２</t>
  </si>
  <si>
    <t>■基幹出力方式</t>
  </si>
  <si>
    <t>　全件出力</t>
  </si>
  <si>
    <t>　※処理時間短縮のため、MD基幹／商品マスタ．自動補充対象フラグがOFFのデータは連携対象外にしていただく</t>
  </si>
  <si>
    <t>■sinops取込方式</t>
  </si>
  <si>
    <t>　差分更新</t>
  </si>
  <si>
    <t>　※削除フラグを１：削除で送信いただく事で不要データを削除</t>
  </si>
  <si>
    <t>■必要タイミング</t>
  </si>
  <si>
    <t>　取込結果は即日反映いたしますので、発注単位の変更などが発生する場合には</t>
  </si>
  <si>
    <t>　実際に発注単位が切り替わるタイミングで変更後データの連携をおこなってください。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</si>
</sst>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"/>
  </numFmts>
  <fonts count="53">
    <font>
      <sz val="11"/>
      <color theme="1"/>
      <name val="Calibri"/>
      <charset val="134"/>
      <scheme val="minor"/>
    </font>
    <font>
      <sz val="9"/>
      <color indexed="63"/>
      <name val="Meiryo UI"/>
      <charset val="128"/>
    </font>
    <font>
      <sz val="11"/>
      <color theme="1"/>
      <name val="Yu Gothic"/>
      <charset val="128"/>
    </font>
    <font>
      <b/>
      <sz val="15"/>
      <color indexed="9"/>
      <name val="Meiryo UI"/>
      <charset val="128"/>
    </font>
    <font>
      <b/>
      <sz val="11"/>
      <color indexed="9"/>
      <name val="Meiryo UI"/>
      <charset val="128"/>
    </font>
    <font>
      <sz val="14"/>
      <color indexed="63"/>
      <name val="Meiryo UI"/>
      <charset val="128"/>
    </font>
    <font>
      <sz val="12"/>
      <color indexed="63"/>
      <name val="Meiryo UI"/>
      <charset val="128"/>
    </font>
    <font>
      <sz val="11"/>
      <color indexed="63"/>
      <name val="Meiryo UI"/>
      <charset val="128"/>
    </font>
    <font>
      <b/>
      <sz val="16"/>
      <color indexed="63"/>
      <name val="Meiryo UI"/>
      <charset val="128"/>
    </font>
    <font>
      <b/>
      <sz val="13"/>
      <color indexed="63"/>
      <name val="Meiryo UI"/>
      <charset val="128"/>
    </font>
    <font>
      <b/>
      <sz val="11"/>
      <color indexed="63"/>
      <name val="Meiryo UI"/>
      <charset val="128"/>
    </font>
    <font>
      <sz val="10"/>
      <color indexed="63"/>
      <name val="Meiryo UI"/>
      <charset val="128"/>
    </font>
    <font>
      <b/>
      <sz val="10"/>
      <color rgb="FFFF0000"/>
      <name val="Meiryo UI"/>
      <charset val="128"/>
    </font>
    <font>
      <sz val="11"/>
      <color theme="1"/>
      <name val="Meiryo UI"/>
      <charset val="134"/>
    </font>
    <font>
      <b/>
      <sz val="12"/>
      <color rgb="FFFFFFFF"/>
      <name val="Meiryo UI"/>
      <charset val="134"/>
    </font>
    <font>
      <sz val="11"/>
      <name val="Meiryo UI"/>
      <charset val="134"/>
    </font>
    <font>
      <sz val="9"/>
      <color rgb="FF1A2E4A"/>
      <name val="Meiryo UI"/>
      <charset val="134"/>
    </font>
    <font>
      <b/>
      <sz val="9"/>
      <color rgb="FFFFFFFF"/>
      <name val="Meiryo UI"/>
      <charset val="134"/>
    </font>
    <font>
      <b/>
      <sz val="9"/>
      <color rgb="FFFF0000"/>
      <name val="Meiryo UI"/>
      <charset val="134"/>
    </font>
    <font>
      <b/>
      <sz val="9"/>
      <color rgb="FF243A5E"/>
      <name val="Meiryo UI"/>
      <charset val="134"/>
    </font>
    <font>
      <b/>
      <sz val="9"/>
      <color rgb="FF92400E"/>
      <name val="Meiryo UI"/>
      <charset val="134"/>
    </font>
    <font>
      <b/>
      <sz val="11"/>
      <color rgb="FFFF0000"/>
      <name val="Meiryo UI"/>
      <charset val="134"/>
    </font>
    <font>
      <sz val="10"/>
      <name val="Meiryo UI"/>
      <charset val="134"/>
    </font>
    <font>
      <sz val="9"/>
      <name val="Meiryo UI"/>
      <charset val="134"/>
    </font>
    <font>
      <b/>
      <sz val="9"/>
      <color rgb="FF059669"/>
      <name val="SimSun"/>
      <charset val="134"/>
    </font>
    <font>
      <sz val="9"/>
      <color rgb="FF1A2E4A"/>
      <name val="Arial"/>
      <charset val="134"/>
    </font>
    <font>
      <b/>
      <sz val="9"/>
      <color rgb="FF059669"/>
      <name val="Arial"/>
      <charset val="134"/>
    </font>
    <font>
      <b/>
      <sz val="9"/>
      <color rgb="FF475569"/>
      <name val="Meiryo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Meiryo UI"/>
      <charset val="128"/>
    </font>
    <font>
      <sz val="11"/>
      <color theme="0"/>
      <name val="Meiryo UI"/>
      <charset val="128"/>
    </font>
    <font>
      <b/>
      <sz val="9"/>
      <color rgb="FF1A2E4A"/>
      <name val="Meiryo UI"/>
      <charset val="134"/>
    </font>
    <font>
      <b/>
      <sz val="9"/>
      <name val="Meiryo UI"/>
      <charset val="134"/>
    </font>
    <font>
      <sz val="9"/>
      <color rgb="FF1A2E4A"/>
      <name val="ＭＳ ゴシック"/>
      <charset val="134"/>
    </font>
    <font>
      <sz val="9"/>
      <color rgb="FF1A2E4A"/>
      <name val="SimSun"/>
      <charset val="134"/>
    </font>
  </fonts>
  <fills count="47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243A5E"/>
        <bgColor rgb="FF243A5E"/>
      </patternFill>
    </fill>
    <fill>
      <patternFill patternType="solid">
        <fgColor rgb="FFFFFBF0"/>
        <bgColor rgb="FFFFFBF0"/>
      </patternFill>
    </fill>
    <fill>
      <patternFill patternType="solid">
        <fgColor rgb="FFEFF6FF"/>
        <bgColor rgb="FFEFF6FF"/>
      </patternFill>
    </fill>
    <fill>
      <patternFill patternType="solid">
        <fgColor theme="0" tint="-0.15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theme="0" tint="-0.15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FEF3C7"/>
        <bgColor indexed="64"/>
      </patternFill>
    </fill>
    <fill>
      <patternFill patternType="solid">
        <fgColor rgb="FFD1FAE5"/>
        <bgColor rgb="FFD1FAE5"/>
      </patternFill>
    </fill>
    <fill>
      <patternFill patternType="solid">
        <fgColor rgb="FFF1F5F9"/>
        <bgColor rgb="FFF1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16" borderId="21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7" borderId="24" applyNumberFormat="0" applyAlignment="0" applyProtection="0">
      <alignment vertical="center"/>
    </xf>
    <xf numFmtId="0" fontId="37" fillId="18" borderId="25" applyNumberFormat="0" applyAlignment="0" applyProtection="0">
      <alignment vertical="center"/>
    </xf>
    <xf numFmtId="0" fontId="38" fillId="18" borderId="24" applyNumberFormat="0" applyAlignment="0" applyProtection="0">
      <alignment vertical="center"/>
    </xf>
    <xf numFmtId="0" fontId="39" fillId="19" borderId="26" applyNumberFormat="0" applyAlignment="0" applyProtection="0">
      <alignment vertical="center"/>
    </xf>
    <xf numFmtId="0" fontId="40" fillId="0" borderId="27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7" fillId="0" borderId="0"/>
    <xf numFmtId="0" fontId="48" fillId="27" borderId="0" applyNumberFormat="0" applyBorder="0" applyAlignment="0" applyProtection="0"/>
  </cellStyleXfs>
  <cellXfs count="94">
    <xf numFmtId="0" fontId="0" fillId="0" borderId="0" xfId="0" applyFont="1" applyAlignment="1"/>
    <xf numFmtId="0" fontId="1" fillId="0" borderId="0" xfId="49" applyFont="1" applyFill="1" applyAlignment="1">
      <alignment vertical="center"/>
    </xf>
    <xf numFmtId="0" fontId="1" fillId="0" borderId="0" xfId="49" applyFont="1" applyFill="1" applyAlignment="1"/>
    <xf numFmtId="0" fontId="2" fillId="0" borderId="0" xfId="0" applyFont="1" applyFill="1" applyAlignment="1"/>
    <xf numFmtId="0" fontId="3" fillId="2" borderId="1" xfId="50" applyFont="1" applyFill="1" applyBorder="1" applyAlignment="1">
      <alignment horizontal="center" vertical="center"/>
    </xf>
    <xf numFmtId="0" fontId="3" fillId="2" borderId="2" xfId="50" applyFont="1" applyFill="1" applyBorder="1" applyAlignment="1">
      <alignment horizontal="center" vertical="center"/>
    </xf>
    <xf numFmtId="0" fontId="4" fillId="2" borderId="3" xfId="49" applyFont="1" applyFill="1" applyBorder="1" applyAlignment="1">
      <alignment horizontal="center" vertical="center"/>
    </xf>
    <xf numFmtId="0" fontId="4" fillId="2" borderId="4" xfId="49" applyFont="1" applyFill="1" applyBorder="1" applyAlignment="1">
      <alignment horizontal="center" vertical="center"/>
    </xf>
    <xf numFmtId="0" fontId="4" fillId="2" borderId="5" xfId="49" applyFont="1" applyFill="1" applyBorder="1" applyAlignment="1">
      <alignment horizontal="center" vertical="center"/>
    </xf>
    <xf numFmtId="0" fontId="3" fillId="2" borderId="6" xfId="50" applyFont="1" applyFill="1" applyBorder="1" applyAlignment="1">
      <alignment horizontal="center" vertical="center"/>
    </xf>
    <xf numFmtId="0" fontId="3" fillId="2" borderId="0" xfId="50" applyFont="1" applyFill="1" applyAlignment="1">
      <alignment horizontal="center" vertical="center"/>
    </xf>
    <xf numFmtId="0" fontId="5" fillId="0" borderId="6" xfId="49" applyFont="1" applyFill="1" applyBorder="1" applyAlignment="1">
      <alignment horizontal="center" vertical="center"/>
    </xf>
    <xf numFmtId="0" fontId="5" fillId="0" borderId="7" xfId="49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horizontal="left" vertical="top" wrapText="1"/>
    </xf>
    <xf numFmtId="0" fontId="6" fillId="3" borderId="2" xfId="49" applyFont="1" applyFill="1" applyBorder="1" applyAlignment="1">
      <alignment horizontal="left" vertical="top" wrapText="1"/>
    </xf>
    <xf numFmtId="0" fontId="6" fillId="3" borderId="8" xfId="49" applyFont="1" applyFill="1" applyBorder="1" applyAlignment="1">
      <alignment horizontal="left" vertical="top" wrapText="1"/>
    </xf>
    <xf numFmtId="0" fontId="3" fillId="2" borderId="9" xfId="50" applyFont="1" applyFill="1" applyBorder="1" applyAlignment="1">
      <alignment horizontal="center" vertical="center"/>
    </xf>
    <xf numFmtId="0" fontId="3" fillId="2" borderId="10" xfId="50" applyFont="1" applyFill="1" applyBorder="1" applyAlignment="1">
      <alignment horizontal="center" vertical="center"/>
    </xf>
    <xf numFmtId="0" fontId="5" fillId="0" borderId="9" xfId="49" applyFont="1" applyFill="1" applyBorder="1" applyAlignment="1">
      <alignment horizontal="center" vertical="center"/>
    </xf>
    <xf numFmtId="0" fontId="5" fillId="0" borderId="11" xfId="49" applyFont="1" applyFill="1" applyBorder="1" applyAlignment="1">
      <alignment horizontal="center" vertical="center"/>
    </xf>
    <xf numFmtId="0" fontId="6" fillId="3" borderId="9" xfId="49" applyFont="1" applyFill="1" applyBorder="1" applyAlignment="1">
      <alignment horizontal="left" vertical="top" wrapText="1"/>
    </xf>
    <xf numFmtId="0" fontId="6" fillId="3" borderId="10" xfId="49" applyFont="1" applyFill="1" applyBorder="1" applyAlignment="1">
      <alignment horizontal="left" vertical="top" wrapText="1"/>
    </xf>
    <xf numFmtId="0" fontId="6" fillId="3" borderId="11" xfId="49" applyFont="1" applyFill="1" applyBorder="1" applyAlignment="1">
      <alignment horizontal="left" vertical="top" wrapText="1"/>
    </xf>
    <xf numFmtId="0" fontId="7" fillId="0" borderId="3" xfId="49" applyFont="1" applyFill="1" applyBorder="1" applyAlignment="1">
      <alignment horizontal="center" vertical="center"/>
    </xf>
    <xf numFmtId="0" fontId="7" fillId="0" borderId="4" xfId="49" applyFont="1" applyFill="1" applyBorder="1" applyAlignment="1">
      <alignment horizontal="center" vertical="center"/>
    </xf>
    <xf numFmtId="0" fontId="7" fillId="0" borderId="5" xfId="49" applyFont="1" applyFill="1" applyBorder="1" applyAlignment="1">
      <alignment horizontal="center" vertical="center"/>
    </xf>
    <xf numFmtId="0" fontId="7" fillId="3" borderId="3" xfId="49" applyFont="1" applyFill="1" applyBorder="1" applyAlignment="1">
      <alignment horizontal="center" vertical="center"/>
    </xf>
    <xf numFmtId="0" fontId="7" fillId="3" borderId="4" xfId="49" applyFont="1" applyFill="1" applyBorder="1" applyAlignment="1">
      <alignment horizontal="center" vertical="center"/>
    </xf>
    <xf numFmtId="0" fontId="7" fillId="3" borderId="3" xfId="49" applyFont="1" applyFill="1" applyBorder="1" applyAlignment="1">
      <alignment horizontal="center" vertical="center" wrapText="1"/>
    </xf>
    <xf numFmtId="0" fontId="7" fillId="3" borderId="4" xfId="49" applyFont="1" applyFill="1" applyBorder="1" applyAlignment="1">
      <alignment horizontal="center" vertical="center" wrapText="1"/>
    </xf>
    <xf numFmtId="0" fontId="8" fillId="0" borderId="0" xfId="49" applyFont="1" applyFill="1" applyAlignment="1"/>
    <xf numFmtId="0" fontId="1" fillId="0" borderId="0" xfId="49" applyFont="1" applyFill="1" applyAlignment="1">
      <alignment horizontal="center"/>
    </xf>
    <xf numFmtId="0" fontId="1" fillId="0" borderId="0" xfId="49" applyFont="1" applyFill="1" applyAlignment="1">
      <alignment horizontal="right"/>
    </xf>
    <xf numFmtId="0" fontId="1" fillId="0" borderId="0" xfId="49" applyFont="1" applyFill="1" applyAlignment="1">
      <alignment horizontal="right" wrapText="1"/>
    </xf>
    <xf numFmtId="0" fontId="9" fillId="0" borderId="0" xfId="49" applyFont="1" applyFill="1" applyAlignment="1">
      <alignment vertical="center"/>
    </xf>
    <xf numFmtId="0" fontId="10" fillId="0" borderId="0" xfId="49" applyFont="1" applyFill="1" applyAlignment="1"/>
    <xf numFmtId="0" fontId="7" fillId="0" borderId="0" xfId="49" applyFont="1" applyFill="1" applyAlignment="1"/>
    <xf numFmtId="0" fontId="4" fillId="2" borderId="12" xfId="49" applyFont="1" applyFill="1" applyBorder="1" applyAlignment="1">
      <alignment horizontal="center" vertical="center"/>
    </xf>
    <xf numFmtId="0" fontId="4" fillId="2" borderId="13" xfId="49" applyFont="1" applyFill="1" applyBorder="1" applyAlignment="1">
      <alignment horizontal="center" vertical="center"/>
    </xf>
    <xf numFmtId="0" fontId="7" fillId="0" borderId="0" xfId="49" applyFont="1" applyFill="1" applyAlignment="1">
      <alignment horizontal="left"/>
    </xf>
    <xf numFmtId="0" fontId="7" fillId="0" borderId="0" xfId="49" applyFont="1" applyFill="1" applyAlignment="1">
      <alignment horizontal="left" wrapText="1"/>
    </xf>
    <xf numFmtId="0" fontId="7" fillId="0" borderId="0" xfId="49" applyFont="1" applyFill="1" applyAlignment="1">
      <alignment horizontal="right"/>
    </xf>
    <xf numFmtId="0" fontId="4" fillId="4" borderId="14" xfId="49" applyFont="1" applyFill="1" applyBorder="1" applyAlignment="1">
      <alignment horizontal="center" vertical="center"/>
    </xf>
    <xf numFmtId="0" fontId="4" fillId="2" borderId="15" xfId="49" applyFont="1" applyFill="1" applyBorder="1" applyAlignment="1">
      <alignment horizontal="center" vertical="center"/>
    </xf>
    <xf numFmtId="0" fontId="4" fillId="2" borderId="16" xfId="49" applyFont="1" applyFill="1" applyBorder="1" applyAlignment="1">
      <alignment horizontal="center" vertical="center"/>
    </xf>
    <xf numFmtId="0" fontId="4" fillId="2" borderId="17" xfId="49" applyFont="1" applyFill="1" applyBorder="1" applyAlignment="1">
      <alignment horizontal="center" vertical="center"/>
    </xf>
    <xf numFmtId="0" fontId="4" fillId="4" borderId="0" xfId="49" applyFont="1" applyFill="1" applyAlignment="1">
      <alignment horizontal="center" vertical="center"/>
    </xf>
    <xf numFmtId="0" fontId="4" fillId="4" borderId="14" xfId="49" applyFont="1" applyFill="1" applyBorder="1" applyAlignment="1">
      <alignment horizontal="center" vertical="center" wrapText="1"/>
    </xf>
    <xf numFmtId="0" fontId="11" fillId="0" borderId="16" xfId="49" applyFont="1" applyFill="1" applyBorder="1" applyAlignment="1">
      <alignment vertical="center"/>
    </xf>
    <xf numFmtId="0" fontId="11" fillId="5" borderId="15" xfId="49" applyFont="1" applyFill="1" applyBorder="1" applyAlignment="1">
      <alignment horizontal="left" vertical="center" wrapText="1"/>
    </xf>
    <xf numFmtId="0" fontId="11" fillId="5" borderId="16" xfId="49" applyFont="1" applyFill="1" applyBorder="1" applyAlignment="1">
      <alignment horizontal="left" vertical="center" wrapText="1"/>
    </xf>
    <xf numFmtId="0" fontId="11" fillId="5" borderId="16" xfId="49" applyFont="1" applyFill="1" applyBorder="1" applyAlignment="1">
      <alignment horizontal="center" vertical="center"/>
    </xf>
    <xf numFmtId="49" fontId="11" fillId="5" borderId="17" xfId="49" applyNumberFormat="1" applyFont="1" applyFill="1" applyBorder="1" applyAlignment="1">
      <alignment horizontal="left" vertical="center"/>
    </xf>
    <xf numFmtId="176" fontId="11" fillId="0" borderId="16" xfId="49" applyNumberFormat="1" applyFont="1" applyFill="1" applyBorder="1" applyAlignment="1">
      <alignment horizontal="center" vertical="center"/>
    </xf>
    <xf numFmtId="176" fontId="11" fillId="0" borderId="16" xfId="49" applyNumberFormat="1" applyFont="1" applyFill="1" applyBorder="1" applyAlignment="1">
      <alignment horizontal="left" vertical="center" wrapText="1"/>
    </xf>
    <xf numFmtId="0" fontId="12" fillId="5" borderId="15" xfId="49" applyFont="1" applyFill="1" applyBorder="1" applyAlignment="1">
      <alignment vertical="center"/>
    </xf>
    <xf numFmtId="0" fontId="11" fillId="5" borderId="16" xfId="49" applyFont="1" applyFill="1" applyBorder="1" applyAlignment="1">
      <alignment horizontal="left" vertical="center"/>
    </xf>
    <xf numFmtId="0" fontId="11" fillId="5" borderId="15" xfId="49" applyFont="1" applyFill="1" applyBorder="1" applyAlignment="1">
      <alignment vertical="center"/>
    </xf>
    <xf numFmtId="0" fontId="12" fillId="5" borderId="15" xfId="49" applyFont="1" applyFill="1" applyBorder="1" applyAlignment="1">
      <alignment vertical="center" wrapText="1"/>
    </xf>
    <xf numFmtId="0" fontId="11" fillId="5" borderId="16" xfId="49" applyFont="1" applyFill="1" applyBorder="1" applyAlignment="1">
      <alignment horizontal="left"/>
    </xf>
    <xf numFmtId="0" fontId="11" fillId="5" borderId="16" xfId="49" applyFont="1" applyFill="1" applyBorder="1" applyAlignment="1">
      <alignment horizontal="center"/>
    </xf>
    <xf numFmtId="49" fontId="11" fillId="5" borderId="17" xfId="49" applyNumberFormat="1" applyFont="1" applyFill="1" applyBorder="1" applyAlignment="1">
      <alignment horizontal="left"/>
    </xf>
    <xf numFmtId="49" fontId="11" fillId="5" borderId="17" xfId="49" applyNumberFormat="1" applyFont="1" applyFill="1" applyBorder="1" applyAlignment="1">
      <alignment horizontal="left" wrapText="1"/>
    </xf>
    <xf numFmtId="0" fontId="11" fillId="5" borderId="15" xfId="49" applyFont="1" applyFill="1" applyBorder="1" applyAlignment="1">
      <alignment horizontal="left"/>
    </xf>
    <xf numFmtId="0" fontId="12" fillId="5" borderId="15" xfId="49" applyFont="1" applyFill="1" applyBorder="1" applyAlignment="1"/>
    <xf numFmtId="49" fontId="11" fillId="5" borderId="16" xfId="49" applyNumberFormat="1" applyFont="1" applyFill="1" applyBorder="1" applyAlignment="1">
      <alignment horizontal="left" vertical="center"/>
    </xf>
    <xf numFmtId="0" fontId="11" fillId="5" borderId="15" xfId="49" applyFont="1" applyFill="1" applyBorder="1" applyAlignment="1">
      <alignment horizontal="left" vertical="center"/>
    </xf>
    <xf numFmtId="0" fontId="11" fillId="5" borderId="15" xfId="49" applyFont="1" applyFill="1" applyBorder="1" applyAlignment="1">
      <alignment vertical="center" wrapText="1"/>
    </xf>
    <xf numFmtId="0" fontId="11" fillId="0" borderId="18" xfId="49" applyFont="1" applyFill="1" applyBorder="1" applyAlignment="1">
      <alignment vertical="center"/>
    </xf>
    <xf numFmtId="176" fontId="11" fillId="0" borderId="18" xfId="49" applyNumberFormat="1" applyFont="1" applyFill="1" applyBorder="1" applyAlignment="1">
      <alignment horizontal="center" vertical="center"/>
    </xf>
    <xf numFmtId="176" fontId="11" fillId="0" borderId="18" xfId="49" applyNumberFormat="1" applyFont="1" applyFill="1" applyBorder="1" applyAlignment="1">
      <alignment horizontal="left" vertical="center" wrapText="1"/>
    </xf>
    <xf numFmtId="0" fontId="13" fillId="0" borderId="0" xfId="0" applyFont="1" applyAlignment="1"/>
    <xf numFmtId="0" fontId="14" fillId="6" borderId="0" xfId="0" applyFont="1" applyFill="1" applyBorder="1" applyAlignment="1">
      <alignment horizontal="center" vertical="center" wrapText="1"/>
    </xf>
    <xf numFmtId="0" fontId="15" fillId="0" borderId="0" xfId="0" applyFont="1" applyBorder="1"/>
    <xf numFmtId="0" fontId="16" fillId="7" borderId="0" xfId="0" applyFont="1" applyFill="1" applyBorder="1" applyAlignment="1">
      <alignment horizontal="left" vertical="center" wrapText="1"/>
    </xf>
    <xf numFmtId="0" fontId="17" fillId="6" borderId="19" xfId="0" applyFont="1" applyFill="1" applyBorder="1" applyAlignment="1">
      <alignment horizontal="center" vertical="center" wrapText="1"/>
    </xf>
    <xf numFmtId="0" fontId="18" fillId="6" borderId="19" xfId="0" applyFont="1" applyFill="1" applyBorder="1" applyAlignment="1">
      <alignment horizontal="center" vertical="center" wrapText="1"/>
    </xf>
    <xf numFmtId="0" fontId="19" fillId="8" borderId="19" xfId="0" applyFont="1" applyFill="1" applyBorder="1" applyAlignment="1">
      <alignment horizontal="left" vertical="center" wrapText="1"/>
    </xf>
    <xf numFmtId="0" fontId="19" fillId="9" borderId="19" xfId="0" applyFont="1" applyFill="1" applyBorder="1" applyAlignment="1">
      <alignment horizontal="left" vertical="center" wrapText="1"/>
    </xf>
    <xf numFmtId="0" fontId="16" fillId="10" borderId="19" xfId="0" applyFont="1" applyFill="1" applyBorder="1" applyAlignment="1">
      <alignment horizontal="left" vertical="center" wrapText="1"/>
    </xf>
    <xf numFmtId="0" fontId="16" fillId="11" borderId="19" xfId="0" applyFont="1" applyFill="1" applyBorder="1" applyAlignment="1">
      <alignment horizontal="left" vertical="center" wrapText="1"/>
    </xf>
    <xf numFmtId="0" fontId="20" fillId="12" borderId="19" xfId="0" applyFont="1" applyFill="1" applyBorder="1" applyAlignment="1">
      <alignment horizontal="center" vertical="center" wrapText="1"/>
    </xf>
    <xf numFmtId="0" fontId="18" fillId="12" borderId="19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2" fillId="13" borderId="20" xfId="0" applyFont="1" applyFill="1" applyBorder="1" applyAlignment="1">
      <alignment horizontal="center" vertical="center" wrapText="1"/>
    </xf>
    <xf numFmtId="0" fontId="23" fillId="12" borderId="19" xfId="0" applyFont="1" applyFill="1" applyBorder="1" applyAlignment="1">
      <alignment horizontal="left" vertical="center" wrapText="1"/>
    </xf>
    <xf numFmtId="0" fontId="16" fillId="12" borderId="19" xfId="0" applyFont="1" applyFill="1" applyBorder="1" applyAlignment="1">
      <alignment horizontal="left" vertical="center" wrapText="1"/>
    </xf>
    <xf numFmtId="0" fontId="24" fillId="14" borderId="19" xfId="0" applyFont="1" applyFill="1" applyBorder="1" applyAlignment="1">
      <alignment horizontal="center" vertical="center" wrapText="1"/>
    </xf>
    <xf numFmtId="0" fontId="25" fillId="14" borderId="19" xfId="0" applyFont="1" applyFill="1" applyBorder="1" applyAlignment="1">
      <alignment horizontal="left" vertical="center" wrapText="1"/>
    </xf>
    <xf numFmtId="0" fontId="26" fillId="14" borderId="19" xfId="0" applyFont="1" applyFill="1" applyBorder="1" applyAlignment="1">
      <alignment horizontal="center" vertical="center" wrapText="1"/>
    </xf>
    <xf numFmtId="0" fontId="18" fillId="10" borderId="19" xfId="0" applyFont="1" applyFill="1" applyBorder="1" applyAlignment="1">
      <alignment horizontal="left" vertical="center" wrapText="1"/>
    </xf>
    <xf numFmtId="0" fontId="27" fillId="15" borderId="19" xfId="0" applyFont="1" applyFill="1" applyBorder="1" applyAlignment="1">
      <alignment horizontal="center" vertical="center" wrapText="1"/>
    </xf>
    <xf numFmtId="0" fontId="16" fillId="15" borderId="19" xfId="0" applyFont="1" applyFill="1" applyBorder="1" applyAlignment="1">
      <alignment horizontal="left" vertical="center" wrapText="1"/>
    </xf>
    <xf numFmtId="0" fontId="21" fillId="0" borderId="0" xfId="0" applyFont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3" xfId="49"/>
    <cellStyle name="アクセント 2 2" xfId="50"/>
  </cellStyles>
  <dxfs count="24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3457575</xdr:colOff>
      <xdr:row>8</xdr:row>
      <xdr:rowOff>123825</xdr:rowOff>
    </xdr:from>
    <xdr:to>
      <xdr:col>17</xdr:col>
      <xdr:colOff>360045</xdr:colOff>
      <xdr:row>9</xdr:row>
      <xdr:rowOff>353060</xdr:rowOff>
    </xdr:to>
    <xdr:sp>
      <xdr:nvSpPr>
        <xdr:cNvPr id="2" name="矩形 1"/>
        <xdr:cNvSpPr/>
      </xdr:nvSpPr>
      <xdr:spPr>
        <a:xfrm>
          <a:off x="10915650" y="3543300"/>
          <a:ext cx="7560945" cy="85788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100"/>
            <a:t>(store_item_mst.txt)</a:t>
          </a:r>
          <a:r>
            <a:rPr lang="ja-JP" altLang="zh-CN" sz="1100"/>
            <a:t>サンプルデータ</a:t>
          </a:r>
          <a:endParaRPr lang="zh-CN" altLang="en-US" sz="1100"/>
        </a:p>
        <a:p>
          <a:pPr algn="l"/>
          <a:r>
            <a:rPr lang="zh-CN" altLang="en-US" sz="1100"/>
            <a:t>000003,0000000002905,099775942,15000,19950,20250804,,1,1,0,007496,03,0.00</a:t>
          </a:r>
          <a:endParaRPr lang="zh-CN" altLang="en-US" sz="1100"/>
        </a:p>
        <a:p>
          <a:pPr algn="l"/>
          <a:r>
            <a:rPr lang="zh-CN" altLang="en-US" sz="1100"/>
            <a:t>000003,0000001000078,099275940,38,69,20221028,,1,50,0,007495,03,0.10</a:t>
          </a:r>
          <a:endParaRPr lang="zh-CN" altLang="en-US" sz="1100"/>
        </a:p>
        <a:p>
          <a:pPr algn="l"/>
          <a:r>
            <a:rPr lang="zh-CN" altLang="en-US" sz="1100"/>
            <a:t>000003,0000001000368,099593943,154,199,20181231,,1,20,0,007495,03,0.30</a:t>
          </a:r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5506;&#38988;&#36039;&#26009;\&#35506;&#38988;&#25104;&#26524;&#29289;&#31649;&#29702;\&#35199;&#21451;&#35506;&#38988;\&#22522;&#24185;&#32113;&#21512;\&#21442;&#32771;&#36039;&#26009;\Sinops%20I-F&#22793;&#25563;&#20181;&#27096;&#26360;\02_IF&#22793;&#25563;&#22522;&#26412;&#35373;&#35336;&#26360;%20sinops-R\sinops-R6_IF&#12524;&#12452;&#12450;&#12454;&#12488;(&#24215;&#33303;&#21830;&#21697;&#12510;&#12473;&#12479;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更新履歴"/>
      <sheetName val="IF030_01"/>
      <sheetName val="注意点"/>
      <sheetName val="マッピング"/>
      <sheetName val="補足資料（参考）"/>
    </sheetNames>
    <sheetDataSet>
      <sheetData sheetId="0"/>
      <sheetData sheetId="1">
        <row r="1">
          <cell r="D1" t="str">
            <v>店舗商品マスタ</v>
          </cell>
        </row>
        <row r="2">
          <cell r="D2" t="str">
            <v>store_item_mst.txt</v>
          </cell>
        </row>
        <row r="4">
          <cell r="C4" t="str">
            <v>基幹システムのデータベースより、商品の店舗別情報を連携してください。(削除フラグ対応版)</v>
          </cell>
        </row>
        <row r="7">
          <cell r="B7" t="str">
            <v>ｷｰ</v>
          </cell>
          <cell r="C7" t="str">
            <v>○</v>
          </cell>
          <cell r="D7" t="str">
            <v>店舗コード</v>
          </cell>
        </row>
        <row r="7">
          <cell r="G7" t="str">
            <v>文字</v>
          </cell>
          <cell r="H7">
            <v>100</v>
          </cell>
        </row>
        <row r="8">
          <cell r="B8" t="str">
            <v>ｷｰ</v>
          </cell>
          <cell r="C8" t="str">
            <v>○</v>
          </cell>
          <cell r="D8" t="str">
            <v>商品コード</v>
          </cell>
        </row>
        <row r="8">
          <cell r="G8" t="str">
            <v>文字</v>
          </cell>
          <cell r="H8">
            <v>100</v>
          </cell>
        </row>
        <row r="9">
          <cell r="C9" t="str">
            <v>○</v>
          </cell>
          <cell r="D9" t="str">
            <v>仕入先コード</v>
          </cell>
        </row>
        <row r="9">
          <cell r="G9" t="str">
            <v>文字</v>
          </cell>
          <cell r="H9">
            <v>100</v>
          </cell>
        </row>
        <row r="10">
          <cell r="C10" t="str">
            <v>○</v>
          </cell>
          <cell r="D10" t="str">
            <v>標準仕入単価</v>
          </cell>
        </row>
        <row r="10">
          <cell r="F10" t="str">
            <v>0.01～99999999.99</v>
          </cell>
          <cell r="G10" t="str">
            <v>数値(8,2)</v>
          </cell>
          <cell r="H10">
            <v>11</v>
          </cell>
        </row>
        <row r="11">
          <cell r="C11" t="str">
            <v>○</v>
          </cell>
          <cell r="D11" t="str">
            <v>標準売価（税抜）</v>
          </cell>
        </row>
        <row r="11">
          <cell r="F11" t="str">
            <v>0.01～99999999.99</v>
          </cell>
          <cell r="G11" t="str">
            <v>数値(8,2)</v>
          </cell>
          <cell r="H11">
            <v>11</v>
          </cell>
        </row>
        <row r="12">
          <cell r="D12" t="str">
            <v>発注開始日</v>
          </cell>
        </row>
        <row r="12">
          <cell r="F12" t="str">
            <v>yyyymmdd形式、未定の場合空文字列</v>
          </cell>
          <cell r="G12" t="str">
            <v>日付</v>
          </cell>
          <cell r="H12">
            <v>8</v>
          </cell>
        </row>
        <row r="13">
          <cell r="D13" t="str">
            <v>発注終了日</v>
          </cell>
        </row>
        <row r="13">
          <cell r="F13" t="str">
            <v>yyyymmdd形式、未定の場合空文字列</v>
          </cell>
          <cell r="G13" t="str">
            <v>日付</v>
          </cell>
          <cell r="H13">
            <v>8</v>
          </cell>
        </row>
        <row r="14">
          <cell r="C14" t="str">
            <v>○</v>
          </cell>
          <cell r="D14" t="str">
            <v>最低発注数</v>
          </cell>
        </row>
        <row r="14">
          <cell r="F14" t="str">
            <v>0～99999999</v>
          </cell>
          <cell r="G14" t="str">
            <v>整数値</v>
          </cell>
          <cell r="H14">
            <v>8</v>
          </cell>
        </row>
        <row r="15">
          <cell r="C15" t="str">
            <v>○</v>
          </cell>
          <cell r="D15" t="str">
            <v>発注単位</v>
          </cell>
        </row>
        <row r="15">
          <cell r="F15" t="str">
            <v>1～99999999</v>
          </cell>
          <cell r="G15" t="str">
            <v>整数値</v>
          </cell>
          <cell r="H15">
            <v>8</v>
          </cell>
        </row>
        <row r="16">
          <cell r="C16" t="str">
            <v>○</v>
          </cell>
          <cell r="D16" t="str">
            <v>削除フラグ</v>
          </cell>
        </row>
        <row r="16">
          <cell r="F16" t="str">
            <v>0：登録・更新、1：削除</v>
          </cell>
          <cell r="G16" t="str">
            <v>整数値</v>
          </cell>
          <cell r="H16">
            <v>1</v>
          </cell>
        </row>
        <row r="17">
          <cell r="G17" t="str">
            <v>文字</v>
          </cell>
          <cell r="H17">
            <v>100</v>
          </cell>
        </row>
        <row r="18">
          <cell r="F18" t="str">
            <v>01:仕入先店別配送（直納）,02:センター在庫・店別出荷,03:一括仕入店別分荷</v>
          </cell>
          <cell r="G18" t="str">
            <v>文字</v>
          </cell>
          <cell r="H18">
            <v>100</v>
          </cell>
        </row>
        <row r="19">
          <cell r="D19" t="str">
            <v>予備3</v>
          </cell>
        </row>
        <row r="19">
          <cell r="G19" t="str">
            <v>文字</v>
          </cell>
          <cell r="H19">
            <v>100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id="1" name="テーブル5" displayName="テーブル5" ref="J10:N23" totalsRowShown="0">
  <autoFilter xmlns:etc="http://www.wps.cn/officeDocument/2017/etCustomData" ref="J10:N23" etc:filterBottomFollowUsedRange="0"/>
  <tableColumns count="5">
    <tableColumn id="1" name="Key" dataDxfId="0">
      <calculatedColumnFormula>[1]IF030_01!B7</calculatedColumnFormula>
    </tableColumn>
    <tableColumn id="2" name="必須" dataDxfId="1">
      <calculatedColumnFormula>[1]IF030_01!C7</calculatedColumnFormula>
    </tableColumn>
    <tableColumn id="3" name="データ型" dataDxfId="2">
      <calculatedColumnFormula>[1]IF030_01!G7</calculatedColumnFormula>
    </tableColumn>
    <tableColumn id="4" name="最大桁数" dataDxfId="3">
      <calculatedColumnFormula>[1]IF030_01!H7</calculatedColumnFormula>
    </tableColumn>
    <tableColumn id="5" name="区分・範囲" dataDxfId="4">
      <calculatedColumnFormula>[1]IF030_01!F7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テーブル4" displayName="テーブル4" ref="B10:C23" totalsRowShown="0">
  <autoFilter xmlns:etc="http://www.wps.cn/officeDocument/2017/etCustomData" ref="B10:C23" etc:filterBottomFollowUsedRange="0"/>
  <tableColumns count="2">
    <tableColumn id="1" name="No" dataDxfId="5"/>
    <tableColumn id="2" name="R6項目名" dataDxfId="6">
      <calculatedColumnFormula>[1]IF030_01!D7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9"/>
  <sheetViews>
    <sheetView showGridLines="0" tabSelected="1" workbookViewId="0">
      <pane ySplit="3" topLeftCell="A4" activePane="bottomLeft" state="frozen"/>
      <selection/>
      <selection pane="bottomLeft" activeCell="M6" sqref="M6"/>
    </sheetView>
  </sheetViews>
  <sheetFormatPr defaultColWidth="14.4285714285714" defaultRowHeight="15" customHeight="1"/>
  <cols>
    <col min="1" max="1" width="6.71428571428571" style="71" customWidth="1"/>
    <col min="2" max="2" width="4.14285714285714" style="71" customWidth="1"/>
    <col min="3" max="3" width="20" style="71" customWidth="1"/>
    <col min="4" max="5" width="16" style="71" customWidth="1"/>
    <col min="6" max="6" width="28" style="71" customWidth="1"/>
    <col min="7" max="7" width="14" style="71" customWidth="1"/>
    <col min="8" max="8" width="7" style="71" customWidth="1"/>
    <col min="9" max="9" width="55" style="71" customWidth="1"/>
    <col min="10" max="10" width="8.71428571428571" style="71" customWidth="1"/>
    <col min="11" max="11" width="43.8571428571429" style="71" customWidth="1"/>
    <col min="12" max="27" width="8.71428571428571" style="71" customWidth="1"/>
    <col min="28" max="16384" width="14.4285714285714" style="71"/>
  </cols>
  <sheetData>
    <row r="1" ht="24" customHeight="1" spans="1:11">
      <c r="A1" s="72" t="s">
        <v>0</v>
      </c>
      <c r="B1" s="73"/>
      <c r="C1" s="73"/>
      <c r="D1" s="73"/>
      <c r="E1" s="73"/>
      <c r="F1" s="73"/>
      <c r="G1" s="73"/>
      <c r="H1" s="73"/>
      <c r="I1" s="73"/>
    </row>
    <row r="2" ht="15.75" customHeight="1" spans="1:11">
      <c r="A2" s="74" t="s">
        <v>1</v>
      </c>
      <c r="B2" s="73"/>
      <c r="C2" s="73"/>
      <c r="D2" s="73"/>
      <c r="E2" s="73"/>
      <c r="F2" s="73"/>
      <c r="G2" s="73"/>
      <c r="H2" s="73"/>
      <c r="I2" s="73"/>
    </row>
    <row r="3" ht="27.75" customHeight="1" spans="1:11">
      <c r="A3" s="75" t="s">
        <v>2</v>
      </c>
      <c r="B3" s="75" t="s">
        <v>3</v>
      </c>
      <c r="C3" s="75" t="s">
        <v>4</v>
      </c>
      <c r="D3" s="75" t="s">
        <v>5</v>
      </c>
      <c r="E3" s="76" t="s">
        <v>6</v>
      </c>
      <c r="F3" s="75" t="s">
        <v>7</v>
      </c>
      <c r="G3" s="75" t="s">
        <v>8</v>
      </c>
      <c r="H3" s="75" t="s">
        <v>9</v>
      </c>
      <c r="I3" s="75" t="s">
        <v>10</v>
      </c>
    </row>
    <row r="4" ht="27" customHeight="1" spans="1:11">
      <c r="A4" s="77"/>
      <c r="B4" s="77"/>
      <c r="C4" s="77" t="s">
        <v>11</v>
      </c>
      <c r="D4" s="77"/>
      <c r="E4" s="77"/>
      <c r="F4" s="77"/>
      <c r="G4" s="78"/>
      <c r="H4" s="77"/>
      <c r="I4" s="77"/>
    </row>
    <row r="5" ht="49.5" customHeight="1" spans="1:11">
      <c r="A5" s="79" t="s">
        <v>12</v>
      </c>
      <c r="B5" s="79" t="s">
        <v>13</v>
      </c>
      <c r="C5" s="79" t="s">
        <v>14</v>
      </c>
      <c r="D5" s="79" t="s">
        <v>15</v>
      </c>
      <c r="E5" s="79"/>
      <c r="F5" s="79" t="s">
        <v>14</v>
      </c>
      <c r="G5" s="80" t="s">
        <v>16</v>
      </c>
      <c r="H5" s="81" t="s">
        <v>17</v>
      </c>
      <c r="I5" s="82" t="s">
        <v>18</v>
      </c>
      <c r="K5" s="83" t="s">
        <v>19</v>
      </c>
    </row>
    <row r="6" ht="49.5" customHeight="1" spans="1:11">
      <c r="A6" s="79" t="s">
        <v>20</v>
      </c>
      <c r="B6" s="79" t="s">
        <v>13</v>
      </c>
      <c r="C6" s="79" t="s">
        <v>21</v>
      </c>
      <c r="D6" s="79" t="s">
        <v>15</v>
      </c>
      <c r="E6" s="79"/>
      <c r="F6" s="79" t="s">
        <v>21</v>
      </c>
      <c r="G6" s="80" t="s">
        <v>22</v>
      </c>
      <c r="H6" s="84" t="s">
        <v>17</v>
      </c>
      <c r="I6" s="85" t="s">
        <v>23</v>
      </c>
      <c r="K6" s="83"/>
    </row>
    <row r="7" ht="15.75" customHeight="1" spans="1:11">
      <c r="A7" s="77"/>
      <c r="B7" s="77"/>
      <c r="C7" s="77" t="s">
        <v>24</v>
      </c>
      <c r="D7" s="77"/>
      <c r="E7" s="77"/>
      <c r="F7" s="77"/>
      <c r="G7" s="78"/>
      <c r="H7" s="77"/>
      <c r="I7" s="77"/>
    </row>
    <row r="8" ht="60" customHeight="1" spans="1:11">
      <c r="A8" s="79" t="s">
        <v>25</v>
      </c>
      <c r="B8" s="79" t="s">
        <v>13</v>
      </c>
      <c r="C8" s="79" t="s">
        <v>26</v>
      </c>
      <c r="D8" s="79" t="s">
        <v>15</v>
      </c>
      <c r="E8" s="79"/>
      <c r="F8" s="79" t="s">
        <v>26</v>
      </c>
      <c r="G8" s="80" t="s">
        <v>27</v>
      </c>
      <c r="H8" s="81" t="s">
        <v>17</v>
      </c>
      <c r="I8" s="86" t="s">
        <v>28</v>
      </c>
    </row>
    <row r="9" ht="49.5" customHeight="1" spans="1:11">
      <c r="A9" s="79" t="s">
        <v>29</v>
      </c>
      <c r="B9" s="79" t="s">
        <v>13</v>
      </c>
      <c r="C9" s="79" t="s">
        <v>30</v>
      </c>
      <c r="D9" s="79" t="s">
        <v>31</v>
      </c>
      <c r="E9" s="79" t="s">
        <v>32</v>
      </c>
      <c r="F9" s="79" t="s">
        <v>33</v>
      </c>
      <c r="G9" s="80" t="s">
        <v>34</v>
      </c>
      <c r="H9" s="87" t="s">
        <v>35</v>
      </c>
      <c r="I9" s="88" t="s">
        <v>36</v>
      </c>
    </row>
    <row r="10" ht="49.5" customHeight="1" spans="1:11">
      <c r="A10" s="79" t="s">
        <v>37</v>
      </c>
      <c r="B10" s="79" t="s">
        <v>13</v>
      </c>
      <c r="C10" s="79" t="s">
        <v>38</v>
      </c>
      <c r="D10" s="79" t="s">
        <v>31</v>
      </c>
      <c r="E10" s="79" t="s">
        <v>32</v>
      </c>
      <c r="F10" s="79" t="s">
        <v>39</v>
      </c>
      <c r="G10" s="80" t="s">
        <v>34</v>
      </c>
      <c r="H10" s="81" t="s">
        <v>17</v>
      </c>
      <c r="I10" s="86" t="s">
        <v>40</v>
      </c>
    </row>
    <row r="11" ht="15.75" customHeight="1" spans="1:11">
      <c r="A11" s="77"/>
      <c r="B11" s="77"/>
      <c r="C11" s="77" t="s">
        <v>41</v>
      </c>
      <c r="D11" s="77"/>
      <c r="E11" s="77"/>
      <c r="F11" s="77"/>
      <c r="G11" s="78"/>
      <c r="H11" s="77"/>
      <c r="I11" s="77"/>
    </row>
    <row r="12" ht="49.5" customHeight="1" spans="1:11">
      <c r="A12" s="79" t="s">
        <v>42</v>
      </c>
      <c r="B12" s="79"/>
      <c r="C12" s="79" t="s">
        <v>43</v>
      </c>
      <c r="D12" s="79" t="s">
        <v>44</v>
      </c>
      <c r="E12" s="79" t="s">
        <v>45</v>
      </c>
      <c r="F12" s="79" t="s">
        <v>43</v>
      </c>
      <c r="G12" s="80" t="s">
        <v>44</v>
      </c>
      <c r="H12" s="89" t="s">
        <v>35</v>
      </c>
      <c r="I12" s="88" t="s">
        <v>46</v>
      </c>
    </row>
    <row r="13" ht="49.5" customHeight="1" spans="1:11">
      <c r="A13" s="79" t="s">
        <v>47</v>
      </c>
      <c r="B13" s="79"/>
      <c r="C13" s="79" t="s">
        <v>48</v>
      </c>
      <c r="D13" s="79" t="s">
        <v>44</v>
      </c>
      <c r="E13" s="79" t="s">
        <v>45</v>
      </c>
      <c r="F13" s="79" t="s">
        <v>48</v>
      </c>
      <c r="G13" s="80" t="s">
        <v>44</v>
      </c>
      <c r="H13" s="89" t="s">
        <v>35</v>
      </c>
      <c r="I13" s="88" t="s">
        <v>46</v>
      </c>
    </row>
    <row r="14" ht="15.75" customHeight="1" spans="1:11">
      <c r="A14" s="77"/>
      <c r="B14" s="77"/>
      <c r="C14" s="77" t="s">
        <v>49</v>
      </c>
      <c r="D14" s="77"/>
      <c r="E14" s="77"/>
      <c r="F14" s="77"/>
      <c r="G14" s="78"/>
      <c r="H14" s="77"/>
      <c r="I14" s="77"/>
    </row>
    <row r="15" ht="49.5" customHeight="1" spans="1:11">
      <c r="A15" s="79" t="s">
        <v>50</v>
      </c>
      <c r="B15" s="79" t="s">
        <v>13</v>
      </c>
      <c r="C15" s="79" t="s">
        <v>51</v>
      </c>
      <c r="D15" s="79" t="s">
        <v>52</v>
      </c>
      <c r="E15" s="79" t="s">
        <v>53</v>
      </c>
      <c r="F15" s="79" t="s">
        <v>54</v>
      </c>
      <c r="G15" s="80" t="s">
        <v>55</v>
      </c>
      <c r="H15" s="87" t="s">
        <v>17</v>
      </c>
      <c r="I15" s="88"/>
      <c r="J15" s="71" t="s">
        <v>56</v>
      </c>
    </row>
    <row r="16" ht="49.5" customHeight="1" spans="1:11">
      <c r="A16" s="79" t="s">
        <v>57</v>
      </c>
      <c r="B16" s="79" t="s">
        <v>13</v>
      </c>
      <c r="C16" s="79" t="s">
        <v>58</v>
      </c>
      <c r="D16" s="79" t="s">
        <v>52</v>
      </c>
      <c r="E16" s="79" t="s">
        <v>59</v>
      </c>
      <c r="F16" s="79" t="s">
        <v>60</v>
      </c>
      <c r="G16" s="80" t="s">
        <v>55</v>
      </c>
      <c r="H16" s="89" t="s">
        <v>35</v>
      </c>
      <c r="I16" s="88" t="s">
        <v>61</v>
      </c>
      <c r="J16" s="71" t="s">
        <v>56</v>
      </c>
    </row>
    <row r="17" ht="28" customHeight="1" spans="1:9">
      <c r="A17" s="77"/>
      <c r="B17" s="77"/>
      <c r="C17" s="77" t="s">
        <v>62</v>
      </c>
      <c r="D17" s="77"/>
      <c r="E17" s="77"/>
      <c r="F17" s="77"/>
      <c r="G17" s="78"/>
      <c r="H17" s="77"/>
      <c r="I17" s="77"/>
    </row>
    <row r="18" ht="49.5" customHeight="1" spans="1:9">
      <c r="A18" s="79" t="s">
        <v>63</v>
      </c>
      <c r="B18" s="79" t="s">
        <v>13</v>
      </c>
      <c r="C18" s="79" t="s">
        <v>64</v>
      </c>
      <c r="D18" s="79" t="s">
        <v>65</v>
      </c>
      <c r="E18" s="79" t="s">
        <v>66</v>
      </c>
      <c r="F18" s="79"/>
      <c r="G18" s="80" t="s">
        <v>67</v>
      </c>
      <c r="H18" s="81" t="s">
        <v>17</v>
      </c>
      <c r="I18" s="82" t="s">
        <v>68</v>
      </c>
    </row>
    <row r="19" ht="15.75" customHeight="1" spans="1:9">
      <c r="A19" s="77"/>
      <c r="B19" s="77"/>
      <c r="C19" s="77" t="s">
        <v>69</v>
      </c>
      <c r="D19" s="77"/>
      <c r="E19" s="77"/>
      <c r="F19" s="77"/>
      <c r="G19" s="78"/>
      <c r="H19" s="77"/>
      <c r="I19" s="77"/>
    </row>
    <row r="20" ht="49.5" customHeight="1" spans="1:9">
      <c r="A20" s="79" t="s">
        <v>70</v>
      </c>
      <c r="B20" s="79"/>
      <c r="C20" s="79" t="s">
        <v>71</v>
      </c>
      <c r="D20" s="79" t="s">
        <v>15</v>
      </c>
      <c r="E20" s="79" t="s">
        <v>72</v>
      </c>
      <c r="F20" s="90" t="s">
        <v>73</v>
      </c>
      <c r="G20" s="80" t="s">
        <v>55</v>
      </c>
      <c r="H20" s="81" t="s">
        <v>17</v>
      </c>
      <c r="I20" s="86" t="s">
        <v>74</v>
      </c>
    </row>
    <row r="21" ht="49.5" customHeight="1" spans="1:9">
      <c r="A21" s="79" t="s">
        <v>75</v>
      </c>
      <c r="B21" s="79"/>
      <c r="C21" s="79" t="s">
        <v>76</v>
      </c>
      <c r="D21" s="79" t="s">
        <v>15</v>
      </c>
      <c r="E21" s="79" t="s">
        <v>77</v>
      </c>
      <c r="F21" s="79" t="s">
        <v>78</v>
      </c>
      <c r="G21" s="80" t="s">
        <v>79</v>
      </c>
      <c r="H21" s="81" t="s">
        <v>17</v>
      </c>
      <c r="I21" s="86" t="s">
        <v>80</v>
      </c>
    </row>
    <row r="22" ht="49.5" customHeight="1" spans="1:9">
      <c r="A22" s="79" t="s">
        <v>81</v>
      </c>
      <c r="B22" s="79"/>
      <c r="C22" s="79" t="s">
        <v>82</v>
      </c>
      <c r="D22" s="79" t="s">
        <v>15</v>
      </c>
      <c r="E22" s="79" t="s">
        <v>72</v>
      </c>
      <c r="F22" s="79" t="s">
        <v>83</v>
      </c>
      <c r="G22" s="80" t="s">
        <v>83</v>
      </c>
      <c r="H22" s="91" t="s">
        <v>83</v>
      </c>
      <c r="I22" s="92" t="s">
        <v>84</v>
      </c>
    </row>
    <row r="23" ht="15.75" customHeight="1" spans="1:9">
      <c r="I23" s="9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I1"/>
    <mergeCell ref="A2:I2"/>
    <mergeCell ref="K5:K6"/>
  </mergeCells>
  <pageMargins left="0.75" right="0.75" top="1" bottom="1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34"/>
  <sheetViews>
    <sheetView showGridLines="0" workbookViewId="0">
      <selection activeCell="E21" sqref="E21"/>
    </sheetView>
  </sheetViews>
  <sheetFormatPr defaultColWidth="10.2857142857143" defaultRowHeight="18.75"/>
  <cols>
    <col min="1" max="1" width="1.23809523809524" style="3" customWidth="1"/>
    <col min="2" max="2" width="6" style="3" customWidth="1"/>
    <col min="3" max="3" width="19.5238095238095" style="3" customWidth="1"/>
    <col min="4" max="4" width="34.6666666666667" style="3" customWidth="1"/>
    <col min="5" max="5" width="38.2857142857143" style="3" customWidth="1"/>
    <col min="6" max="6" width="10.2857142857143" style="3"/>
    <col min="7" max="7" width="22.0952380952381" style="3" customWidth="1"/>
    <col min="8" max="8" width="14.3809523809524" style="3" customWidth="1"/>
    <col min="9" max="9" width="12.0952380952381" style="3" customWidth="1"/>
    <col min="10" max="11" width="7.71428571428571" style="3" customWidth="1"/>
    <col min="12" max="12" width="10.2857142857143" style="3"/>
    <col min="13" max="13" width="11.1428571428571" style="3" customWidth="1"/>
    <col min="14" max="14" width="43.4285714285714" style="3" customWidth="1"/>
    <col min="15" max="15" width="47.5238095238095" style="3" customWidth="1"/>
    <col min="16" max="16384" width="10.2857142857143" style="3"/>
  </cols>
  <sheetData>
    <row r="1" ht="9.65" customHeight="1"/>
    <row r="2" s="1" customFormat="1" ht="18" customHeight="1" spans="2:19">
      <c r="B2" s="4" t="s">
        <v>85</v>
      </c>
      <c r="C2" s="5"/>
      <c r="D2" s="6" t="s">
        <v>86</v>
      </c>
      <c r="E2" s="7"/>
      <c r="F2" s="8" t="s">
        <v>87</v>
      </c>
      <c r="G2" s="8"/>
      <c r="H2" s="8"/>
      <c r="I2" s="8"/>
      <c r="J2" s="8"/>
      <c r="K2" s="8"/>
      <c r="L2" s="8"/>
      <c r="M2" s="8"/>
      <c r="N2" s="8"/>
      <c r="O2" s="7"/>
      <c r="P2" s="2"/>
      <c r="Q2" s="2"/>
      <c r="R2" s="2"/>
      <c r="S2" s="2"/>
    </row>
    <row r="3" s="1" customFormat="1" ht="18" customHeight="1" spans="2:19">
      <c r="B3" s="9"/>
      <c r="C3" s="10"/>
      <c r="D3" s="11" t="str">
        <f>[1]IF030_01!D1</f>
        <v>店舗商品マスタ</v>
      </c>
      <c r="E3" s="12"/>
      <c r="F3" s="13" t="str">
        <f>[1]IF030_01!C4</f>
        <v>基幹システムのデータベースより、商品の店舗別情報を連携してください。(削除フラグ対応版)</v>
      </c>
      <c r="G3" s="14"/>
      <c r="H3" s="14"/>
      <c r="I3" s="14"/>
      <c r="J3" s="14"/>
      <c r="K3" s="14"/>
      <c r="L3" s="14"/>
      <c r="M3" s="14"/>
      <c r="N3" s="14"/>
      <c r="O3" s="15"/>
      <c r="P3" s="2"/>
      <c r="Q3" s="2"/>
      <c r="R3" s="2"/>
      <c r="S3" s="2"/>
    </row>
    <row r="4" s="2" customFormat="1" ht="18" customHeight="1" spans="2:19">
      <c r="B4" s="16"/>
      <c r="C4" s="17"/>
      <c r="D4" s="18"/>
      <c r="E4" s="19"/>
      <c r="F4" s="20"/>
      <c r="G4" s="21"/>
      <c r="H4" s="21"/>
      <c r="I4" s="21"/>
      <c r="J4" s="21"/>
      <c r="K4" s="21"/>
      <c r="L4" s="21"/>
      <c r="M4" s="21"/>
      <c r="N4" s="21"/>
      <c r="O4" s="22"/>
    </row>
    <row r="5" s="2" customFormat="1" ht="17.5" customHeight="1" spans="2:19">
      <c r="F5" s="6" t="s">
        <v>88</v>
      </c>
      <c r="G5" s="7"/>
      <c r="H5" s="8"/>
      <c r="I5" s="8"/>
      <c r="J5" s="6" t="s">
        <v>89</v>
      </c>
      <c r="K5" s="7"/>
      <c r="L5" s="6" t="s">
        <v>90</v>
      </c>
      <c r="M5" s="7"/>
      <c r="N5" s="6" t="s">
        <v>91</v>
      </c>
      <c r="O5" s="7"/>
    </row>
    <row r="6" s="2" customFormat="1" ht="18.65" customHeight="1" spans="2:19">
      <c r="F6" s="23" t="str">
        <f>[1]IF030_01!D2</f>
        <v>store_item_mst.txt</v>
      </c>
      <c r="G6" s="24"/>
      <c r="H6" s="25"/>
      <c r="I6" s="25"/>
      <c r="J6" s="23" t="s">
        <v>92</v>
      </c>
      <c r="K6" s="24"/>
      <c r="L6" s="26"/>
      <c r="M6" s="27"/>
      <c r="N6" s="28"/>
      <c r="O6" s="29"/>
    </row>
    <row r="7" ht="21" spans="2:19">
      <c r="B7" s="30" t="s">
        <v>93</v>
      </c>
      <c r="C7" s="2"/>
      <c r="D7" s="2"/>
      <c r="E7" s="2"/>
      <c r="F7" s="31"/>
      <c r="G7" s="31"/>
      <c r="H7" s="31"/>
      <c r="I7" s="31"/>
      <c r="J7" s="31"/>
      <c r="K7" s="31"/>
      <c r="L7" s="32"/>
      <c r="M7" s="32"/>
      <c r="N7" s="33"/>
      <c r="O7" s="32"/>
    </row>
    <row r="8" spans="2:19">
      <c r="B8" s="34"/>
      <c r="C8" s="2"/>
      <c r="D8" s="2"/>
      <c r="E8" s="2"/>
      <c r="F8" s="2"/>
      <c r="G8" s="2"/>
      <c r="H8" s="2"/>
      <c r="I8" s="2"/>
      <c r="J8" s="2"/>
      <c r="K8" s="2"/>
      <c r="L8" s="32"/>
      <c r="M8" s="32"/>
      <c r="N8" s="33"/>
      <c r="O8" s="32"/>
    </row>
    <row r="9" spans="2:19">
      <c r="B9" s="35"/>
      <c r="C9" s="36"/>
      <c r="D9" s="37" t="s">
        <v>94</v>
      </c>
      <c r="E9" s="38"/>
      <c r="F9" s="39"/>
      <c r="G9" s="39"/>
      <c r="H9" s="39"/>
      <c r="I9" s="39"/>
      <c r="J9" s="39"/>
      <c r="K9" s="39"/>
      <c r="L9" s="39"/>
      <c r="M9" s="39"/>
      <c r="N9" s="40"/>
      <c r="O9" s="41"/>
    </row>
    <row r="10" spans="2:19">
      <c r="B10" s="42" t="s">
        <v>95</v>
      </c>
      <c r="C10" s="42" t="s">
        <v>96</v>
      </c>
      <c r="D10" s="43" t="s">
        <v>97</v>
      </c>
      <c r="E10" s="44" t="s">
        <v>98</v>
      </c>
      <c r="F10" s="44" t="s">
        <v>99</v>
      </c>
      <c r="G10" s="45" t="s">
        <v>100</v>
      </c>
      <c r="H10" s="44" t="s">
        <v>101</v>
      </c>
      <c r="I10" s="44" t="s">
        <v>102</v>
      </c>
      <c r="J10" s="46" t="s">
        <v>103</v>
      </c>
      <c r="K10" s="42" t="s">
        <v>3</v>
      </c>
      <c r="L10" s="42" t="s">
        <v>104</v>
      </c>
      <c r="M10" s="42" t="s">
        <v>105</v>
      </c>
      <c r="N10" s="47" t="s">
        <v>106</v>
      </c>
      <c r="O10" s="43" t="s">
        <v>107</v>
      </c>
    </row>
    <row r="11" spans="2:19">
      <c r="B11" s="48">
        <v>1</v>
      </c>
      <c r="C11" s="48" t="str">
        <f>[1]IF030_01!D7</f>
        <v>店舗コード</v>
      </c>
      <c r="D11" s="49" t="s">
        <v>108</v>
      </c>
      <c r="E11" s="50" t="s">
        <v>109</v>
      </c>
      <c r="F11" s="51"/>
      <c r="G11" s="52"/>
      <c r="H11" s="52" t="s">
        <v>110</v>
      </c>
      <c r="I11" s="52" t="s">
        <v>42</v>
      </c>
      <c r="J11" s="53" t="str">
        <f>[1]IF030_01!B7</f>
        <v>ｷｰ</v>
      </c>
      <c r="K11" s="53" t="str">
        <f>[1]IF030_01!C7</f>
        <v>○</v>
      </c>
      <c r="L11" s="53" t="str">
        <f>[1]IF030_01!G7</f>
        <v>文字</v>
      </c>
      <c r="M11" s="53">
        <f>[1]IF030_01!H7</f>
        <v>100</v>
      </c>
      <c r="N11" s="54">
        <f>[1]IF030_01!F7</f>
        <v>0</v>
      </c>
      <c r="O11" s="55"/>
    </row>
    <row r="12" spans="2:19">
      <c r="B12" s="48">
        <v>2</v>
      </c>
      <c r="C12" s="48" t="str">
        <f>[1]IF030_01!D8</f>
        <v>商品コード</v>
      </c>
      <c r="D12" s="49" t="s">
        <v>108</v>
      </c>
      <c r="E12" s="56" t="s">
        <v>111</v>
      </c>
      <c r="F12" s="51"/>
      <c r="G12" s="52"/>
      <c r="H12" s="52" t="s">
        <v>110</v>
      </c>
      <c r="I12" s="52" t="s">
        <v>112</v>
      </c>
      <c r="J12" s="53" t="str">
        <f>[1]IF030_01!B8</f>
        <v>ｷｰ</v>
      </c>
      <c r="K12" s="53" t="str">
        <f>[1]IF030_01!C8</f>
        <v>○</v>
      </c>
      <c r="L12" s="53" t="str">
        <f>[1]IF030_01!G8</f>
        <v>文字</v>
      </c>
      <c r="M12" s="53">
        <f>[1]IF030_01!H8</f>
        <v>100</v>
      </c>
      <c r="N12" s="54">
        <f>[1]IF030_01!F8</f>
        <v>0</v>
      </c>
      <c r="O12" s="57"/>
    </row>
    <row r="13" spans="2:19">
      <c r="B13" s="48">
        <v>3</v>
      </c>
      <c r="C13" s="48" t="str">
        <f>[1]IF030_01!D9</f>
        <v>仕入先コード</v>
      </c>
      <c r="D13" s="49" t="s">
        <v>108</v>
      </c>
      <c r="E13" s="50" t="s">
        <v>113</v>
      </c>
      <c r="F13" s="51"/>
      <c r="G13" s="52"/>
      <c r="H13" s="52" t="s">
        <v>110</v>
      </c>
      <c r="I13" s="52" t="s">
        <v>114</v>
      </c>
      <c r="J13" s="53">
        <f>[1]IF030_01!B9</f>
        <v>0</v>
      </c>
      <c r="K13" s="53" t="str">
        <f>[1]IF030_01!C9</f>
        <v>○</v>
      </c>
      <c r="L13" s="53" t="str">
        <f>[1]IF030_01!G9</f>
        <v>文字</v>
      </c>
      <c r="M13" s="53">
        <f>[1]IF030_01!H9</f>
        <v>100</v>
      </c>
      <c r="N13" s="54">
        <f>[1]IF030_01!F9</f>
        <v>0</v>
      </c>
      <c r="O13" s="58"/>
    </row>
    <row r="14" spans="2:19">
      <c r="B14" s="48">
        <v>4</v>
      </c>
      <c r="C14" s="48" t="str">
        <f>[1]IF030_01!D10</f>
        <v>標準仕入単価</v>
      </c>
      <c r="D14" s="49" t="s">
        <v>108</v>
      </c>
      <c r="E14" s="56" t="s">
        <v>115</v>
      </c>
      <c r="F14" s="51"/>
      <c r="G14" s="52"/>
      <c r="H14" s="52" t="s">
        <v>116</v>
      </c>
      <c r="I14" s="52" t="s">
        <v>117</v>
      </c>
      <c r="J14" s="53">
        <f>[1]IF030_01!B10</f>
        <v>0</v>
      </c>
      <c r="K14" s="53" t="str">
        <f>[1]IF030_01!C10</f>
        <v>○</v>
      </c>
      <c r="L14" s="53" t="str">
        <f>[1]IF030_01!G10</f>
        <v>数値(8,2)</v>
      </c>
      <c r="M14" s="53">
        <f>[1]IF030_01!H10</f>
        <v>11</v>
      </c>
      <c r="N14" s="54" t="str">
        <f>[1]IF030_01!F10</f>
        <v>0.01～99999999.99</v>
      </c>
      <c r="O14" s="58"/>
    </row>
    <row r="15" spans="2:19">
      <c r="B15" s="48">
        <v>5</v>
      </c>
      <c r="C15" s="48" t="str">
        <f>[1]IF030_01!D11</f>
        <v>標準売価（税抜）</v>
      </c>
      <c r="D15" s="49" t="s">
        <v>108</v>
      </c>
      <c r="E15" s="59" t="s">
        <v>118</v>
      </c>
      <c r="F15" s="60"/>
      <c r="G15" s="61"/>
      <c r="H15" s="52" t="s">
        <v>116</v>
      </c>
      <c r="I15" s="52" t="s">
        <v>47</v>
      </c>
      <c r="J15" s="53">
        <f>[1]IF030_01!B11</f>
        <v>0</v>
      </c>
      <c r="K15" s="53" t="str">
        <f>[1]IF030_01!C11</f>
        <v>○</v>
      </c>
      <c r="L15" s="53" t="str">
        <f>[1]IF030_01!G11</f>
        <v>数値(8,2)</v>
      </c>
      <c r="M15" s="53">
        <f>[1]IF030_01!H11</f>
        <v>11</v>
      </c>
      <c r="N15" s="54" t="str">
        <f>[1]IF030_01!F11</f>
        <v>0.01～99999999.99</v>
      </c>
      <c r="O15" s="58"/>
    </row>
    <row r="16" spans="2:19">
      <c r="B16" s="48">
        <v>6</v>
      </c>
      <c r="C16" s="48" t="str">
        <f>[1]IF030_01!D12</f>
        <v>発注開始日</v>
      </c>
      <c r="D16" s="49" t="s">
        <v>108</v>
      </c>
      <c r="E16" s="59" t="s">
        <v>119</v>
      </c>
      <c r="F16" s="60"/>
      <c r="G16" s="61"/>
      <c r="H16" s="52" t="s">
        <v>110</v>
      </c>
      <c r="I16" s="62" t="s">
        <v>50</v>
      </c>
      <c r="J16" s="53">
        <f>[1]IF030_01!B12</f>
        <v>0</v>
      </c>
      <c r="K16" s="53">
        <f>[1]IF030_01!C12</f>
        <v>0</v>
      </c>
      <c r="L16" s="53" t="str">
        <f>[1]IF030_01!G12</f>
        <v>日付</v>
      </c>
      <c r="M16" s="53">
        <f>[1]IF030_01!H12</f>
        <v>8</v>
      </c>
      <c r="N16" s="54" t="str">
        <f>[1]IF030_01!F12</f>
        <v>yyyymmdd形式、未定の場合空文字列</v>
      </c>
      <c r="O16" s="58"/>
    </row>
    <row r="17" spans="2:15">
      <c r="B17" s="48">
        <v>7</v>
      </c>
      <c r="C17" s="48" t="str">
        <f>[1]IF030_01!D13</f>
        <v>発注終了日</v>
      </c>
      <c r="D17" s="49" t="s">
        <v>108</v>
      </c>
      <c r="E17" s="59" t="s">
        <v>120</v>
      </c>
      <c r="F17" s="60"/>
      <c r="G17" s="61"/>
      <c r="H17" s="52" t="s">
        <v>110</v>
      </c>
      <c r="I17" s="62" t="s">
        <v>50</v>
      </c>
      <c r="J17" s="53">
        <f>[1]IF030_01!B13</f>
        <v>0</v>
      </c>
      <c r="K17" s="53">
        <f>[1]IF030_01!C13</f>
        <v>0</v>
      </c>
      <c r="L17" s="53" t="str">
        <f>[1]IF030_01!G13</f>
        <v>日付</v>
      </c>
      <c r="M17" s="53">
        <f>[1]IF030_01!H13</f>
        <v>8</v>
      </c>
      <c r="N17" s="54" t="str">
        <f>[1]IF030_01!F13</f>
        <v>yyyymmdd形式、未定の場合空文字列</v>
      </c>
      <c r="O17" s="58"/>
    </row>
    <row r="18" spans="2:15">
      <c r="B18" s="48">
        <v>8</v>
      </c>
      <c r="C18" s="48" t="str">
        <f>[1]IF030_01!D14</f>
        <v>最低発注数</v>
      </c>
      <c r="D18" s="63"/>
      <c r="E18" s="59"/>
      <c r="F18" s="60">
        <v>1</v>
      </c>
      <c r="G18" s="61"/>
      <c r="H18" s="52"/>
      <c r="I18" s="61"/>
      <c r="J18" s="53">
        <f>[1]IF030_01!B14</f>
        <v>0</v>
      </c>
      <c r="K18" s="53" t="str">
        <f>[1]IF030_01!C14</f>
        <v>○</v>
      </c>
      <c r="L18" s="53" t="str">
        <f>[1]IF030_01!G14</f>
        <v>整数値</v>
      </c>
      <c r="M18" s="53">
        <f>[1]IF030_01!H14</f>
        <v>8</v>
      </c>
      <c r="N18" s="54" t="str">
        <f>[1]IF030_01!F14</f>
        <v>0～99999999</v>
      </c>
      <c r="O18" s="64"/>
    </row>
    <row r="19" spans="2:15">
      <c r="B19" s="48">
        <v>9</v>
      </c>
      <c r="C19" s="48" t="str">
        <f>[1]IF030_01!D15</f>
        <v>発注単位</v>
      </c>
      <c r="D19" s="49" t="s">
        <v>108</v>
      </c>
      <c r="E19" s="56" t="s">
        <v>121</v>
      </c>
      <c r="F19" s="51"/>
      <c r="G19" s="52"/>
      <c r="H19" s="52" t="s">
        <v>116</v>
      </c>
      <c r="I19" s="65" t="s">
        <v>25</v>
      </c>
      <c r="J19" s="53">
        <f>[1]IF030_01!B15</f>
        <v>0</v>
      </c>
      <c r="K19" s="53" t="str">
        <f>[1]IF030_01!C15</f>
        <v>○</v>
      </c>
      <c r="L19" s="53" t="str">
        <f>[1]IF030_01!G15</f>
        <v>整数値</v>
      </c>
      <c r="M19" s="53">
        <f>[1]IF030_01!H15</f>
        <v>8</v>
      </c>
      <c r="N19" s="54" t="str">
        <f>[1]IF030_01!F15</f>
        <v>1～99999999</v>
      </c>
      <c r="O19" s="58"/>
    </row>
    <row r="20" spans="2:15">
      <c r="B20" s="48">
        <v>10</v>
      </c>
      <c r="C20" s="48" t="str">
        <f>[1]IF030_01!D16</f>
        <v>削除フラグ</v>
      </c>
      <c r="D20" s="49" t="s">
        <v>108</v>
      </c>
      <c r="E20" s="56" t="s">
        <v>122</v>
      </c>
      <c r="F20" s="51"/>
      <c r="G20" s="52"/>
      <c r="H20" s="52" t="s">
        <v>116</v>
      </c>
      <c r="I20" s="50">
        <v>1</v>
      </c>
      <c r="J20" s="53">
        <f>[1]IF030_01!B16</f>
        <v>0</v>
      </c>
      <c r="K20" s="53" t="str">
        <f>[1]IF030_01!C16</f>
        <v>○</v>
      </c>
      <c r="L20" s="53" t="str">
        <f>[1]IF030_01!G16</f>
        <v>整数値</v>
      </c>
      <c r="M20" s="53">
        <f>[1]IF030_01!H16</f>
        <v>1</v>
      </c>
      <c r="N20" s="54" t="str">
        <f>[1]IF030_01!F16</f>
        <v>0：登録・更新、1：削除</v>
      </c>
      <c r="O20" s="55"/>
    </row>
    <row r="21" spans="2:15">
      <c r="B21" s="48">
        <v>11</v>
      </c>
      <c r="C21" s="48" t="s">
        <v>71</v>
      </c>
      <c r="D21" s="49" t="s">
        <v>108</v>
      </c>
      <c r="E21" s="56" t="s">
        <v>123</v>
      </c>
      <c r="F21" s="51"/>
      <c r="G21" s="52"/>
      <c r="H21" s="52" t="s">
        <v>110</v>
      </c>
      <c r="I21" s="50">
        <v>6</v>
      </c>
      <c r="J21" s="53">
        <f>[1]IF030_01!B17</f>
        <v>0</v>
      </c>
      <c r="K21" s="53">
        <f>[1]IF030_01!C17</f>
        <v>0</v>
      </c>
      <c r="L21" s="53" t="str">
        <f>[1]IF030_01!G17</f>
        <v>文字</v>
      </c>
      <c r="M21" s="53">
        <f>[1]IF030_01!H17</f>
        <v>100</v>
      </c>
      <c r="N21" s="54">
        <f>[1]IF030_01!F17</f>
        <v>0</v>
      </c>
      <c r="O21" s="57"/>
    </row>
    <row r="22" ht="40.5" customHeight="1" spans="2:15">
      <c r="B22" s="48">
        <v>12</v>
      </c>
      <c r="C22" s="48" t="s">
        <v>76</v>
      </c>
      <c r="D22" s="66" t="s">
        <v>124</v>
      </c>
      <c r="E22" s="56" t="s">
        <v>125</v>
      </c>
      <c r="F22" s="51"/>
      <c r="G22" s="52"/>
      <c r="H22" s="52" t="s">
        <v>110</v>
      </c>
      <c r="I22" s="52" t="s">
        <v>126</v>
      </c>
      <c r="J22" s="53">
        <f>[1]IF030_01!B18</f>
        <v>0</v>
      </c>
      <c r="K22" s="53">
        <f>[1]IF030_01!C18</f>
        <v>0</v>
      </c>
      <c r="L22" s="53" t="str">
        <f>[1]IF030_01!G18</f>
        <v>文字</v>
      </c>
      <c r="M22" s="53">
        <f>[1]IF030_01!H18</f>
        <v>100</v>
      </c>
      <c r="N22" s="54" t="str">
        <f>[1]IF030_01!F18</f>
        <v>01:仕入先店別配送（直納）,02:センター在庫・店別出荷,03:一括仕入店別分荷</v>
      </c>
      <c r="O22" s="67"/>
    </row>
    <row r="23" spans="2:15">
      <c r="B23" s="68">
        <v>13</v>
      </c>
      <c r="C23" s="68" t="str">
        <f>[1]IF030_01!D19</f>
        <v>予備3</v>
      </c>
      <c r="D23" s="66"/>
      <c r="E23" s="56"/>
      <c r="F23" s="51"/>
      <c r="G23" s="52"/>
      <c r="H23" s="52"/>
      <c r="I23" s="52"/>
      <c r="J23" s="69">
        <f>[1]IF030_01!B19</f>
        <v>0</v>
      </c>
      <c r="K23" s="69">
        <f>[1]IF030_01!C19</f>
        <v>0</v>
      </c>
      <c r="L23" s="69" t="str">
        <f>[1]IF030_01!G19</f>
        <v>文字</v>
      </c>
      <c r="M23" s="69">
        <f>[1]IF030_01!H19</f>
        <v>100</v>
      </c>
      <c r="N23" s="70">
        <f>[1]IF030_01!F19</f>
        <v>0</v>
      </c>
      <c r="O23" s="57"/>
    </row>
    <row r="25" spans="2:15">
      <c r="B25" s="3" t="s">
        <v>127</v>
      </c>
    </row>
    <row r="26" spans="2:15">
      <c r="B26" s="3" t="s">
        <v>128</v>
      </c>
    </row>
    <row r="27" spans="2:15">
      <c r="B27" s="3" t="s">
        <v>129</v>
      </c>
    </row>
    <row r="28" spans="2:15">
      <c r="B28" s="3" t="s">
        <v>130</v>
      </c>
    </row>
    <row r="29" spans="2:15">
      <c r="B29" s="3" t="s">
        <v>131</v>
      </c>
    </row>
    <row r="30" spans="2:15">
      <c r="B30" s="3" t="s">
        <v>132</v>
      </c>
    </row>
    <row r="32" spans="2:15">
      <c r="B32" s="3" t="s">
        <v>133</v>
      </c>
    </row>
    <row r="33" spans="2:2">
      <c r="B33" s="3" t="s">
        <v>134</v>
      </c>
    </row>
    <row r="34" spans="2:2">
      <c r="B34" s="3" t="s">
        <v>135</v>
      </c>
    </row>
  </sheetData>
  <mergeCells count="14">
    <mergeCell ref="D2:E2"/>
    <mergeCell ref="F2:O2"/>
    <mergeCell ref="F5:G5"/>
    <mergeCell ref="J5:K5"/>
    <mergeCell ref="L5:M5"/>
    <mergeCell ref="N5:O5"/>
    <mergeCell ref="F6:G6"/>
    <mergeCell ref="J6:K6"/>
    <mergeCell ref="L6:M6"/>
    <mergeCell ref="N6:O6"/>
    <mergeCell ref="D9:E9"/>
    <mergeCell ref="B2:C4"/>
    <mergeCell ref="D3:E4"/>
    <mergeCell ref="F3:O4"/>
  </mergeCell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店舗商品マスタ(store_item_mst.txt)</vt:lpstr>
      <vt:lpstr>マッピング(旧参照用)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WPS_1660625137</cp:lastModifiedBy>
  <dcterms:created xsi:type="dcterms:W3CDTF">2026-05-13T12:04:00Z</dcterms:created>
  <dcterms:modified xsi:type="dcterms:W3CDTF">2026-06-23T23:51:29Z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E6A6C4B9274A41EC9575C53693CD8F40_12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