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40"/>
  </bookViews>
  <sheets>
    <sheet name="①商品マスタ(mst.txt)" sheetId="1" r:id="rId1"/>
    <sheet name="③判定サマリ" sheetId="2" state="hidden" r:id="rId2"/>
    <sheet name="マッピング(旧参照用)" sheetId="3" r:id="rId3"/>
  </sheets>
  <externalReferences>
    <externalReference r:id="rId4"/>
  </externalReferences>
  <definedNames>
    <definedName name="_DF400" hidden="1">{"サーバ別",#N/A,FALSE,"業務改造"}</definedName>
    <definedName name="a" hidden="1">{"サーバ別",#N/A,FALSE,"業務改造"}</definedName>
    <definedName name="a_" hidden="1">{"サーバ別",#N/A,FALSE,"業務改造"}</definedName>
    <definedName name="aa" hidden="1">{#N/A,#N/A,FALSE,"担当"}</definedName>
    <definedName name="aaa" hidden="1">{"Ｍ系全体",#N/A,FALSE,"業務改造";"サーバ別",#N/A,FALSE,"業務改造"}</definedName>
    <definedName name="aaaaa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a" hidden="1">{#N/A,#N/A,FALSE,"担当"}</definedName>
    <definedName name="aaaaaaaa" hidden="1">{"Ｍ系全体",#N/A,FALSE,"業務改造";"サーバ別",#N/A,FALSE,"業務改造"}</definedName>
    <definedName name="ABC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fee" hidden="1">{#N/A,#N/A,FALSE,"担当"}</definedName>
    <definedName name="aher" hidden="1">{"Ｍ系全体",#N/A,FALSE,"業務改造";"サーバ別",#N/A,FALSE,"業務改造"}</definedName>
    <definedName name="avd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ｂｂ" hidden="1">{#N/A,#N/A,FALSE,"担当"}</definedName>
    <definedName name="bbbbb" hidden="1">{#N/A,#N/A,FALSE,"担当"}</definedName>
    <definedName name="b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oo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t" hidden="1">{"Ｍ系全体",#N/A,FALSE,"業務改造";"サーバ別",#N/A,FALSE,"業務改造"}</definedName>
    <definedName name="bvrt" hidden="1">{"サーバ別",#N/A,FALSE,"業務改造"}</definedName>
    <definedName name="da" hidden="1">{"Ｍ系全体",#N/A,FALSE,"業務改造";"担当",#N/A,FALSE,"担当"}</definedName>
    <definedName name="djyg" hidden="1">{"サーバ別",#N/A,FALSE,"業務改造"}</definedName>
    <definedName name="dmhn" hidden="1">{"Ｍ系全体",#N/A,FALSE,"業務改造";"サーバ別",#N/A,FALSE,"業務改造"}</definedName>
    <definedName name="dmng" hidden="1">{"Ｍ系全体",#N/A,FALSE,"業務改造"}</definedName>
    <definedName name="dtmnf" hidden="1">{"Ｍ系全体",#N/A,FALSE,"業務改造";"担当",#N/A,FALSE,"担当"}</definedName>
    <definedName name="ea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at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awt" hidden="1">{"サーバ別",#N/A,FALSE,"業務改造"}</definedName>
    <definedName name="ee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t" hidden="1">{"Ｍ系全体",#N/A,FALSE,"業務改造";"サーバ別",#N/A,FALSE,"業務改造"}</definedName>
    <definedName name="er" hidden="1">{#N/A,#N/A,FALSE,"担当"}</definedName>
    <definedName name="ere" hidden="1">{"サーバ別",#N/A,FALSE,"業務改造"}</definedName>
    <definedName name="ert" hidden="1">{"Ｍ系全体",#N/A,FALSE,"業務改造";"サーバ別",#N/A,FALSE,"業務改造"}</definedName>
    <definedName name="ertjy" hidden="1">{"Ｍ系全体",#N/A,FALSE,"業務改造"}</definedName>
    <definedName name="ertyj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te" hidden="1">{"Ｍ系全体",#N/A,FALSE,"業務改造"}</definedName>
    <definedName name="etrh" hidden="1">{"Ｍ系全体",#N/A,FALSE,"業務改造"}</definedName>
    <definedName name="eytryj" hidden="1">{#N/A,#N/A,FALSE,"担当"}</definedName>
    <definedName name="f" hidden="1">{#N/A,#N/A,FALSE,"担当"}</definedName>
    <definedName name="fa" hidden="1">{#N/A,#N/A,FALSE,"担当"}</definedName>
    <definedName name="faea" hidden="1">{"Ｍ系全体",#N/A,FALSE,"業務改造";"サーバ別",#N/A,FALSE,"業務改造"}</definedName>
    <definedName name="feer" hidden="1">{"Ｍ系全体",#N/A,FALSE,"業務改造";"サーバ別",#N/A,FALSE,"業務改造"}</definedName>
    <definedName name="ｆｆｆ" hidden="1">{"Ｍ系全体",#N/A,FALSE,"業務改造";"サーバ別",#N/A,FALSE,"業務改造"}</definedName>
    <definedName name="ffg" hidden="1">{"Ｍ系全体",#N/A,FALSE,"業務改造";"サーバ別",#N/A,FALSE,"業務改造"}</definedName>
    <definedName name="fgh" hidden="1">{"サーバ別",#N/A,FALSE,"業務改造"}</definedName>
    <definedName name="ft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fyku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aer" hidden="1">{"Ｍ系全体",#N/A,FALSE,"業務改造";"サーバ別",#N/A,FALSE,"業務改造"}</definedName>
    <definedName name="geds" hidden="1">{"Ｍ系全体",#N/A,FALSE,"業務改造"}</definedName>
    <definedName name="gee" hidden="1">{"サーバ別",#N/A,FALSE,"業務改造"}</definedName>
    <definedName name="geer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erera" hidden="1">{"Ｍ系全体",#N/A,FALSE,"業務改造";"サーバ別",#N/A,FALSE,"業務改造"}</definedName>
    <definedName name="ge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r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gr" hidden="1">{"Ｍ系全体",#N/A,FALSE,"業務改造"}</definedName>
    <definedName name="ggre" hidden="1">{"サーバ別",#N/A,FALSE,"業務改造"}</definedName>
    <definedName name="ggres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greshr" hidden="1">{"Ｍ系全体",#N/A,FALSE,"業務改造";"担当",#N/A,FALSE,"担当"}</definedName>
    <definedName name="ha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b" hidden="1">{"Ｍ系全体",#N/A,FALSE,"業務改造";"サーバ別",#N/A,FALSE,"業務改造"}</definedName>
    <definedName name="he" hidden="1">{"Ｍ系全体",#N/A,FALSE,"業務改造"}</definedName>
    <definedName name="hfdr" hidden="1">{#N/A,#N/A,FALSE,"担当"}</definedName>
    <definedName name="hg" hidden="1">{"Ｍ系全体",#N/A,FALSE,"業務改造";"サーバ別",#N/A,FALSE,"業務改造"}</definedName>
    <definedName name="hgf" hidden="1">{"サーバ別",#N/A,FALSE,"業務改造"}</definedName>
    <definedName name="hg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hhhh" hidden="1">{#N/A,#N/A,FALSE,"担当"}</definedName>
    <definedName name="hhrg" hidden="1">{"Ｍ系全体",#N/A,FALSE,"業務改造";"サーバ別",#N/A,FALSE,"業務改造"}</definedName>
    <definedName name="hjg" hidden="1">{"Ｍ系全体",#N/A,FALSE,"業務改造";"サーバ別",#N/A,FALSE,"業務改造"}</definedName>
    <definedName name="hsrd" hidden="1">{#N/A,#N/A,FALSE,"担当"}</definedName>
    <definedName name="hsrtb" hidden="1">{"サーバ別",#N/A,FALSE,"業務改造"}</definedName>
    <definedName name="htht" hidden="1">{#N/A,#N/A,FALSE,"担当"}</definedName>
    <definedName name="hthtr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htr" hidden="1">{"Ｍ系全体",#N/A,FALSE,"業務改造";"サーバ別",#N/A,FALSE,"業務改造"}</definedName>
    <definedName name="htrh" hidden="1">{"サーバ別",#N/A,FALSE,"業務改造"}</definedName>
    <definedName name="iku" hidden="1">{"Ｍ系全体",#N/A,FALSE,"業務改造";"サーバ別",#N/A,FALSE,"業務改造"}</definedName>
    <definedName name="iym" hidden="1">{"サーバ別",#N/A,FALSE,"業務改造"}</definedName>
    <definedName name="jdtr" hidden="1">{"Ｍ系全体",#N/A,FALSE,"業務改造";"担当",#N/A,FALSE,"担当"}</definedName>
    <definedName name="jdyyd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j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jjjj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ktuy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mrfncgv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ndxf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rfg" hidden="1">{"サーバ別",#N/A,FALSE,"業務改造"}</definedName>
    <definedName name="jrnfg" hidden="1">{"Ｍ系全体",#N/A,FALSE,"業務改造";"サーバ別",#N/A,FALSE,"業務改造"}</definedName>
    <definedName name="jryfcghv" hidden="1">{"サーバ別",#N/A,FALSE,"業務改造"}</definedName>
    <definedName name="jtjy" hidden="1">{"Ｍ系全体",#N/A,FALSE,"業務改造";"サーバ別",#N/A,FALSE,"業務改造"}</definedName>
    <definedName name="jtrdgf" hidden="1">{#N/A,#N/A,FALSE,"担当"}</definedName>
    <definedName name="jty" hidden="1">{#N/A,#N/A,FALSE,"担当"}</definedName>
    <definedName name="juj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yjt" hidden="1">{"サーバ別",#N/A,FALSE,"業務改造"}</definedName>
    <definedName name="jytj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ytjy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fun" hidden="1">{"サーバ別",#N/A,FALSE,"業務改造"}</definedName>
    <definedName name="kfymg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kk" hidden="1">{"サーバ別",#N/A,FALSE,"業務改造"}</definedName>
    <definedName name="kkk" hidden="1">{"Ｍ系全体",#N/A,FALSE,"業務改造"}</definedName>
    <definedName name="kkkkkk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tghbn" hidden="1">{"Ｍ系全体",#N/A,FALSE,"業務改造";"サーバ別",#N/A,FALSE,"業務改造"}</definedName>
    <definedName name="ktujgh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" hidden="1">{"Ｍ系全体",#N/A,FALSE,"業務改造";"サーバ別",#N/A,FALSE,"業務改造"}</definedName>
    <definedName name="kufhg" hidden="1">{"Ｍ系全体",#N/A,FALSE,"業務改造"}</definedName>
    <definedName name="kujgh" hidden="1">{#N/A,#N/A,FALSE,"担当"}</definedName>
    <definedName name="kuku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y" hidden="1">{#N/A,#N/A,FALSE,"担当"}</definedName>
    <definedName name="kuy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fu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ugh" hidden="1">{"Ｍ系全体",#N/A,FALSE,"業務改造";"サーバ別",#N/A,FALSE,"業務改造"}</definedName>
    <definedName name="kyumhn" hidden="1">{"Ｍ系全体",#N/A,FALSE,"業務改造";"担当",#N/A,FALSE,"担当"}</definedName>
    <definedName name="kyut" hidden="1">{"Ｍ系全体",#N/A,FALSE,"業務改造";"担当",#N/A,FALSE,"担当"}</definedName>
    <definedName name="l" hidden="1">{"Ｍ系全体",#N/A,FALSE,"業務改造"}</definedName>
    <definedName name="la" hidden="1">{"Ｍ系全体",#N/A,FALSE,"業務改造";"サーバ別",#N/A,FALSE,"業務改造"}</definedName>
    <definedName name="lll" hidden="1">{"Ｍ系全体",#N/A,FALSE,"業務改造";"サーバ別",#N/A,FALSE,"業務改造"}</definedName>
    <definedName name="mfgv" hidden="1">{"Ｍ系全体",#N/A,FALSE,"業務改造"}</definedName>
    <definedName name="mfhn" hidden="1">{"Ｍ系全体",#N/A,FALSE,"業務改造";"サーバ別",#N/A,FALSE,"業務改造"}</definedName>
    <definedName name="mfn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mn" hidden="1">{"サーバ別",#N/A,FALSE,"業務改造"}</definedName>
    <definedName name="mngf" hidden="1">{"Ｍ系全体",#N/A,FALSE,"業務改造";"サーバ別",#N/A,FALSE,"業務改造"}</definedName>
    <definedName name="mngfb" hidden="1">{"Ｍ系全体",#N/A,FALSE,"業務改造";"サーバ別",#N/A,FALSE,"業務改造"}</definedName>
    <definedName name="mygf" hidden="1">{"Ｍ系全体",#N/A,FALSE,"業務改造";"サーバ別",#N/A,FALSE,"業務改造"}</definedName>
    <definedName name="n" hidden="1">{"サーバ別",#N/A,FALSE,"業務改造"}</definedName>
    <definedName name="ngf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OK" hidden="1">{"サーバ別",#N/A,FALSE,"業務改造"}</definedName>
    <definedName name="oo" hidden="1">{"サーバ別",#N/A,FALSE,"業務改造"}</definedName>
    <definedName name="pppp" hidden="1">{#N/A,#N/A,FALSE,"担当"}</definedName>
    <definedName name="q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ｑｑｑｑ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a" hidden="1">{"サーバ別",#N/A,FALSE,"業務改造"}</definedName>
    <definedName name="rea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ate" hidden="1">{"Ｍ系全体",#N/A,FALSE,"業務改造"}</definedName>
    <definedName name="reaw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tea" hidden="1">{"Ｍ系全体",#N/A,FALSE,"業務改造";"サーバ別",#N/A,FALSE,"業務改造"}</definedName>
    <definedName name="rejy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te" hidden="1">{"Ｍ系全体",#N/A,FALSE,"業務改造";"サーバ別",#N/A,FALSE,"業務改造"}</definedName>
    <definedName name="rete" hidden="1">{"サーバ別",#N/A,FALSE,"業務改造"}</definedName>
    <definedName name="reth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ew" hidden="1">{"Ｍ系全体",#N/A,FALSE,"業務改造";"サーバ別",#N/A,FALSE,"業務改造"}</definedName>
    <definedName name="rgf" hidden="1">{"Ｍ系全体",#N/A,FALSE,"業務改造"}</definedName>
    <definedName name="rgrs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kdyythg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ngf" hidden="1">{"サーバ別",#N/A,FALSE,"業務改造"}</definedName>
    <definedName name="r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tuyj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rtyuj" hidden="1">{"Ｍ系全体",#N/A,FALSE,"業務改造";"サーバ別",#N/A,FALSE,"業務改造"}</definedName>
    <definedName name="sas" hidden="1">{"サーバ別",#N/A,FALSE,"業務改造"}</definedName>
    <definedName name="ser" hidden="1">{"Ｍ系全体",#N/A,FALSE,"業務改造";"サーバ別",#N/A,FALSE,"業務改造"}</definedName>
    <definedName name="ｓｓｓｓ" hidden="1">{#N/A,#N/A,FALSE,"担当"}</definedName>
    <definedName name="teate" hidden="1">{"Ｍ系全体",#N/A,FALSE,"業務改造";"担当",#N/A,FALSE,"担当"}</definedName>
    <definedName name="tes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gt" hidden="1">{"サーバ別",#N/A,FALSE,"業務改造"}</definedName>
    <definedName name="tj" hidden="1">{#N/A,#N/A,FALSE,"担当"}</definedName>
    <definedName name="tnf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ryu" hidden="1">{"Ｍ系全体",#N/A,FALSE,"業務改造";"担当",#N/A,FALSE,"担当"}</definedName>
    <definedName name="tt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tttttttt" hidden="1">{#N/A,#N/A,FALSE,"担当"}</definedName>
    <definedName name="tyjkj" hidden="1">{"Ｍ系全体",#N/A,FALSE,"業務改造";"担当",#N/A,FALSE,"担当"}</definedName>
    <definedName name="uk" hidden="1">{"Ｍ系全体",#N/A,FALSE,"業務改造"}</definedName>
    <definedName name="u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uuku" hidden="1">{"サーバ別",#N/A,FALSE,"業務改造"}</definedName>
    <definedName name="uygh" hidden="1">{"サーバ別",#N/A,FALSE,"業務改造"}</definedName>
    <definedName name="ｗ" hidden="1">{"サーバ別",#N/A,FALSE,"業務改造"}</definedName>
    <definedName name="wa" hidden="1">{"Ｍ系全体",#N/A,FALSE,"業務改造";"サーバ別",#N/A,FALSE,"業務改造"}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Ｍ系全体." hidden="1">{"Ｍ系全体",#N/A,FALSE,"業務改造"}</definedName>
    <definedName name="wrn.サーバ別." hidden="1">{"サーバ別",#N/A,FALSE,"業務改造"}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全体andサーバ別." hidden="1">{"Ｍ系全体",#N/A,FALSE,"業務改造";"サーバ別",#N/A,FALSE,"業務改造"}</definedName>
    <definedName name="wrn.全体and担当." hidden="1">{"Ｍ系全体",#N/A,FALSE,"業務改造";"担当",#N/A,FALSE,"担当"}</definedName>
    <definedName name="wrn.担当." hidden="1">{#N/A,#N/A,FALSE,"担当"}</definedName>
    <definedName name="wwe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ww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x" hidden="1">{"Ｍ系全体",#N/A,FALSE,"業務改造";"サーバ別",#N/A,FALSE,"業務改造"}</definedName>
    <definedName name="yfku" hidden="1">{#N/A,#N/A,FALSE,"担当"}</definedName>
    <definedName name="yfumg" hidden="1">{"Ｍ系全体",#N/A,FALSE,"業務改造"}</definedName>
    <definedName name="yimgh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nrh" hidden="1">{"Ｍ系全体",#N/A,FALSE,"業務改造";"サーバ別",#N/A,FALSE,"業務改造"}</definedName>
    <definedName name="yrht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t" hidden="1">{#N/A,#N/A,FALSE,"担当"}</definedName>
    <definedName name="ytujk" hidden="1">{"サーバ別",#N/A,FALSE,"業務改造"}</definedName>
    <definedName name="yy" hidden="1">{"サーバ別",#N/A,FALSE,"業務改造"}</definedName>
    <definedName name="yyyy" hidden="1">{"Ｍ系全体",#N/A,FALSE,"業務改造"}</definedName>
    <definedName name="z" hidden="1">{"Ｍ系全体",#N/A,FALSE,"業務改造"}</definedName>
    <definedName name="zndgf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" hidden="1">{"サーバ別",#N/A,FALSE,"業務改造"}</definedName>
    <definedName name="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ぁ" hidden="1">{"Ｍ系全体",#N/A,FALSE,"業務改造";"担当",#N/A,FALSE,"担当"}</definedName>
    <definedName name="ああ" hidden="1">{#N/A,#N/A,FALSE,"担当"}</definedName>
    <definedName name="ああ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ああ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う" hidden="1">{"サーバ別",#N/A,FALSE,"業務改造"}</definedName>
    <definedName name="いい" hidden="1">{"Ｍ系全体",#N/A,FALSE,"業務改造"}</definedName>
    <definedName name="いいいいいいいいいいいいいいいい" hidden="1">{"サーバ別",#N/A,FALSE,"業務改造"}</definedName>
    <definedName name="う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え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おおお" hidden="1">{"Ｍ系全体",#N/A,FALSE,"業務改造";"サーバ別",#N/A,FALSE,"業務改造"}</definedName>
    <definedName name="かかし" hidden="1">{"Ｍ系全体",#N/A,FALSE,"業務改造";"サーバ別",#N/A,FALSE,"業務改造"}</definedName>
    <definedName name="けいさん" hidden="1">{"サーバ別",#N/A,FALSE,"業務改造"}</definedName>
    <definedName name="コンフィグ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すすす" hidden="1">{"Ｍ系全体",#N/A,FALSE,"業務改造";"サーバ別",#N/A,FALSE,"業務改造"}</definedName>
    <definedName name="だ" hidden="1">{"Ｍ系全体",#N/A,FALSE,"業務改造";"サーバ別",#N/A,FALSE,"業務改造"}</definedName>
    <definedName name="ちす" hidden="1">{"Ｍ系全体",#N/A,FALSE,"業務改造"}</definedName>
    <definedName name="テスト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ホスト" hidden="1">{"Ｍ系全体",#N/A,FALSE,"業務改造";"サーバ別",#N/A,FALSE,"業務改造"}</definedName>
    <definedName name="仮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計算" hidden="1">{"サーバ別",#N/A,FALSE,"業務改造"}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<sst xmlns="http://schemas.openxmlformats.org/spreadsheetml/2006/main" count="275" uniqueCount="182">
  <si>
    <t>項目マッピング表 — sinops-W 商品マスタ（【倉庫コード】mst.txt）20項目</t>
  </si>
  <si>
    <t>sinops-W（倉庫向け）↔ TRIAL 基本マスタ（PRODUCTS マスタ４次商品マスタ）/ 全件更新・差分更新</t>
  </si>
  <si>
    <t>判定凡例：  ○ 直接マッピング可  △ 変換・加工が必要  ✕ GAPあり（要対応）  ― 固定値またはNULL設定</t>
  </si>
  <si>
    <t>sinops
No.</t>
  </si>
  <si>
    <t>必須</t>
  </si>
  <si>
    <t>sinops 項目名</t>
  </si>
  <si>
    <t>sinops 型/桁</t>
  </si>
  <si>
    <t>FMT内容</t>
  </si>
  <si>
    <t>TRIAL 項目名
（PRODUCTS）</t>
  </si>
  <si>
    <t>TRIAL 型/桁</t>
  </si>
  <si>
    <t>判定</t>
  </si>
  <si>
    <t>変換ルール・留意事項</t>
  </si>
  <si>
    <t>◆ 商品識別・名称</t>
  </si>
  <si>
    <t>○</t>
  </si>
  <si>
    <t>品番</t>
  </si>
  <si>
    <t>文字/100</t>
  </si>
  <si>
    <t>JAN (ProductCD)</t>
  </si>
  <si>
    <t>固定長/char/20</t>
  </si>
  <si>
    <t>直接マッピング可。商品マスタのJANになります。</t>
  </si>
  <si>
    <t>品名</t>
  </si>
  <si>
    <t>商品名称(漢字) (ProductName)</t>
  </si>
  <si>
    <t>可変長</t>
  </si>
  <si>
    <t>直接マッピング可。TRIALのProductName（商品名称漢字）を使用。</t>
  </si>
  <si>
    <t/>
  </si>
  <si>
    <t>単位</t>
  </si>
  <si>
    <t>― (固定値)</t>
  </si>
  <si>
    <t>―</t>
  </si>
  <si>
    <t>sinops-Wマッピング仕様に「空白」固定と明記。空文字列で設定。</t>
  </si>
  <si>
    <t>メーカー名</t>
  </si>
  <si>
    <t>メーカコード (MakerCD)</t>
  </si>
  <si>
    <t>固定長/char/9</t>
  </si>
  <si>
    <t>△</t>
  </si>
  <si>
    <r>
      <rPr>
        <b/>
        <sz val="9"/>
        <color rgb="FFFF0000"/>
        <rFont val="Meiryo UI"/>
        <charset val="134"/>
      </rPr>
      <t>GAPあり。</t>
    </r>
    <r>
      <rPr>
        <b/>
        <sz val="12"/>
        <color rgb="FFFF0000"/>
        <rFont val="Meiryo UI"/>
        <charset val="134"/>
      </rPr>
      <t>コード変換必要の可能性が高い</t>
    </r>
  </si>
  <si>
    <t>◆ 仕入・価格</t>
  </si>
  <si>
    <t>仕入先コード</t>
  </si>
  <si>
    <r>
      <rPr>
        <b/>
        <sz val="10"/>
        <rFont val="Meiryo UI"/>
        <charset val="134"/>
      </rPr>
      <t>店別調達</t>
    </r>
    <r>
      <rPr>
        <sz val="10"/>
        <rFont val="Meiryo UI"/>
        <charset val="134"/>
      </rPr>
      <t xml:space="preserve">
ベンダーCD (SupplierCD)</t>
    </r>
  </si>
  <si>
    <r>
      <rPr>
        <sz val="9"/>
        <color rgb="FF1A2E4A"/>
        <rFont val="Meiryo UI"/>
        <charset val="134"/>
      </rPr>
      <t xml:space="preserve">sinops
（30仕入先コード＋31仕入先コード枝番）
</t>
    </r>
    <r>
      <rPr>
        <b/>
        <sz val="11"/>
        <color rgb="FFFF0000"/>
        <rFont val="Meiryo UI"/>
        <charset val="134"/>
      </rPr>
      <t>【商品マスタ統合プロジェクト】課題から設計内容の確認が必要</t>
    </r>
  </si>
  <si>
    <t>仕入単価</t>
  </si>
  <si>
    <t>数値(8,2)/11</t>
  </si>
  <si>
    <t>0.01～99999999.99</t>
  </si>
  <si>
    <r>
      <rPr>
        <b/>
        <sz val="10"/>
        <rFont val="Meiryo UI"/>
        <charset val="134"/>
      </rPr>
      <t>店別調達</t>
    </r>
    <r>
      <rPr>
        <sz val="10"/>
        <rFont val="Meiryo UI"/>
        <charset val="134"/>
      </rPr>
      <t xml:space="preserve">
原価 (CostPrice)</t>
    </r>
  </si>
  <si>
    <t>〇</t>
  </si>
  <si>
    <t>sinopsは数値(8,2)（円.小数2桁）。</t>
  </si>
  <si>
    <t>粗利</t>
  </si>
  <si>
    <t>「0.01」固定値。sinops-Wマッピング仕様に明記。</t>
  </si>
  <si>
    <t>◆ 在庫・発注コスト（固定値群）</t>
  </si>
  <si>
    <t>初期在庫</t>
  </si>
  <si>
    <t>整数値/1</t>
  </si>
  <si>
    <t>「0」固定値。sinops-Wマッピング仕様に明記。</t>
  </si>
  <si>
    <t>荷役費用／回</t>
  </si>
  <si>
    <t>整数値/8</t>
  </si>
  <si>
    <t>1～99999999</t>
  </si>
  <si>
    <t>「1」固定値。sinops-Wマッピング仕様に明記。</t>
  </si>
  <si>
    <t>年間保管費用／個</t>
  </si>
  <si>
    <t>現在庫数</t>
  </si>
  <si>
    <t>-99999999～99999999　※１</t>
  </si>
  <si>
    <r>
      <rPr>
        <b/>
        <sz val="10"/>
        <rFont val="Meiryo UI"/>
        <charset val="134"/>
      </rPr>
      <t>センター在庫</t>
    </r>
    <r>
      <rPr>
        <sz val="10"/>
        <rFont val="Meiryo UI"/>
        <charset val="134"/>
      </rPr>
      <t xml:space="preserve">
在庫数</t>
    </r>
  </si>
  <si>
    <t>数値型/7桁</t>
  </si>
  <si>
    <r>
      <t xml:space="preserve">重要：基本マスタとは別ファイルからの結合が必要。-99999999～99999999の範囲チェック。
</t>
    </r>
    <r>
      <rPr>
        <b/>
        <sz val="11"/>
        <color rgb="FFFF0000"/>
        <rFont val="Meiryo UI"/>
        <charset val="134"/>
      </rPr>
      <t>【WMS統合？】課題から設計内容の確認が必要</t>
    </r>
  </si>
  <si>
    <t>データ元の調査が必要</t>
  </si>
  <si>
    <t>◆ 商品分類（カテゴリ）</t>
  </si>
  <si>
    <t>カテゴリ</t>
  </si>
  <si>
    <t>部門+
中分類+
小分類</t>
  </si>
  <si>
    <t>部門CD+ミニ部門CD+品種CD
(DepartmentCD+SubDeptCD+VarietyCD)</t>
  </si>
  <si>
    <t>固定長/各char/4</t>
  </si>
  <si>
    <r>
      <rPr>
        <sz val="10"/>
        <rFont val="Meiryo UI"/>
        <charset val="134"/>
      </rPr>
      <t>【生成ロジック必要】階層に応じてコードを結合して生成する。
・大分類(階層0)：部門のみ　例:「0011」
・中分類(階層1)：部門+中分類(4+4=8桁) 例:「00110001」
・小分類(階層2)：部門+中分類+小分類(4+4+4=12桁) 例:「001100010201」。結合後の値が0～99999999の</t>
    </r>
    <r>
      <rPr>
        <b/>
        <sz val="10"/>
        <color rgb="FFFF0000"/>
        <rFont val="Meiryo UI"/>
        <charset val="134"/>
      </rPr>
      <t>8桁整数部超のオーバーフロー確認</t>
    </r>
  </si>
  <si>
    <t>最低発注数</t>
  </si>
  <si>
    <t>NULL固定。sinops-Wマッピング仕様に明記。</t>
  </si>
  <si>
    <t>重量</t>
  </si>
  <si>
    <t>数値(16,3)</t>
  </si>
  <si>
    <t>0.000～9999999999999999.999</t>
  </si>
  <si>
    <t>梱包重量(外箱)</t>
  </si>
  <si>
    <t>生鮮系(チルド？PC)は別で管理している。
梱包重量(外箱)しか持っていない</t>
  </si>
  <si>
    <t>◆ リードタイム・発注設定</t>
  </si>
  <si>
    <t>追加L/T</t>
  </si>
  <si>
    <t>0～9</t>
  </si>
  <si>
    <t>L/T</t>
  </si>
  <si>
    <t>整数値/3</t>
  </si>
  <si>
    <t>0～365(0の場合は、インポート時に 1 に変換する）</t>
  </si>
  <si>
    <t>要確認</t>
  </si>
  <si>
    <r>
      <t xml:space="preserve">「0」固定値？
</t>
    </r>
    <r>
      <rPr>
        <b/>
        <sz val="11"/>
        <color rgb="FFFF0000"/>
        <rFont val="Meiryo UI"/>
        <charset val="134"/>
      </rPr>
      <t>TRIALは別のテーブルで管理している、ここを利用しているか確認必要</t>
    </r>
    <r>
      <rPr>
        <sz val="10"/>
        <rFont val="Meiryo UI"/>
        <charset val="134"/>
      </rPr>
      <t xml:space="preserve">
sinops
15　＋　半角スペース ＋　調達期間 (リードタイム/日) 
から調達期間（リードタイム/日）のみ抽出し格納</t>
    </r>
  </si>
  <si>
    <t>発注ロット</t>
  </si>
  <si>
    <t>店別調達
発注単位数 (OrderUnitQty)</t>
  </si>
  <si>
    <t>TRIALのOrderUnitQty（発注単位数）を使用。</t>
  </si>
  <si>
    <t>◆ 更新区分・その他</t>
  </si>
  <si>
    <t>更新削除</t>
  </si>
  <si>
    <t>文字/40</t>
  </si>
  <si>
    <t>”削除”、”新商品”、”更新”、“新商品更新”、”部分変更”　※２</t>
  </si>
  <si>
    <t>― (ロジック制御)</t>
  </si>
  <si>
    <r>
      <t xml:space="preserve">「削除」「新商品」「更新」「新商品更新」「部分変更」のいずれかを設定。sinops-W内で在庫管理する場合は「部分変更」固定。TRIALのDelFlag(=1)→「削除」。
</t>
    </r>
    <r>
      <rPr>
        <b/>
        <sz val="10"/>
        <color rgb="FFFF0000"/>
        <rFont val="Meiryo UI"/>
        <charset val="134"/>
      </rPr>
      <t>実際の判断内容は要確認.</t>
    </r>
  </si>
  <si>
    <t>予備１</t>
  </si>
  <si>
    <t>整数値/15</t>
  </si>
  <si>
    <t>000000000000000、700000000000000　※３</t>
  </si>
  <si>
    <t>店別調達
(適用)発注停止フラグ</t>
  </si>
  <si>
    <t>固定長/char/1</t>
  </si>
  <si>
    <t>×</t>
  </si>
  <si>
    <t>000000000000000（通常品）または700000000000000（店舗発注停止品）を設定。</t>
  </si>
  <si>
    <t>TCから同期していないので、データ元は？</t>
  </si>
  <si>
    <t>備考</t>
  </si>
  <si>
    <t>項目マッピング 判定サマリ</t>
  </si>
  <si>
    <t>ファイル区分</t>
  </si>
  <si>
    <t>件数</t>
  </si>
  <si>
    <t>割合</t>
  </si>
  <si>
    <t>主な内容・対応方針</t>
  </si>
  <si>
    <t>sinops-W 商品マスタ
【倉庫コード】mst.txt
(20項目)</t>
  </si>
  <si>
    <t>○ 直接マッピング可</t>
  </si>
  <si>
    <t>1項目</t>
  </si>
  <si>
    <t>5%</t>
  </si>
  <si>
    <t>品名(ProductName) — 直接マッピング可（結合処理要確認）</t>
  </si>
  <si>
    <t>△ 変換・加工が必要</t>
  </si>
  <si>
    <t>8項目</t>
  </si>
  <si>
    <t>40%</t>
  </si>
  <si>
    <t>品番トリム・原価スケール変換(÷1000)・仕入先CD結合・カテゴリCD結合・現在庫数結合・重量変換・発注ロット変換・更新削除ロジック</t>
  </si>
  <si>
    <t>✕ GAPあり</t>
  </si>
  <si>
    <t>L/T（リードタイム）：TRIALの基本マスタに対応項目なし。暫定0固定または別途調査</t>
  </si>
  <si>
    <t>― 固定値/NULL</t>
  </si>
  <si>
    <t>10項目</t>
  </si>
  <si>
    <t>50%</t>
  </si>
  <si>
    <t>単位=空白・粗利=0.01・初期在庫=0・荷役費用=1・年間保管費用=1・追加L/T=0・最低発注数=NULL・備考=0 他</t>
  </si>
  <si>
    <t>IF変換仕様書</t>
  </si>
  <si>
    <t>名 称</t>
  </si>
  <si>
    <t>概 要</t>
  </si>
  <si>
    <t>変換後ファイル名</t>
  </si>
  <si>
    <t>ファイル形式</t>
  </si>
  <si>
    <t>レコード作成条件</t>
  </si>
  <si>
    <t>TSV</t>
  </si>
  <si>
    <t>マスタ内に現在庫が含まれるため全件更新が必要</t>
  </si>
  <si>
    <t>■マッピングシート</t>
  </si>
  <si>
    <t>変換元データ　</t>
  </si>
  <si>
    <t>No</t>
  </si>
  <si>
    <t>W項目名</t>
  </si>
  <si>
    <t>テーブル名</t>
  </si>
  <si>
    <t>項目名</t>
  </si>
  <si>
    <t>固定値</t>
  </si>
  <si>
    <t>受領サンプルデータ</t>
  </si>
  <si>
    <t>型</t>
  </si>
  <si>
    <t>項目長</t>
  </si>
  <si>
    <t>Key</t>
  </si>
  <si>
    <t>データ型</t>
  </si>
  <si>
    <t>最大桁数</t>
  </si>
  <si>
    <t>区分・範囲</t>
  </si>
  <si>
    <t>編集仕様</t>
  </si>
  <si>
    <t>店別商品マスタファイル</t>
  </si>
  <si>
    <t>（2商品コード）</t>
  </si>
  <si>
    <t>英数字型</t>
  </si>
  <si>
    <t>14</t>
  </si>
  <si>
    <t>基本商品マスタファイル</t>
  </si>
  <si>
    <t>（10商品名上段＋11商品名下段）</t>
  </si>
  <si>
    <t>28+22</t>
  </si>
  <si>
    <t>空白</t>
  </si>
  <si>
    <t>（34メーカーコード）</t>
  </si>
  <si>
    <t>6</t>
  </si>
  <si>
    <t>（30仕入先コード＋31仕入先コード枝番）</t>
  </si>
  <si>
    <t>6+3</t>
  </si>
  <si>
    <t>（19原価）</t>
  </si>
  <si>
    <t>数値型</t>
  </si>
  <si>
    <t>9.2</t>
  </si>
  <si>
    <t>0データを0.01に変換</t>
  </si>
  <si>
    <t>在庫データファイル（W向け）</t>
  </si>
  <si>
    <t>（5在庫数）</t>
  </si>
  <si>
    <t>（4）分類コード3（部門）+
（5）分類コード4（中分類）+
（6）分類コード5（小分類）</t>
  </si>
  <si>
    <t>2
2
4</t>
  </si>
  <si>
    <t>NULL</t>
  </si>
  <si>
    <t>（78 アイテム重量単位：ｋｇ）</t>
  </si>
  <si>
    <t>11.4</t>
  </si>
  <si>
    <t>小数4桁目は切り捨て</t>
  </si>
  <si>
    <t>15　＋　半角スペース ＋　調達期間 (リードタイム/日) 
から調達期間（リードタイム/日）のみ抽出し格納</t>
  </si>
  <si>
    <t>（71ベンダーパック入数）</t>
  </si>
  <si>
    <t>3</t>
  </si>
  <si>
    <t>※１　現在庫数をSINOPS内で管理する場合は”” （ヌル文字)で固定</t>
  </si>
  <si>
    <t>※２　現在庫数をSINOPS内で管理する場合は”部分変更”で固定</t>
  </si>
  <si>
    <t>　　　（読み込み済みレコードの削除＝”削除”・新商品の表示＝”新商品”・</t>
  </si>
  <si>
    <t>　　　読み込み済みレコードの更新＝”更新”・“新商品更新”・一部の項目の更新をする＝”部分変更”）</t>
  </si>
  <si>
    <t>※３　000000000000000：通常品、700000000000000：店舗発注停止品</t>
  </si>
  <si>
    <t>■基幹出力方式</t>
  </si>
  <si>
    <t>　全件出力</t>
  </si>
  <si>
    <t>　※処理時間短縮のため、MD基幹／商品マスタ．自動補充対象フラグがOFFのデータは連携対象外にしていただく</t>
  </si>
  <si>
    <t>■sinops取込方式</t>
  </si>
  <si>
    <t>　差分更新</t>
  </si>
  <si>
    <t>■必要タイミング</t>
  </si>
  <si>
    <t>　取込結果は即日反映いたしますので、分類の変更などが発生する場合には</t>
  </si>
  <si>
    <t>　実際に分類が切り替わるタイミングで変更後データの連携をおこなってください。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</si>
</sst>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"/>
  </numFmts>
  <fonts count="54">
    <font>
      <sz val="11"/>
      <color theme="1"/>
      <name val="宋体"/>
      <charset val="134"/>
      <scheme val="minor"/>
    </font>
    <font>
      <sz val="9"/>
      <color indexed="63"/>
      <name val="Meiryo UI"/>
      <charset val="128"/>
    </font>
    <font>
      <sz val="11"/>
      <color theme="1"/>
      <name val="Yu Gothic"/>
      <charset val="128"/>
    </font>
    <font>
      <b/>
      <sz val="15"/>
      <color indexed="9"/>
      <name val="Meiryo UI"/>
      <charset val="128"/>
    </font>
    <font>
      <b/>
      <sz val="11"/>
      <color indexed="9"/>
      <name val="Meiryo UI"/>
      <charset val="128"/>
    </font>
    <font>
      <sz val="14"/>
      <color indexed="63"/>
      <name val="Meiryo UI"/>
      <charset val="128"/>
    </font>
    <font>
      <sz val="12"/>
      <color indexed="63"/>
      <name val="Meiryo UI"/>
      <charset val="128"/>
    </font>
    <font>
      <sz val="11"/>
      <color indexed="63"/>
      <name val="Meiryo UI"/>
      <charset val="128"/>
    </font>
    <font>
      <b/>
      <sz val="16"/>
      <color indexed="63"/>
      <name val="Meiryo UI"/>
      <charset val="128"/>
    </font>
    <font>
      <b/>
      <sz val="13"/>
      <color indexed="63"/>
      <name val="Meiryo UI"/>
      <charset val="128"/>
    </font>
    <font>
      <b/>
      <sz val="11"/>
      <color indexed="63"/>
      <name val="Meiryo UI"/>
      <charset val="128"/>
    </font>
    <font>
      <sz val="10"/>
      <color indexed="63"/>
      <name val="Meiryo UI"/>
      <charset val="128"/>
    </font>
    <font>
      <b/>
      <sz val="10"/>
      <color rgb="FFFF0000"/>
      <name val="Meiryo UI"/>
      <charset val="128"/>
    </font>
    <font>
      <sz val="10"/>
      <name val="Meiryo UI"/>
      <charset val="128"/>
    </font>
    <font>
      <strike/>
      <sz val="10"/>
      <color indexed="63"/>
      <name val="Meiryo UI"/>
      <charset val="128"/>
    </font>
    <font>
      <sz val="11"/>
      <color indexed="8"/>
      <name val="Meiryo UI"/>
      <charset val="128"/>
    </font>
    <font>
      <sz val="11"/>
      <color theme="1"/>
      <name val="Meiryo UI"/>
      <charset val="128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Meiryo UI"/>
      <charset val="134"/>
    </font>
    <font>
      <b/>
      <sz val="11"/>
      <color rgb="FFFFFFFF"/>
      <name val="Meiryo UI"/>
      <charset val="134"/>
    </font>
    <font>
      <sz val="9"/>
      <color rgb="FF92400E"/>
      <name val="Meiryo UI"/>
      <charset val="134"/>
    </font>
    <font>
      <b/>
      <sz val="9"/>
      <color rgb="FFFFFFFF"/>
      <name val="Meiryo UI"/>
      <charset val="134"/>
    </font>
    <font>
      <b/>
      <sz val="10"/>
      <color rgb="FF1A2E4A"/>
      <name val="Meiryo UI"/>
      <charset val="134"/>
    </font>
    <font>
      <sz val="10"/>
      <name val="Meiryo UI"/>
      <charset val="134"/>
    </font>
    <font>
      <b/>
      <sz val="9"/>
      <color rgb="FFFF0000"/>
      <name val="Meiryo UI"/>
      <charset val="134"/>
    </font>
    <font>
      <sz val="9"/>
      <color rgb="FF1A2E4A"/>
      <name val="Meiryo UI"/>
      <charset val="134"/>
    </font>
    <font>
      <b/>
      <sz val="10"/>
      <name val="Meiryo UI"/>
      <charset val="134"/>
    </font>
    <font>
      <b/>
      <sz val="11"/>
      <color rgb="FFFF0000"/>
      <name val="Meiryo UI"/>
      <charset val="134"/>
    </font>
    <font>
      <sz val="10"/>
      <color rgb="FF000000"/>
      <name val="Meiryo UI"/>
      <charset val="134"/>
    </font>
    <font>
      <b/>
      <sz val="10"/>
      <color rgb="FFFF000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ＭＳ Ｐゴシック"/>
      <charset val="128"/>
    </font>
    <font>
      <sz val="11"/>
      <color theme="0"/>
      <name val="Meiryo UI"/>
      <charset val="128"/>
    </font>
    <font>
      <b/>
      <sz val="12"/>
      <color rgb="FFFF0000"/>
      <name val="Meiryo UI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1A2E4A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243A5E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0D7377"/>
        <bgColor rgb="FF0D7377"/>
      </patternFill>
    </fill>
    <fill>
      <patternFill patternType="solid">
        <fgColor rgb="FFD6F0F1"/>
        <bgColor indexed="64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D7377"/>
      </left>
      <right style="medium">
        <color rgb="FF0D7377"/>
      </right>
      <top style="medium">
        <color rgb="FF0D7377"/>
      </top>
      <bottom style="medium">
        <color rgb="FF0D7377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20" borderId="2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1" borderId="26" applyNumberFormat="0" applyAlignment="0" applyProtection="0">
      <alignment vertical="center"/>
    </xf>
    <xf numFmtId="0" fontId="41" fillId="22" borderId="27" applyNumberFormat="0" applyAlignment="0" applyProtection="0">
      <alignment vertical="center"/>
    </xf>
    <xf numFmtId="0" fontId="42" fillId="22" borderId="26" applyNumberFormat="0" applyAlignment="0" applyProtection="0">
      <alignment vertical="center"/>
    </xf>
    <xf numFmtId="0" fontId="43" fillId="23" borderId="28" applyNumberFormat="0" applyAlignment="0" applyProtection="0">
      <alignment vertical="center"/>
    </xf>
    <xf numFmtId="0" fontId="44" fillId="0" borderId="29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51" fillId="0" borderId="0"/>
    <xf numFmtId="0" fontId="16" fillId="0" borderId="0"/>
    <xf numFmtId="0" fontId="52" fillId="31" borderId="0" applyNumberFormat="0" applyBorder="0" applyAlignment="0" applyProtection="0"/>
  </cellStyleXfs>
  <cellXfs count="114">
    <xf numFmtId="0" fontId="0" fillId="0" borderId="0" xfId="0"/>
    <xf numFmtId="0" fontId="1" fillId="0" borderId="0" xfId="50" applyFont="1" applyAlignment="1">
      <alignment vertical="center"/>
    </xf>
    <xf numFmtId="0" fontId="1" fillId="0" borderId="0" xfId="50" applyFont="1"/>
    <xf numFmtId="0" fontId="2" fillId="0" borderId="0" xfId="0" applyFont="1" applyFill="1" applyAlignment="1"/>
    <xf numFmtId="0" fontId="3" fillId="2" borderId="1" xfId="51" applyFont="1" applyFill="1" applyBorder="1" applyAlignment="1">
      <alignment horizontal="center" vertical="center"/>
    </xf>
    <xf numFmtId="0" fontId="3" fillId="2" borderId="2" xfId="51" applyFont="1" applyFill="1" applyBorder="1" applyAlignment="1">
      <alignment horizontal="center" vertical="center"/>
    </xf>
    <xf numFmtId="0" fontId="4" fillId="2" borderId="3" xfId="50" applyFont="1" applyFill="1" applyBorder="1" applyAlignment="1">
      <alignment horizontal="center" vertical="center"/>
    </xf>
    <xf numFmtId="0" fontId="4" fillId="2" borderId="4" xfId="50" applyFont="1" applyFill="1" applyBorder="1" applyAlignment="1">
      <alignment horizontal="center" vertical="center"/>
    </xf>
    <xf numFmtId="0" fontId="4" fillId="2" borderId="5" xfId="50" applyFont="1" applyFill="1" applyBorder="1" applyAlignment="1">
      <alignment horizontal="center" vertical="center"/>
    </xf>
    <xf numFmtId="0" fontId="3" fillId="2" borderId="6" xfId="51" applyFont="1" applyFill="1" applyBorder="1" applyAlignment="1">
      <alignment horizontal="center" vertical="center"/>
    </xf>
    <xf numFmtId="0" fontId="3" fillId="2" borderId="0" xfId="51" applyFont="1" applyFill="1" applyAlignment="1">
      <alignment horizontal="center" vertical="center"/>
    </xf>
    <xf numFmtId="0" fontId="5" fillId="0" borderId="6" xfId="50" applyFont="1" applyBorder="1" applyAlignment="1">
      <alignment horizontal="center" vertical="center"/>
    </xf>
    <xf numFmtId="0" fontId="5" fillId="0" borderId="7" xfId="50" applyFont="1" applyBorder="1" applyAlignment="1">
      <alignment horizontal="center" vertical="center"/>
    </xf>
    <xf numFmtId="0" fontId="6" fillId="3" borderId="1" xfId="50" applyFont="1" applyFill="1" applyBorder="1" applyAlignment="1">
      <alignment horizontal="left" vertical="top" wrapText="1"/>
    </xf>
    <xf numFmtId="0" fontId="6" fillId="3" borderId="2" xfId="50" applyFont="1" applyFill="1" applyBorder="1" applyAlignment="1">
      <alignment horizontal="left" vertical="top" wrapText="1"/>
    </xf>
    <xf numFmtId="0" fontId="6" fillId="3" borderId="8" xfId="50" applyFont="1" applyFill="1" applyBorder="1" applyAlignment="1">
      <alignment horizontal="left" vertical="top" wrapText="1"/>
    </xf>
    <xf numFmtId="0" fontId="3" fillId="2" borderId="9" xfId="51" applyFont="1" applyFill="1" applyBorder="1" applyAlignment="1">
      <alignment horizontal="center" vertical="center"/>
    </xf>
    <xf numFmtId="0" fontId="3" fillId="2" borderId="10" xfId="51" applyFont="1" applyFill="1" applyBorder="1" applyAlignment="1">
      <alignment horizontal="center" vertical="center"/>
    </xf>
    <xf numFmtId="0" fontId="5" fillId="0" borderId="9" xfId="50" applyFont="1" applyBorder="1" applyAlignment="1">
      <alignment horizontal="center" vertical="center"/>
    </xf>
    <xf numFmtId="0" fontId="5" fillId="0" borderId="11" xfId="50" applyFont="1" applyBorder="1" applyAlignment="1">
      <alignment horizontal="center" vertical="center"/>
    </xf>
    <xf numFmtId="0" fontId="6" fillId="3" borderId="9" xfId="50" applyFont="1" applyFill="1" applyBorder="1" applyAlignment="1">
      <alignment horizontal="left" vertical="top" wrapText="1"/>
    </xf>
    <xf numFmtId="0" fontId="6" fillId="3" borderId="10" xfId="50" applyFont="1" applyFill="1" applyBorder="1" applyAlignment="1">
      <alignment horizontal="left" vertical="top" wrapText="1"/>
    </xf>
    <xf numFmtId="0" fontId="6" fillId="3" borderId="11" xfId="50" applyFont="1" applyFill="1" applyBorder="1" applyAlignment="1">
      <alignment horizontal="left" vertical="top" wrapText="1"/>
    </xf>
    <xf numFmtId="0" fontId="7" fillId="0" borderId="3" xfId="50" applyFont="1" applyBorder="1" applyAlignment="1">
      <alignment horizontal="center" vertical="center"/>
    </xf>
    <xf numFmtId="0" fontId="7" fillId="0" borderId="4" xfId="50" applyFont="1" applyBorder="1" applyAlignment="1">
      <alignment horizontal="center" vertical="center"/>
    </xf>
    <xf numFmtId="0" fontId="7" fillId="0" borderId="5" xfId="50" applyFont="1" applyBorder="1" applyAlignment="1">
      <alignment horizontal="center" vertical="center"/>
    </xf>
    <xf numFmtId="0" fontId="7" fillId="3" borderId="3" xfId="50" applyFont="1" applyFill="1" applyBorder="1" applyAlignment="1">
      <alignment horizontal="center" vertical="center"/>
    </xf>
    <xf numFmtId="0" fontId="7" fillId="3" borderId="4" xfId="50" applyFont="1" applyFill="1" applyBorder="1" applyAlignment="1">
      <alignment horizontal="center" vertical="center"/>
    </xf>
    <xf numFmtId="0" fontId="7" fillId="3" borderId="3" xfId="50" applyFont="1" applyFill="1" applyBorder="1" applyAlignment="1">
      <alignment horizontal="center" vertical="center" wrapText="1"/>
    </xf>
    <xf numFmtId="0" fontId="7" fillId="3" borderId="4" xfId="50" applyFont="1" applyFill="1" applyBorder="1" applyAlignment="1">
      <alignment horizontal="center" vertical="center" wrapText="1"/>
    </xf>
    <xf numFmtId="0" fontId="8" fillId="0" borderId="0" xfId="50" applyFont="1"/>
    <xf numFmtId="0" fontId="1" fillId="0" borderId="0" xfId="50" applyFont="1" applyAlignment="1">
      <alignment horizontal="center"/>
    </xf>
    <xf numFmtId="0" fontId="1" fillId="0" borderId="0" xfId="50" applyFont="1" applyAlignment="1">
      <alignment horizontal="right"/>
    </xf>
    <xf numFmtId="0" fontId="1" fillId="0" borderId="0" xfId="50" applyFont="1" applyAlignment="1">
      <alignment horizontal="right" wrapText="1"/>
    </xf>
    <xf numFmtId="0" fontId="9" fillId="0" borderId="0" xfId="50" applyFont="1" applyAlignment="1">
      <alignment vertical="center"/>
    </xf>
    <xf numFmtId="0" fontId="10" fillId="0" borderId="0" xfId="50" applyFont="1"/>
    <xf numFmtId="0" fontId="7" fillId="0" borderId="0" xfId="50" applyFont="1"/>
    <xf numFmtId="0" fontId="4" fillId="2" borderId="12" xfId="50" applyFont="1" applyFill="1" applyBorder="1" applyAlignment="1">
      <alignment horizontal="center" vertical="center"/>
    </xf>
    <xf numFmtId="0" fontId="4" fillId="2" borderId="13" xfId="50" applyFont="1" applyFill="1" applyBorder="1" applyAlignment="1">
      <alignment horizontal="center" vertical="center"/>
    </xf>
    <xf numFmtId="0" fontId="7" fillId="0" borderId="0" xfId="50" applyFont="1" applyAlignment="1">
      <alignment horizontal="left"/>
    </xf>
    <xf numFmtId="0" fontId="7" fillId="0" borderId="0" xfId="50" applyFont="1" applyAlignment="1">
      <alignment horizontal="left" wrapText="1"/>
    </xf>
    <xf numFmtId="0" fontId="7" fillId="0" borderId="0" xfId="50" applyFont="1" applyAlignment="1">
      <alignment horizontal="right"/>
    </xf>
    <xf numFmtId="0" fontId="4" fillId="4" borderId="14" xfId="50" applyFont="1" applyFill="1" applyBorder="1" applyAlignment="1">
      <alignment horizontal="center" vertical="center"/>
    </xf>
    <xf numFmtId="0" fontId="4" fillId="2" borderId="15" xfId="50" applyFont="1" applyFill="1" applyBorder="1" applyAlignment="1">
      <alignment horizontal="center" vertical="center"/>
    </xf>
    <xf numFmtId="0" fontId="4" fillId="2" borderId="16" xfId="50" applyFont="1" applyFill="1" applyBorder="1" applyAlignment="1">
      <alignment horizontal="center" vertical="center"/>
    </xf>
    <xf numFmtId="0" fontId="4" fillId="2" borderId="17" xfId="50" applyFont="1" applyFill="1" applyBorder="1" applyAlignment="1">
      <alignment horizontal="center" vertical="center"/>
    </xf>
    <xf numFmtId="0" fontId="4" fillId="4" borderId="0" xfId="50" applyFont="1" applyFill="1" applyBorder="1" applyAlignment="1">
      <alignment horizontal="center" vertical="center"/>
    </xf>
    <xf numFmtId="0" fontId="4" fillId="4" borderId="14" xfId="50" applyFont="1" applyFill="1" applyBorder="1" applyAlignment="1">
      <alignment horizontal="center" vertical="center" wrapText="1"/>
    </xf>
    <xf numFmtId="0" fontId="11" fillId="0" borderId="16" xfId="50" applyFont="1" applyBorder="1" applyAlignment="1">
      <alignment vertical="center"/>
    </xf>
    <xf numFmtId="0" fontId="11" fillId="5" borderId="15" xfId="50" applyFont="1" applyFill="1" applyBorder="1" applyAlignment="1">
      <alignment horizontal="left" vertical="center" wrapText="1"/>
    </xf>
    <xf numFmtId="0" fontId="11" fillId="5" borderId="16" xfId="50" applyFont="1" applyFill="1" applyBorder="1" applyAlignment="1">
      <alignment horizontal="left" vertical="center" wrapText="1"/>
    </xf>
    <xf numFmtId="0" fontId="11" fillId="5" borderId="16" xfId="50" applyFont="1" applyFill="1" applyBorder="1" applyAlignment="1">
      <alignment horizontal="center" vertical="center"/>
    </xf>
    <xf numFmtId="49" fontId="11" fillId="5" borderId="17" xfId="50" applyNumberFormat="1" applyFont="1" applyFill="1" applyBorder="1" applyAlignment="1">
      <alignment horizontal="left" vertical="center"/>
    </xf>
    <xf numFmtId="176" fontId="11" fillId="0" borderId="16" xfId="50" applyNumberFormat="1" applyFont="1" applyBorder="1" applyAlignment="1">
      <alignment horizontal="center" vertical="center"/>
    </xf>
    <xf numFmtId="176" fontId="11" fillId="0" borderId="16" xfId="50" applyNumberFormat="1" applyFont="1" applyBorder="1" applyAlignment="1">
      <alignment horizontal="left" vertical="center" wrapText="1"/>
    </xf>
    <xf numFmtId="0" fontId="11" fillId="5" borderId="15" xfId="50" applyFont="1" applyFill="1" applyBorder="1" applyAlignment="1">
      <alignment vertical="center"/>
    </xf>
    <xf numFmtId="0" fontId="11" fillId="5" borderId="16" xfId="50" applyFont="1" applyFill="1" applyBorder="1" applyAlignment="1">
      <alignment horizontal="left" vertical="center"/>
    </xf>
    <xf numFmtId="0" fontId="11" fillId="5" borderId="15" xfId="50" applyFont="1" applyFill="1" applyBorder="1" applyAlignment="1">
      <alignment vertical="center" wrapText="1"/>
    </xf>
    <xf numFmtId="0" fontId="11" fillId="5" borderId="16" xfId="50" applyFont="1" applyFill="1" applyBorder="1" applyAlignment="1">
      <alignment horizontal="left"/>
    </xf>
    <xf numFmtId="0" fontId="11" fillId="5" borderId="16" xfId="50" applyFont="1" applyFill="1" applyBorder="1" applyAlignment="1">
      <alignment horizontal="center"/>
    </xf>
    <xf numFmtId="49" fontId="11" fillId="5" borderId="17" xfId="50" applyNumberFormat="1" applyFont="1" applyFill="1" applyBorder="1" applyAlignment="1">
      <alignment horizontal="left"/>
    </xf>
    <xf numFmtId="0" fontId="12" fillId="5" borderId="15" xfId="50" applyFont="1" applyFill="1" applyBorder="1"/>
    <xf numFmtId="0" fontId="13" fillId="5" borderId="15" xfId="50" applyFont="1" applyFill="1" applyBorder="1" applyAlignment="1">
      <alignment wrapText="1"/>
    </xf>
    <xf numFmtId="49" fontId="11" fillId="5" borderId="17" xfId="50" applyNumberFormat="1" applyFont="1" applyFill="1" applyBorder="1" applyAlignment="1">
      <alignment horizontal="left" wrapText="1"/>
    </xf>
    <xf numFmtId="0" fontId="11" fillId="5" borderId="15" xfId="50" applyFont="1" applyFill="1" applyBorder="1" applyAlignment="1">
      <alignment horizontal="left" vertical="center"/>
    </xf>
    <xf numFmtId="0" fontId="12" fillId="5" borderId="15" xfId="50" applyFont="1" applyFill="1" applyBorder="1" applyAlignment="1">
      <alignment vertical="center"/>
    </xf>
    <xf numFmtId="0" fontId="13" fillId="5" borderId="15" xfId="50" applyFont="1" applyFill="1" applyBorder="1" applyAlignment="1">
      <alignment vertical="center" wrapText="1"/>
    </xf>
    <xf numFmtId="0" fontId="11" fillId="5" borderId="15" xfId="50" applyFont="1" applyFill="1" applyBorder="1" applyAlignment="1">
      <alignment horizontal="center" vertical="center" wrapText="1"/>
    </xf>
    <xf numFmtId="0" fontId="11" fillId="5" borderId="16" xfId="50" applyFont="1" applyFill="1" applyBorder="1" applyAlignment="1">
      <alignment vertical="center" wrapText="1"/>
    </xf>
    <xf numFmtId="0" fontId="14" fillId="5" borderId="16" xfId="50" applyFont="1" applyFill="1" applyBorder="1" applyAlignment="1">
      <alignment horizontal="left" vertical="center"/>
    </xf>
    <xf numFmtId="0" fontId="12" fillId="5" borderId="15" xfId="50" applyFont="1" applyFill="1" applyBorder="1" applyAlignment="1">
      <alignment vertical="center" wrapText="1"/>
    </xf>
    <xf numFmtId="0" fontId="11" fillId="0" borderId="18" xfId="50" applyFont="1" applyBorder="1" applyAlignment="1">
      <alignment vertical="center"/>
    </xf>
    <xf numFmtId="49" fontId="11" fillId="5" borderId="16" xfId="50" applyNumberFormat="1" applyFont="1" applyFill="1" applyBorder="1" applyAlignment="1">
      <alignment horizontal="left" vertical="center"/>
    </xf>
    <xf numFmtId="176" fontId="11" fillId="0" borderId="18" xfId="50" applyNumberFormat="1" applyFont="1" applyBorder="1" applyAlignment="1">
      <alignment horizontal="center" vertical="center"/>
    </xf>
    <xf numFmtId="176" fontId="11" fillId="0" borderId="18" xfId="50" applyNumberFormat="1" applyFont="1" applyBorder="1" applyAlignment="1">
      <alignment horizontal="left" vertical="center" wrapText="1"/>
    </xf>
    <xf numFmtId="0" fontId="11" fillId="6" borderId="18" xfId="50" applyFont="1" applyFill="1" applyBorder="1" applyAlignment="1">
      <alignment vertical="center"/>
    </xf>
    <xf numFmtId="49" fontId="11" fillId="5" borderId="12" xfId="50" applyNumberFormat="1" applyFont="1" applyFill="1" applyBorder="1" applyAlignment="1">
      <alignment horizontal="left" vertical="center"/>
    </xf>
    <xf numFmtId="176" fontId="11" fillId="6" borderId="18" xfId="50" applyNumberFormat="1" applyFont="1" applyFill="1" applyBorder="1" applyAlignment="1">
      <alignment horizontal="center" vertical="center"/>
    </xf>
    <xf numFmtId="176" fontId="11" fillId="6" borderId="18" xfId="50" applyNumberFormat="1" applyFont="1" applyFill="1" applyBorder="1" applyAlignment="1">
      <alignment horizontal="left" vertical="center" wrapText="1"/>
    </xf>
    <xf numFmtId="0" fontId="12" fillId="5" borderId="16" xfId="50" applyFont="1" applyFill="1" applyBorder="1" applyAlignment="1">
      <alignment vertical="center"/>
    </xf>
    <xf numFmtId="0" fontId="15" fillId="0" borderId="0" xfId="49" applyFont="1" applyAlignment="1">
      <alignment vertical="center"/>
    </xf>
    <xf numFmtId="0" fontId="16" fillId="0" borderId="0" xfId="0" applyFont="1" applyFill="1" applyAlignment="1"/>
    <xf numFmtId="0" fontId="17" fillId="7" borderId="0" xfId="0" applyFont="1" applyFill="1" applyAlignment="1">
      <alignment horizontal="left" vertical="center" wrapText="1" indent="1"/>
    </xf>
    <xf numFmtId="0" fontId="18" fillId="8" borderId="19" xfId="0" applyFont="1" applyFill="1" applyBorder="1" applyAlignment="1">
      <alignment horizontal="left" vertical="center" wrapText="1"/>
    </xf>
    <xf numFmtId="0" fontId="18" fillId="8" borderId="19" xfId="0" applyFont="1" applyFill="1" applyBorder="1" applyAlignment="1">
      <alignment horizontal="center" vertical="center" wrapText="1"/>
    </xf>
    <xf numFmtId="0" fontId="19" fillId="9" borderId="20" xfId="0" applyFont="1" applyFill="1" applyBorder="1" applyAlignment="1">
      <alignment horizontal="left" vertical="center" wrapText="1"/>
    </xf>
    <xf numFmtId="0" fontId="19" fillId="10" borderId="20" xfId="0" applyFont="1" applyFill="1" applyBorder="1" applyAlignment="1">
      <alignment horizontal="left" vertical="center" wrapText="1"/>
    </xf>
    <xf numFmtId="0" fontId="19" fillId="9" borderId="20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horizontal="left" vertical="center" wrapText="1"/>
    </xf>
    <xf numFmtId="0" fontId="19" fillId="12" borderId="20" xfId="0" applyFont="1" applyFill="1" applyBorder="1" applyAlignment="1">
      <alignment horizontal="left" vertical="center" wrapText="1"/>
    </xf>
    <xf numFmtId="0" fontId="19" fillId="13" borderId="20" xfId="0" applyFont="1" applyFill="1" applyBorder="1" applyAlignment="1">
      <alignment horizontal="left" vertical="center" wrapText="1"/>
    </xf>
    <xf numFmtId="0" fontId="20" fillId="0" borderId="0" xfId="0" applyFont="1" applyFill="1" applyAlignment="1"/>
    <xf numFmtId="0" fontId="20" fillId="0" borderId="0" xfId="0" applyFont="1"/>
    <xf numFmtId="0" fontId="21" fillId="8" borderId="0" xfId="0" applyFont="1" applyFill="1" applyAlignment="1">
      <alignment horizontal="left" vertical="center" wrapText="1" indent="1"/>
    </xf>
    <xf numFmtId="0" fontId="21" fillId="14" borderId="0" xfId="0" applyFont="1" applyFill="1" applyAlignment="1">
      <alignment horizontal="left" vertical="center" wrapText="1" indent="1"/>
    </xf>
    <xf numFmtId="0" fontId="22" fillId="15" borderId="0" xfId="0" applyFont="1" applyFill="1" applyAlignment="1">
      <alignment horizontal="left" vertical="center" indent="1"/>
    </xf>
    <xf numFmtId="0" fontId="23" fillId="16" borderId="21" xfId="0" applyFont="1" applyFill="1" applyBorder="1" applyAlignment="1">
      <alignment horizontal="center" vertical="center" wrapText="1"/>
    </xf>
    <xf numFmtId="0" fontId="24" fillId="17" borderId="0" xfId="0" applyFont="1" applyFill="1" applyAlignment="1">
      <alignment horizontal="left" vertical="center" indent="1"/>
    </xf>
    <xf numFmtId="0" fontId="25" fillId="9" borderId="20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left" vertical="center" wrapText="1"/>
    </xf>
    <xf numFmtId="0" fontId="25" fillId="10" borderId="20" xfId="0" applyFont="1" applyFill="1" applyBorder="1" applyAlignment="1">
      <alignment horizontal="center" vertical="center" wrapText="1"/>
    </xf>
    <xf numFmtId="0" fontId="25" fillId="10" borderId="20" xfId="0" applyFont="1" applyFill="1" applyBorder="1" applyAlignment="1">
      <alignment horizontal="left" vertical="center" wrapText="1"/>
    </xf>
    <xf numFmtId="0" fontId="25" fillId="13" borderId="20" xfId="0" applyFont="1" applyFill="1" applyBorder="1" applyAlignment="1">
      <alignment horizontal="center" vertical="center" wrapText="1"/>
    </xf>
    <xf numFmtId="0" fontId="25" fillId="13" borderId="20" xfId="0" applyFont="1" applyFill="1" applyBorder="1" applyAlignment="1">
      <alignment horizontal="left" vertical="center" wrapText="1"/>
    </xf>
    <xf numFmtId="0" fontId="25" fillId="11" borderId="20" xfId="0" applyFont="1" applyFill="1" applyBorder="1" applyAlignment="1">
      <alignment horizontal="center" vertical="center" wrapText="1"/>
    </xf>
    <xf numFmtId="0" fontId="26" fillId="18" borderId="21" xfId="0" applyFont="1" applyFill="1" applyBorder="1" applyAlignment="1">
      <alignment horizontal="left" vertical="center" wrapText="1"/>
    </xf>
    <xf numFmtId="0" fontId="27" fillId="19" borderId="21" xfId="0" applyFont="1" applyFill="1" applyBorder="1" applyAlignment="1">
      <alignment horizontal="left" vertical="center" wrapText="1"/>
    </xf>
    <xf numFmtId="0" fontId="28" fillId="9" borderId="20" xfId="0" applyFont="1" applyFill="1" applyBorder="1" applyAlignment="1">
      <alignment horizontal="left" vertical="center" wrapText="1"/>
    </xf>
    <xf numFmtId="0" fontId="27" fillId="18" borderId="21" xfId="0" applyFont="1" applyFill="1" applyBorder="1" applyAlignment="1">
      <alignment horizontal="left" vertical="center" wrapText="1"/>
    </xf>
    <xf numFmtId="0" fontId="29" fillId="0" borderId="0" xfId="0" applyFont="1"/>
    <xf numFmtId="0" fontId="25" fillId="11" borderId="20" xfId="0" applyFont="1" applyFill="1" applyBorder="1" applyAlignment="1">
      <alignment horizontal="left" vertical="center" wrapText="1"/>
    </xf>
    <xf numFmtId="0" fontId="30" fillId="19" borderId="22" xfId="0" applyFont="1" applyFill="1" applyBorder="1" applyAlignment="1">
      <alignment horizontal="left" vertical="center" wrapText="1"/>
    </xf>
    <xf numFmtId="0" fontId="31" fillId="9" borderId="20" xfId="0" applyFont="1" applyFill="1" applyBorder="1" applyAlignment="1">
      <alignment horizontal="left" vertical="center" wrapText="1"/>
    </xf>
    <xf numFmtId="0" fontId="31" fillId="9" borderId="20" xfId="0" applyFont="1" applyFill="1" applyBorder="1" applyAlignment="1">
      <alignment horizontal="center" vertical="center" wrapText="1"/>
    </xf>
    <xf numFmtId="0" fontId="11" fillId="5" borderId="16" xfId="50" applyFont="1" applyFill="1" applyBorder="1" applyAlignment="1" quotePrefix="1">
      <alignment horizontal="left"/>
    </xf>
    <xf numFmtId="0" fontId="11" fillId="5" borderId="16" xfId="50" applyFont="1" applyFill="1" applyBorder="1" applyAlignment="1" quotePrefix="1">
      <alignment horizontal="lef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 3" xfId="50"/>
    <cellStyle name="アクセント 2 2" xfId="51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219075</xdr:colOff>
      <xdr:row>7</xdr:row>
      <xdr:rowOff>330200</xdr:rowOff>
    </xdr:from>
    <xdr:to>
      <xdr:col>15</xdr:col>
      <xdr:colOff>8255</xdr:colOff>
      <xdr:row>8</xdr:row>
      <xdr:rowOff>553085</xdr:rowOff>
    </xdr:to>
    <xdr:sp>
      <xdr:nvSpPr>
        <xdr:cNvPr id="2" name="矩形 1"/>
        <xdr:cNvSpPr/>
      </xdr:nvSpPr>
      <xdr:spPr>
        <a:xfrm>
          <a:off x="8801100" y="3095625"/>
          <a:ext cx="8685530" cy="85788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100"/>
            <a:t>(mst.txt)</a:t>
          </a:r>
          <a:r>
            <a:rPr lang="ja-JP" altLang="zh-CN" sz="1100"/>
            <a:t>サンプルデータ</a:t>
          </a:r>
          <a:endParaRPr lang="zh-CN" altLang="en-US" sz="1100"/>
        </a:p>
        <a:p>
          <a:pPr algn="l"/>
          <a:r>
            <a:rPr lang="zh-CN" altLang="en-US" sz="1100"/>
            <a:t>0000045104916,オハヨー　ジャージー牛乳ソフト　　　, ,,017368900,119,0.01,0,1,1,,909002,,0.150,0,0,部分変更,16,000000000000000,0</a:t>
          </a:r>
          <a:endParaRPr lang="zh-CN" altLang="en-US" sz="1100"/>
        </a:p>
        <a:p>
          <a:pPr algn="l"/>
          <a:r>
            <a:rPr lang="zh-CN" altLang="en-US" sz="1100"/>
            <a:t>0000045116568,ロッテ　雪見だいふく　　　　　　　　, ,,016212902,92,0.01,0,1,1,,909002,,0.084,0,0,部分変更,25,000000000000000,0</a:t>
          </a:r>
          <a:endParaRPr lang="zh-CN" altLang="en-US" sz="1100"/>
        </a:p>
        <a:p>
          <a:pPr algn="l"/>
          <a:r>
            <a:rPr lang="zh-CN" altLang="en-US" sz="1100"/>
            <a:t>0000045126420,ロッテキシリトール粒ニューライムミント, ,,015401010,120,0.01,0,1,1,,010111,,0.024,0,0,部分変更,320,000000000000000,0</a:t>
          </a:r>
          <a:endParaRPr lang="zh-CN" altLang="en-US" sz="1100"/>
        </a:p>
        <a:p>
          <a:pPr algn="l"/>
          <a:r>
            <a:rPr lang="zh-CN" altLang="en-US" sz="1100"/>
            <a:t>0000045126437,ロッテキシリトール粒ニューフレッシュ, ,,015401010,120,0.01,0,1,1,,010111,,0.024,0,0,部分変更,320,000000000000000,0</a:t>
          </a:r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5506;&#38988;&#36039;&#26009;\&#35506;&#38988;&#25104;&#26524;&#29289;&#31649;&#29702;\&#35199;&#21451;&#35506;&#38988;\&#22522;&#24185;&#32113;&#21512;\&#21442;&#32771;&#36039;&#26009;\Sinops%20I-F&#22793;&#25563;&#20181;&#27096;&#26360;\03_IF&#22793;&#25563;&#22522;&#26412;&#35373;&#35336;&#26360;%20sinops-W\sinops-W_IF&#12524;&#12452;&#12450;&#12454;&#12488;(&#21830;&#21697;&#12510;&#12473;&#12479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更新履歴"/>
      <sheetName val="商品マスタ"/>
      <sheetName val="注意点"/>
      <sheetName val="マッピング"/>
      <sheetName val="ファイルフォーマット留意点"/>
      <sheetName val="補足資料（参考）"/>
    </sheetNames>
    <sheetDataSet>
      <sheetData sheetId="0"/>
      <sheetData sheetId="1">
        <row r="1">
          <cell r="D1" t="str">
            <v>商品マスタ</v>
          </cell>
        </row>
        <row r="2">
          <cell r="D2" t="str">
            <v>【倉庫ｺｰﾄﾞ】mst.txt</v>
          </cell>
        </row>
        <row r="4">
          <cell r="C4" t="str">
            <v>基幹システムのデータベースより、商品の基本情報を連携します。</v>
          </cell>
        </row>
        <row r="7">
          <cell r="B7" t="str">
            <v>ｷｰ</v>
          </cell>
          <cell r="C7" t="str">
            <v>○</v>
          </cell>
          <cell r="D7" t="str">
            <v>品番</v>
          </cell>
        </row>
        <row r="7">
          <cell r="G7" t="str">
            <v>文字</v>
          </cell>
          <cell r="H7">
            <v>100</v>
          </cell>
        </row>
        <row r="8">
          <cell r="C8" t="str">
            <v>○</v>
          </cell>
          <cell r="D8" t="str">
            <v>品名</v>
          </cell>
        </row>
        <row r="8">
          <cell r="G8" t="str">
            <v>文字</v>
          </cell>
          <cell r="H8">
            <v>100</v>
          </cell>
        </row>
        <row r="9">
          <cell r="D9" t="str">
            <v>単位</v>
          </cell>
        </row>
        <row r="9">
          <cell r="G9" t="str">
            <v>文字</v>
          </cell>
          <cell r="H9">
            <v>100</v>
          </cell>
        </row>
        <row r="10">
          <cell r="D10" t="str">
            <v>メーカー名</v>
          </cell>
        </row>
        <row r="10">
          <cell r="G10" t="str">
            <v>文字</v>
          </cell>
          <cell r="H10">
            <v>100</v>
          </cell>
        </row>
        <row r="11">
          <cell r="C11" t="str">
            <v>○</v>
          </cell>
          <cell r="D11" t="str">
            <v>仕入先コード</v>
          </cell>
        </row>
        <row r="11">
          <cell r="G11" t="str">
            <v>文字</v>
          </cell>
          <cell r="H11">
            <v>100</v>
          </cell>
        </row>
        <row r="12">
          <cell r="C12" t="str">
            <v>○</v>
          </cell>
          <cell r="D12" t="str">
            <v>仕入単価</v>
          </cell>
        </row>
        <row r="12">
          <cell r="F12" t="str">
            <v>0.01～99999999.99</v>
          </cell>
          <cell r="G12" t="str">
            <v>数値</v>
          </cell>
          <cell r="H12">
            <v>8.2</v>
          </cell>
        </row>
        <row r="13">
          <cell r="D13" t="str">
            <v>粗利</v>
          </cell>
        </row>
        <row r="13">
          <cell r="F13" t="str">
            <v>0.01～99999999.99</v>
          </cell>
          <cell r="G13" t="str">
            <v>数値</v>
          </cell>
          <cell r="H13">
            <v>8.2</v>
          </cell>
        </row>
        <row r="14">
          <cell r="D14" t="str">
            <v>初期在庫</v>
          </cell>
        </row>
        <row r="14">
          <cell r="F14" t="str">
            <v>固定値”0”</v>
          </cell>
          <cell r="G14" t="str">
            <v>整数値</v>
          </cell>
          <cell r="H14">
            <v>1</v>
          </cell>
        </row>
        <row r="15">
          <cell r="D15" t="str">
            <v>荷役費用／回</v>
          </cell>
        </row>
        <row r="15">
          <cell r="F15" t="str">
            <v>1～99999999</v>
          </cell>
          <cell r="G15" t="str">
            <v>整数値</v>
          </cell>
          <cell r="H15">
            <v>8</v>
          </cell>
        </row>
        <row r="16">
          <cell r="D16" t="str">
            <v>年間保管費用／個</v>
          </cell>
        </row>
        <row r="16">
          <cell r="F16" t="str">
            <v>1～99999999</v>
          </cell>
          <cell r="G16" t="str">
            <v>整数値</v>
          </cell>
          <cell r="H16">
            <v>8</v>
          </cell>
        </row>
        <row r="17">
          <cell r="C17" t="str">
            <v>○</v>
          </cell>
          <cell r="D17" t="str">
            <v>現在庫数　</v>
          </cell>
        </row>
        <row r="17">
          <cell r="F17" t="str">
            <v>-99999999～99999999　※１</v>
          </cell>
          <cell r="G17" t="str">
            <v>整数値</v>
          </cell>
          <cell r="H17">
            <v>8</v>
          </cell>
        </row>
        <row r="18">
          <cell r="D18" t="str">
            <v>カテゴリ</v>
          </cell>
        </row>
        <row r="18">
          <cell r="F18" t="str">
            <v>0～99999999</v>
          </cell>
          <cell r="G18" t="str">
            <v>整数値</v>
          </cell>
          <cell r="H18">
            <v>8</v>
          </cell>
        </row>
        <row r="19">
          <cell r="D19" t="str">
            <v>最低発注数</v>
          </cell>
        </row>
        <row r="19">
          <cell r="F19" t="str">
            <v>NULL値</v>
          </cell>
          <cell r="G19" t="str">
            <v>整数値</v>
          </cell>
          <cell r="H19">
            <v>8</v>
          </cell>
        </row>
        <row r="20">
          <cell r="D20" t="str">
            <v>重量</v>
          </cell>
        </row>
        <row r="20">
          <cell r="F20" t="str">
            <v>0.000～9999999999999999.999</v>
          </cell>
          <cell r="G20" t="str">
            <v>数値</v>
          </cell>
          <cell r="H20">
            <v>16.3</v>
          </cell>
        </row>
        <row r="21">
          <cell r="D21" t="str">
            <v>追加L/T</v>
          </cell>
        </row>
        <row r="21">
          <cell r="F21" t="str">
            <v>0～9</v>
          </cell>
          <cell r="G21" t="str">
            <v>整数値</v>
          </cell>
          <cell r="H21">
            <v>1</v>
          </cell>
        </row>
        <row r="22">
          <cell r="C22" t="str">
            <v>○</v>
          </cell>
          <cell r="D22" t="str">
            <v>L/T</v>
          </cell>
        </row>
        <row r="22">
          <cell r="F22" t="str">
            <v>0～365(0の場合は、インポート時に 1 に変換する）</v>
          </cell>
          <cell r="G22" t="str">
            <v>整数値</v>
          </cell>
          <cell r="H22">
            <v>3</v>
          </cell>
        </row>
        <row r="23">
          <cell r="D23" t="str">
            <v>更新削除</v>
          </cell>
        </row>
        <row r="23">
          <cell r="F23" t="str">
            <v>”削除”、”新商品”、”更新”、“新商品更新”、”部分変更”　※２</v>
          </cell>
          <cell r="G23" t="str">
            <v>文字</v>
          </cell>
          <cell r="H23">
            <v>40</v>
          </cell>
        </row>
        <row r="24">
          <cell r="D24" t="str">
            <v>発注ロット</v>
          </cell>
        </row>
        <row r="24">
          <cell r="F24" t="str">
            <v>1～99999999</v>
          </cell>
          <cell r="G24" t="str">
            <v>整数値</v>
          </cell>
          <cell r="H24">
            <v>8</v>
          </cell>
        </row>
        <row r="25">
          <cell r="D25" t="str">
            <v>予備１</v>
          </cell>
        </row>
        <row r="25">
          <cell r="F25" t="str">
            <v>000000000000000、700000000000000　※３</v>
          </cell>
          <cell r="G25" t="str">
            <v>整数値</v>
          </cell>
          <cell r="H25">
            <v>15</v>
          </cell>
        </row>
        <row r="26">
          <cell r="D26" t="str">
            <v>備考</v>
          </cell>
        </row>
        <row r="26">
          <cell r="F26" t="str">
            <v>固定値 0</v>
          </cell>
          <cell r="G26" t="str">
            <v>文字</v>
          </cell>
          <cell r="H26">
            <v>100</v>
          </cell>
        </row>
      </sheetData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id="1" name="テーブル5" displayName="テーブル5" ref="J10:N26" totalsRowShown="0">
  <autoFilter xmlns:etc="http://www.wps.cn/officeDocument/2017/etCustomData" ref="J10:N26" etc:filterBottomFollowUsedRange="0"/>
  <tableColumns count="5">
    <tableColumn id="1" name="Key">
      <calculatedColumnFormula>[1]商品マスタ!B7</calculatedColumnFormula>
    </tableColumn>
    <tableColumn id="2" name="必須">
      <calculatedColumnFormula>[1]商品マスタ!C7</calculatedColumnFormula>
    </tableColumn>
    <tableColumn id="3" name="データ型">
      <calculatedColumnFormula>[1]商品マスタ!G7</calculatedColumnFormula>
    </tableColumn>
    <tableColumn id="4" name="最大桁数">
      <calculatedColumnFormula>[1]商品マスタ!H7</calculatedColumnFormula>
    </tableColumn>
    <tableColumn id="5" name="区分・範囲">
      <calculatedColumnFormula>[1]商品マスタ!F7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テーブル4" displayName="テーブル4" ref="B10:C26" totalsRowShown="0">
  <autoFilter xmlns:etc="http://www.wps.cn/officeDocument/2017/etCustomData" ref="B10:C26" etc:filterBottomFollowUsedRange="0"/>
  <tableColumns count="2">
    <tableColumn id="1" name="No"/>
    <tableColumn id="2" name="W項目名">
      <calculatedColumnFormula>[1]商品マスタ!D7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showGridLines="0" tabSelected="1" workbookViewId="0">
      <selection activeCell="I7" sqref="I7"/>
    </sheetView>
  </sheetViews>
  <sheetFormatPr defaultColWidth="9" defaultRowHeight="15.75"/>
  <cols>
    <col min="1" max="1" width="8" style="92" customWidth="1"/>
    <col min="2" max="2" width="6" style="92" customWidth="1"/>
    <col min="3" max="3" width="13.625" style="92" customWidth="1"/>
    <col min="4" max="4" width="10.875" style="92" customWidth="1"/>
    <col min="5" max="5" width="20.125" style="92" customWidth="1"/>
    <col min="6" max="6" width="28" style="92" customWidth="1"/>
    <col min="7" max="7" width="18" style="92" customWidth="1"/>
    <col min="8" max="8" width="8" style="92" customWidth="1"/>
    <col min="9" max="9" width="62.75" style="92" customWidth="1"/>
    <col min="10" max="16384" width="9" style="92"/>
  </cols>
  <sheetData>
    <row r="1" ht="30" customHeight="1" spans="1:10">
      <c r="A1" s="93" t="s">
        <v>0</v>
      </c>
    </row>
    <row r="2" ht="24" customHeight="1" spans="1:10">
      <c r="A2" s="94" t="s">
        <v>1</v>
      </c>
    </row>
    <row r="3" ht="18" customHeight="1" spans="1:10">
      <c r="A3" s="95" t="s">
        <v>2</v>
      </c>
    </row>
    <row r="4" s="91" customFormat="1" ht="27.75" customHeight="1" spans="1:10">
      <c r="A4" s="96" t="s">
        <v>3</v>
      </c>
      <c r="B4" s="96" t="s">
        <v>4</v>
      </c>
      <c r="C4" s="96" t="s">
        <v>5</v>
      </c>
      <c r="D4" s="96" t="s">
        <v>6</v>
      </c>
      <c r="E4" s="96" t="s">
        <v>7</v>
      </c>
      <c r="F4" s="96" t="s">
        <v>8</v>
      </c>
      <c r="G4" s="96" t="s">
        <v>9</v>
      </c>
      <c r="H4" s="96" t="s">
        <v>10</v>
      </c>
      <c r="I4" s="96" t="s">
        <v>11</v>
      </c>
    </row>
    <row r="5" ht="18" customHeight="1" spans="1:10">
      <c r="A5" s="97" t="s">
        <v>12</v>
      </c>
    </row>
    <row r="6" ht="50" customHeight="1" spans="1:10">
      <c r="A6" s="98">
        <v>1</v>
      </c>
      <c r="B6" s="98" t="s">
        <v>13</v>
      </c>
      <c r="C6" s="99" t="s">
        <v>14</v>
      </c>
      <c r="D6" s="98" t="s">
        <v>15</v>
      </c>
      <c r="E6" s="98"/>
      <c r="F6" s="99" t="s">
        <v>16</v>
      </c>
      <c r="G6" s="98" t="s">
        <v>17</v>
      </c>
      <c r="H6" s="100" t="s">
        <v>13</v>
      </c>
      <c r="I6" s="101" t="s">
        <v>18</v>
      </c>
    </row>
    <row r="7" ht="50" customHeight="1" spans="1:10">
      <c r="A7" s="98">
        <v>2</v>
      </c>
      <c r="B7" s="98" t="s">
        <v>13</v>
      </c>
      <c r="C7" s="99" t="s">
        <v>19</v>
      </c>
      <c r="D7" s="98" t="s">
        <v>15</v>
      </c>
      <c r="E7" s="98"/>
      <c r="F7" s="99" t="s">
        <v>20</v>
      </c>
      <c r="G7" s="98" t="s">
        <v>21</v>
      </c>
      <c r="H7" s="100" t="s">
        <v>13</v>
      </c>
      <c r="I7" s="101" t="s">
        <v>22</v>
      </c>
    </row>
    <row r="8" ht="50" customHeight="1" spans="1:10">
      <c r="A8" s="98">
        <v>3</v>
      </c>
      <c r="B8" s="98" t="s">
        <v>23</v>
      </c>
      <c r="C8" s="99" t="s">
        <v>24</v>
      </c>
      <c r="D8" s="98" t="s">
        <v>15</v>
      </c>
      <c r="E8" s="98"/>
      <c r="F8" s="99" t="s">
        <v>25</v>
      </c>
      <c r="G8" s="98" t="s">
        <v>26</v>
      </c>
      <c r="H8" s="102" t="s">
        <v>26</v>
      </c>
      <c r="I8" s="103" t="s">
        <v>27</v>
      </c>
    </row>
    <row r="9" ht="50" customHeight="1" spans="1:10">
      <c r="A9" s="98">
        <v>4</v>
      </c>
      <c r="B9" s="98" t="s">
        <v>23</v>
      </c>
      <c r="C9" s="99" t="s">
        <v>28</v>
      </c>
      <c r="D9" s="98" t="s">
        <v>15</v>
      </c>
      <c r="E9" s="98"/>
      <c r="F9" s="99" t="s">
        <v>29</v>
      </c>
      <c r="G9" s="98" t="s">
        <v>30</v>
      </c>
      <c r="H9" s="104" t="s">
        <v>31</v>
      </c>
      <c r="I9" s="105" t="s">
        <v>32</v>
      </c>
    </row>
    <row r="10" ht="18" customHeight="1" spans="1:10">
      <c r="A10" s="97" t="s">
        <v>33</v>
      </c>
    </row>
    <row r="11" ht="50" customHeight="1" spans="1:10">
      <c r="A11" s="98">
        <v>5</v>
      </c>
      <c r="B11" s="98" t="s">
        <v>13</v>
      </c>
      <c r="C11" s="99" t="s">
        <v>34</v>
      </c>
      <c r="D11" s="98" t="s">
        <v>15</v>
      </c>
      <c r="E11" s="106"/>
      <c r="F11" s="107" t="s">
        <v>35</v>
      </c>
      <c r="G11" s="98" t="s">
        <v>30</v>
      </c>
      <c r="H11" s="104" t="s">
        <v>31</v>
      </c>
      <c r="I11" s="108" t="s">
        <v>36</v>
      </c>
      <c r="J11" s="109"/>
    </row>
    <row r="12" ht="50" customHeight="1" spans="1:10">
      <c r="A12" s="98">
        <v>6</v>
      </c>
      <c r="B12" s="98" t="s">
        <v>13</v>
      </c>
      <c r="C12" s="99" t="s">
        <v>37</v>
      </c>
      <c r="D12" s="98" t="s">
        <v>38</v>
      </c>
      <c r="E12" s="106" t="s">
        <v>39</v>
      </c>
      <c r="F12" s="107" t="s">
        <v>40</v>
      </c>
      <c r="G12" s="98" t="s">
        <v>21</v>
      </c>
      <c r="H12" s="100" t="s">
        <v>41</v>
      </c>
      <c r="I12" s="101" t="s">
        <v>42</v>
      </c>
      <c r="J12" s="109"/>
    </row>
    <row r="13" ht="50" customHeight="1" spans="1:10">
      <c r="A13" s="98">
        <v>7</v>
      </c>
      <c r="B13" s="98" t="s">
        <v>23</v>
      </c>
      <c r="C13" s="99" t="s">
        <v>43</v>
      </c>
      <c r="D13" s="98" t="s">
        <v>38</v>
      </c>
      <c r="E13" s="106" t="s">
        <v>39</v>
      </c>
      <c r="F13" s="99" t="s">
        <v>25</v>
      </c>
      <c r="G13" s="98" t="s">
        <v>26</v>
      </c>
      <c r="H13" s="102" t="s">
        <v>26</v>
      </c>
      <c r="I13" s="103" t="s">
        <v>44</v>
      </c>
    </row>
    <row r="14" ht="18" customHeight="1" spans="1:10">
      <c r="A14" s="97" t="s">
        <v>45</v>
      </c>
    </row>
    <row r="15" ht="50" customHeight="1" spans="1:10">
      <c r="A15" s="98">
        <v>8</v>
      </c>
      <c r="B15" s="98" t="s">
        <v>23</v>
      </c>
      <c r="C15" s="99" t="s">
        <v>46</v>
      </c>
      <c r="D15" s="98" t="s">
        <v>47</v>
      </c>
      <c r="E15" s="106">
        <v>0</v>
      </c>
      <c r="F15" s="99" t="s">
        <v>25</v>
      </c>
      <c r="G15" s="98" t="s">
        <v>26</v>
      </c>
      <c r="H15" s="102" t="s">
        <v>26</v>
      </c>
      <c r="I15" s="103" t="s">
        <v>48</v>
      </c>
    </row>
    <row r="16" ht="50" customHeight="1" spans="1:10">
      <c r="A16" s="98">
        <v>9</v>
      </c>
      <c r="B16" s="98" t="s">
        <v>23</v>
      </c>
      <c r="C16" s="99" t="s">
        <v>49</v>
      </c>
      <c r="D16" s="98" t="s">
        <v>50</v>
      </c>
      <c r="E16" s="106" t="s">
        <v>51</v>
      </c>
      <c r="F16" s="99" t="s">
        <v>25</v>
      </c>
      <c r="G16" s="98" t="s">
        <v>26</v>
      </c>
      <c r="H16" s="102" t="s">
        <v>26</v>
      </c>
      <c r="I16" s="103" t="s">
        <v>52</v>
      </c>
    </row>
    <row r="17" ht="50" customHeight="1" spans="1:10">
      <c r="A17" s="98">
        <v>10</v>
      </c>
      <c r="B17" s="98" t="s">
        <v>23</v>
      </c>
      <c r="C17" s="99" t="s">
        <v>53</v>
      </c>
      <c r="D17" s="98" t="s">
        <v>50</v>
      </c>
      <c r="E17" s="106" t="s">
        <v>51</v>
      </c>
      <c r="F17" s="99" t="s">
        <v>25</v>
      </c>
      <c r="G17" s="98" t="s">
        <v>26</v>
      </c>
      <c r="H17" s="102" t="s">
        <v>26</v>
      </c>
      <c r="I17" s="103" t="s">
        <v>52</v>
      </c>
    </row>
    <row r="18" ht="50" customHeight="1" spans="1:10">
      <c r="A18" s="98">
        <v>11</v>
      </c>
      <c r="B18" s="98" t="s">
        <v>13</v>
      </c>
      <c r="C18" s="99" t="s">
        <v>54</v>
      </c>
      <c r="D18" s="98" t="s">
        <v>50</v>
      </c>
      <c r="E18" s="106" t="s">
        <v>55</v>
      </c>
      <c r="F18" s="107" t="s">
        <v>56</v>
      </c>
      <c r="G18" s="98" t="s">
        <v>57</v>
      </c>
      <c r="H18" s="104" t="s">
        <v>31</v>
      </c>
      <c r="I18" s="110" t="s">
        <v>58</v>
      </c>
      <c r="J18" s="109" t="s">
        <v>59</v>
      </c>
    </row>
    <row r="19" ht="18" customHeight="1" spans="1:10">
      <c r="A19" s="97" t="s">
        <v>60</v>
      </c>
    </row>
    <row r="20" ht="71.25" spans="1:10">
      <c r="A20" s="98">
        <v>12</v>
      </c>
      <c r="B20" s="98" t="s">
        <v>23</v>
      </c>
      <c r="C20" s="99" t="s">
        <v>61</v>
      </c>
      <c r="D20" s="98" t="s">
        <v>50</v>
      </c>
      <c r="E20" s="111" t="s">
        <v>62</v>
      </c>
      <c r="F20" s="99" t="s">
        <v>63</v>
      </c>
      <c r="G20" s="98" t="s">
        <v>64</v>
      </c>
      <c r="H20" s="104" t="s">
        <v>31</v>
      </c>
      <c r="I20" s="110" t="s">
        <v>65</v>
      </c>
    </row>
    <row r="21" ht="50" customHeight="1" spans="1:10">
      <c r="A21" s="98">
        <v>13</v>
      </c>
      <c r="B21" s="98" t="s">
        <v>23</v>
      </c>
      <c r="C21" s="99" t="s">
        <v>66</v>
      </c>
      <c r="D21" s="98" t="s">
        <v>50</v>
      </c>
      <c r="E21" s="106"/>
      <c r="F21" s="99" t="s">
        <v>25</v>
      </c>
      <c r="G21" s="98" t="s">
        <v>26</v>
      </c>
      <c r="H21" s="102" t="s">
        <v>26</v>
      </c>
      <c r="I21" s="103" t="s">
        <v>67</v>
      </c>
    </row>
    <row r="22" ht="50" customHeight="1" spans="1:10">
      <c r="A22" s="98">
        <v>14</v>
      </c>
      <c r="B22" s="98" t="s">
        <v>23</v>
      </c>
      <c r="C22" s="99" t="s">
        <v>68</v>
      </c>
      <c r="D22" s="98" t="s">
        <v>69</v>
      </c>
      <c r="E22" s="106" t="s">
        <v>70</v>
      </c>
      <c r="F22" s="99" t="s">
        <v>71</v>
      </c>
      <c r="G22" s="98" t="s">
        <v>21</v>
      </c>
      <c r="H22" s="104" t="s">
        <v>31</v>
      </c>
      <c r="I22" s="110" t="s">
        <v>72</v>
      </c>
    </row>
    <row r="23" ht="18" customHeight="1" spans="1:10">
      <c r="A23" s="97" t="s">
        <v>73</v>
      </c>
    </row>
    <row r="24" ht="50" customHeight="1" spans="1:10">
      <c r="A24" s="98">
        <v>15</v>
      </c>
      <c r="B24" s="98" t="s">
        <v>23</v>
      </c>
      <c r="C24" s="99" t="s">
        <v>74</v>
      </c>
      <c r="D24" s="98" t="s">
        <v>47</v>
      </c>
      <c r="E24" s="106" t="s">
        <v>75</v>
      </c>
      <c r="F24" s="99" t="s">
        <v>25</v>
      </c>
      <c r="G24" s="98" t="s">
        <v>26</v>
      </c>
      <c r="H24" s="102" t="s">
        <v>26</v>
      </c>
      <c r="I24" s="103" t="s">
        <v>48</v>
      </c>
    </row>
    <row r="25" ht="88" customHeight="1" spans="1:10">
      <c r="A25" s="98">
        <v>16</v>
      </c>
      <c r="B25" s="98" t="s">
        <v>13</v>
      </c>
      <c r="C25" s="99" t="s">
        <v>76</v>
      </c>
      <c r="D25" s="98" t="s">
        <v>77</v>
      </c>
      <c r="E25" s="106" t="s">
        <v>78</v>
      </c>
      <c r="F25" s="112" t="s">
        <v>79</v>
      </c>
      <c r="G25" s="113" t="s">
        <v>79</v>
      </c>
      <c r="H25" s="102" t="s">
        <v>26</v>
      </c>
      <c r="I25" s="103" t="s">
        <v>80</v>
      </c>
    </row>
    <row r="26" ht="50" customHeight="1" spans="1:10">
      <c r="A26" s="98">
        <v>18</v>
      </c>
      <c r="B26" s="98" t="s">
        <v>23</v>
      </c>
      <c r="C26" s="99" t="s">
        <v>81</v>
      </c>
      <c r="D26" s="98" t="s">
        <v>50</v>
      </c>
      <c r="E26" s="106" t="s">
        <v>51</v>
      </c>
      <c r="F26" s="99" t="s">
        <v>82</v>
      </c>
      <c r="G26" s="98" t="s">
        <v>21</v>
      </c>
      <c r="H26" s="104" t="s">
        <v>31</v>
      </c>
      <c r="I26" s="110" t="s">
        <v>83</v>
      </c>
    </row>
    <row r="27" ht="18" customHeight="1" spans="1:10">
      <c r="A27" s="97" t="s">
        <v>84</v>
      </c>
    </row>
    <row r="28" ht="50" customHeight="1" spans="1:10">
      <c r="A28" s="98">
        <v>17</v>
      </c>
      <c r="B28" s="98" t="s">
        <v>23</v>
      </c>
      <c r="C28" s="99" t="s">
        <v>85</v>
      </c>
      <c r="D28" s="98" t="s">
        <v>86</v>
      </c>
      <c r="E28" s="106" t="s">
        <v>87</v>
      </c>
      <c r="F28" s="99" t="s">
        <v>88</v>
      </c>
      <c r="G28" s="98" t="s">
        <v>26</v>
      </c>
      <c r="H28" s="104" t="s">
        <v>31</v>
      </c>
      <c r="I28" s="110" t="s">
        <v>89</v>
      </c>
    </row>
    <row r="29" ht="50" customHeight="1" spans="1:10">
      <c r="A29" s="98">
        <v>19</v>
      </c>
      <c r="B29" s="98" t="s">
        <v>23</v>
      </c>
      <c r="C29" s="99" t="s">
        <v>90</v>
      </c>
      <c r="D29" s="98" t="s">
        <v>91</v>
      </c>
      <c r="E29" s="106" t="s">
        <v>92</v>
      </c>
      <c r="F29" s="112" t="s">
        <v>93</v>
      </c>
      <c r="G29" s="98" t="s">
        <v>94</v>
      </c>
      <c r="H29" s="104" t="s">
        <v>95</v>
      </c>
      <c r="I29" s="110" t="s">
        <v>96</v>
      </c>
      <c r="J29" s="109" t="s">
        <v>97</v>
      </c>
    </row>
    <row r="30" ht="50" customHeight="1" spans="1:10">
      <c r="A30" s="98">
        <v>20</v>
      </c>
      <c r="B30" s="98" t="s">
        <v>23</v>
      </c>
      <c r="C30" s="99" t="s">
        <v>98</v>
      </c>
      <c r="D30" s="98" t="s">
        <v>15</v>
      </c>
      <c r="E30" s="106"/>
      <c r="F30" s="99" t="s">
        <v>25</v>
      </c>
      <c r="G30" s="98" t="s">
        <v>26</v>
      </c>
      <c r="H30" s="102" t="s">
        <v>26</v>
      </c>
      <c r="I30" s="103" t="s">
        <v>48</v>
      </c>
    </row>
  </sheetData>
  <mergeCells count="9">
    <mergeCell ref="A1:I1"/>
    <mergeCell ref="A2:I2"/>
    <mergeCell ref="A3:I3"/>
    <mergeCell ref="A5:I5"/>
    <mergeCell ref="A10:I10"/>
    <mergeCell ref="A14:I14"/>
    <mergeCell ref="A19:I19"/>
    <mergeCell ref="A23:I23"/>
    <mergeCell ref="A27:I2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:H1"/>
    </sheetView>
  </sheetViews>
  <sheetFormatPr defaultColWidth="9" defaultRowHeight="13.5" outlineLevelRow="5" outlineLevelCol="7"/>
  <cols>
    <col min="1" max="1" width="30" customWidth="1"/>
    <col min="2" max="2" width="24" customWidth="1"/>
    <col min="3" max="3" width="10" customWidth="1"/>
    <col min="4" max="4" width="8" customWidth="1"/>
    <col min="5" max="5" width="56" customWidth="1"/>
  </cols>
  <sheetData>
    <row r="1" ht="28" customHeight="1" spans="1:5">
      <c r="A1" s="82" t="s">
        <v>99</v>
      </c>
    </row>
    <row r="2" ht="22" customHeight="1" spans="1:5">
      <c r="A2" s="83" t="s">
        <v>100</v>
      </c>
      <c r="B2" s="83" t="s">
        <v>10</v>
      </c>
      <c r="C2" s="84" t="s">
        <v>101</v>
      </c>
      <c r="D2" s="84" t="s">
        <v>102</v>
      </c>
      <c r="E2" s="83" t="s">
        <v>103</v>
      </c>
    </row>
    <row r="3" ht="50" customHeight="1" spans="1:5">
      <c r="A3" s="85" t="s">
        <v>104</v>
      </c>
      <c r="B3" s="86" t="s">
        <v>105</v>
      </c>
      <c r="C3" s="87" t="s">
        <v>106</v>
      </c>
      <c r="D3" s="87" t="s">
        <v>107</v>
      </c>
      <c r="E3" s="85" t="s">
        <v>108</v>
      </c>
    </row>
    <row r="4" ht="50" customHeight="1" spans="1:5">
      <c r="A4" s="85" t="s">
        <v>104</v>
      </c>
      <c r="B4" s="88" t="s">
        <v>109</v>
      </c>
      <c r="C4" s="87" t="s">
        <v>110</v>
      </c>
      <c r="D4" s="87" t="s">
        <v>111</v>
      </c>
      <c r="E4" s="85" t="s">
        <v>112</v>
      </c>
    </row>
    <row r="5" ht="50" customHeight="1" spans="1:5">
      <c r="A5" s="85" t="s">
        <v>104</v>
      </c>
      <c r="B5" s="89" t="s">
        <v>113</v>
      </c>
      <c r="C5" s="87" t="s">
        <v>106</v>
      </c>
      <c r="D5" s="87" t="s">
        <v>107</v>
      </c>
      <c r="E5" s="85" t="s">
        <v>114</v>
      </c>
    </row>
    <row r="6" ht="50" customHeight="1" spans="1:5">
      <c r="A6" s="85" t="s">
        <v>104</v>
      </c>
      <c r="B6" s="90" t="s">
        <v>115</v>
      </c>
      <c r="C6" s="87" t="s">
        <v>116</v>
      </c>
      <c r="D6" s="87" t="s">
        <v>117</v>
      </c>
      <c r="E6" s="85" t="s">
        <v>118</v>
      </c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S48"/>
  <sheetViews>
    <sheetView showGridLines="0" topLeftCell="A8" workbookViewId="0">
      <selection activeCell="D28" sqref="D28"/>
    </sheetView>
  </sheetViews>
  <sheetFormatPr defaultColWidth="9" defaultRowHeight="18.75"/>
  <cols>
    <col min="1" max="1" width="1.125" style="3" customWidth="1"/>
    <col min="2" max="2" width="5.25" style="3" customWidth="1"/>
    <col min="3" max="3" width="17.25" style="3" customWidth="1"/>
    <col min="4" max="4" width="23.5" style="3" customWidth="1"/>
    <col min="5" max="5" width="33.375" style="3" customWidth="1"/>
    <col min="6" max="6" width="9" style="3"/>
    <col min="7" max="7" width="19.25" style="3" customWidth="1"/>
    <col min="8" max="8" width="8.75" style="3" customWidth="1"/>
    <col min="9" max="9" width="7.625" style="3" customWidth="1"/>
    <col min="10" max="11" width="6.75" style="3" customWidth="1"/>
    <col min="12" max="12" width="9" style="3"/>
    <col min="13" max="13" width="9.75" style="3" customWidth="1"/>
    <col min="14" max="14" width="54.625" style="3" customWidth="1"/>
    <col min="15" max="15" width="41.75" style="3" customWidth="1"/>
    <col min="16" max="16384" width="9" style="3"/>
  </cols>
  <sheetData>
    <row r="1" ht="9.4" customHeight="1"/>
    <row r="2" s="1" customFormat="1" ht="18" customHeight="1" spans="2:19">
      <c r="B2" s="4" t="s">
        <v>119</v>
      </c>
      <c r="C2" s="5"/>
      <c r="D2" s="6" t="s">
        <v>120</v>
      </c>
      <c r="E2" s="7"/>
      <c r="F2" s="8" t="s">
        <v>121</v>
      </c>
      <c r="G2" s="8"/>
      <c r="H2" s="8"/>
      <c r="I2" s="8"/>
      <c r="J2" s="8"/>
      <c r="K2" s="8"/>
      <c r="L2" s="8"/>
      <c r="M2" s="8"/>
      <c r="N2" s="8"/>
      <c r="O2" s="7"/>
      <c r="P2" s="2"/>
      <c r="Q2" s="2"/>
      <c r="R2" s="2"/>
      <c r="S2" s="2"/>
    </row>
    <row r="3" s="1" customFormat="1" ht="18" customHeight="1" spans="2:19">
      <c r="B3" s="9"/>
      <c r="C3" s="10"/>
      <c r="D3" s="11" t="str">
        <f>[1]商品マスタ!D1</f>
        <v>商品マスタ</v>
      </c>
      <c r="E3" s="12"/>
      <c r="F3" s="13" t="str">
        <f>[1]商品マスタ!C4</f>
        <v>基幹システムのデータベースより、商品の基本情報を連携します。</v>
      </c>
      <c r="G3" s="14"/>
      <c r="H3" s="14"/>
      <c r="I3" s="14"/>
      <c r="J3" s="14"/>
      <c r="K3" s="14"/>
      <c r="L3" s="14"/>
      <c r="M3" s="14"/>
      <c r="N3" s="14"/>
      <c r="O3" s="15"/>
      <c r="P3" s="2"/>
      <c r="Q3" s="2"/>
      <c r="R3" s="2"/>
      <c r="S3" s="2"/>
    </row>
    <row r="4" s="2" customFormat="1" ht="18" customHeight="1" spans="2:19">
      <c r="B4" s="16"/>
      <c r="C4" s="17"/>
      <c r="D4" s="18"/>
      <c r="E4" s="19"/>
      <c r="F4" s="20"/>
      <c r="G4" s="21"/>
      <c r="H4" s="21"/>
      <c r="I4" s="21"/>
      <c r="J4" s="21"/>
      <c r="K4" s="21"/>
      <c r="L4" s="21"/>
      <c r="M4" s="21"/>
      <c r="N4" s="21"/>
      <c r="O4" s="22"/>
    </row>
    <row r="5" s="2" customFormat="1" ht="17.65" customHeight="1" spans="2:19">
      <c r="F5" s="6" t="s">
        <v>122</v>
      </c>
      <c r="G5" s="7"/>
      <c r="H5" s="8"/>
      <c r="I5" s="8"/>
      <c r="J5" s="6" t="s">
        <v>123</v>
      </c>
      <c r="K5" s="7"/>
      <c r="L5" s="6"/>
      <c r="M5" s="7"/>
      <c r="N5" s="6" t="s">
        <v>124</v>
      </c>
      <c r="O5" s="7"/>
    </row>
    <row r="6" s="2" customFormat="1" ht="18.4" customHeight="1" spans="2:19">
      <c r="F6" s="23" t="str">
        <f>[1]商品マスタ!D2</f>
        <v>【倉庫ｺｰﾄﾞ】mst.txt</v>
      </c>
      <c r="G6" s="24"/>
      <c r="H6" s="25"/>
      <c r="I6" s="25"/>
      <c r="J6" s="23" t="s">
        <v>125</v>
      </c>
      <c r="K6" s="24"/>
      <c r="L6" s="26"/>
      <c r="M6" s="27"/>
      <c r="N6" s="28" t="s">
        <v>126</v>
      </c>
      <c r="O6" s="29"/>
    </row>
    <row r="7" ht="21" spans="2:19">
      <c r="B7" s="30" t="s">
        <v>127</v>
      </c>
      <c r="C7" s="2"/>
      <c r="D7" s="2"/>
      <c r="E7" s="2"/>
      <c r="F7" s="31"/>
      <c r="G7" s="31"/>
      <c r="H7" s="31"/>
      <c r="I7" s="31"/>
      <c r="J7" s="31"/>
      <c r="K7" s="31"/>
      <c r="L7" s="32"/>
      <c r="M7" s="32"/>
      <c r="N7" s="33"/>
      <c r="O7" s="32"/>
    </row>
    <row r="8" spans="2:19">
      <c r="B8" s="34"/>
      <c r="C8" s="2"/>
      <c r="D8" s="2"/>
      <c r="E8" s="2"/>
      <c r="F8" s="2"/>
      <c r="G8" s="2"/>
      <c r="H8" s="2"/>
      <c r="I8" s="2"/>
      <c r="J8" s="2"/>
      <c r="K8" s="2"/>
      <c r="L8" s="32"/>
      <c r="M8" s="32"/>
      <c r="N8" s="33"/>
      <c r="O8" s="32"/>
    </row>
    <row r="9" spans="2:19">
      <c r="B9" s="35"/>
      <c r="C9" s="36"/>
      <c r="D9" s="37" t="s">
        <v>128</v>
      </c>
      <c r="E9" s="38"/>
      <c r="F9" s="39"/>
      <c r="G9" s="39"/>
      <c r="H9" s="39"/>
      <c r="I9" s="39"/>
      <c r="J9" s="39"/>
      <c r="K9" s="39"/>
      <c r="L9" s="39"/>
      <c r="M9" s="39"/>
      <c r="N9" s="40"/>
      <c r="O9" s="41"/>
    </row>
    <row r="10" spans="2:19">
      <c r="B10" s="42" t="s">
        <v>129</v>
      </c>
      <c r="C10" s="42" t="s">
        <v>130</v>
      </c>
      <c r="D10" s="43" t="s">
        <v>131</v>
      </c>
      <c r="E10" s="44" t="s">
        <v>132</v>
      </c>
      <c r="F10" s="44" t="s">
        <v>133</v>
      </c>
      <c r="G10" s="45" t="s">
        <v>134</v>
      </c>
      <c r="H10" s="44" t="s">
        <v>135</v>
      </c>
      <c r="I10" s="44" t="s">
        <v>136</v>
      </c>
      <c r="J10" s="46" t="s">
        <v>137</v>
      </c>
      <c r="K10" s="42" t="s">
        <v>4</v>
      </c>
      <c r="L10" s="42" t="s">
        <v>138</v>
      </c>
      <c r="M10" s="42" t="s">
        <v>139</v>
      </c>
      <c r="N10" s="47" t="s">
        <v>140</v>
      </c>
      <c r="O10" s="43" t="s">
        <v>141</v>
      </c>
    </row>
    <row r="11" spans="2:19">
      <c r="B11" s="48">
        <v>1</v>
      </c>
      <c r="C11" s="48" t="str">
        <f>[1]商品マスタ!D7</f>
        <v>品番</v>
      </c>
      <c r="D11" s="49" t="s">
        <v>142</v>
      </c>
      <c r="E11" s="50" t="s">
        <v>143</v>
      </c>
      <c r="F11" s="51"/>
      <c r="G11" s="52"/>
      <c r="H11" s="52" t="s">
        <v>144</v>
      </c>
      <c r="I11" s="52" t="s">
        <v>145</v>
      </c>
      <c r="J11" s="53" t="str">
        <f>[1]商品マスタ!B7</f>
        <v>ｷｰ</v>
      </c>
      <c r="K11" s="53" t="str">
        <f>[1]商品マスタ!C7</f>
        <v>○</v>
      </c>
      <c r="L11" s="53" t="str">
        <f>[1]商品マスタ!G7</f>
        <v>文字</v>
      </c>
      <c r="M11" s="53">
        <f>[1]商品マスタ!H7</f>
        <v>100</v>
      </c>
      <c r="N11" s="54">
        <f>[1]商品マスタ!F7</f>
        <v>0</v>
      </c>
      <c r="O11" s="55"/>
    </row>
    <row r="12" spans="2:19">
      <c r="B12" s="48">
        <v>2</v>
      </c>
      <c r="C12" s="48" t="str">
        <f>[1]商品マスタ!D8</f>
        <v>品名</v>
      </c>
      <c r="D12" s="49" t="s">
        <v>146</v>
      </c>
      <c r="E12" s="56" t="s">
        <v>147</v>
      </c>
      <c r="F12" s="51"/>
      <c r="G12" s="52"/>
      <c r="H12" s="52" t="s">
        <v>144</v>
      </c>
      <c r="I12" s="52" t="s">
        <v>148</v>
      </c>
      <c r="J12" s="53">
        <f>[1]商品マスタ!B8</f>
        <v>0</v>
      </c>
      <c r="K12" s="53" t="str">
        <f>[1]商品マスタ!C8</f>
        <v>○</v>
      </c>
      <c r="L12" s="53" t="str">
        <f>[1]商品マスタ!G8</f>
        <v>文字</v>
      </c>
      <c r="M12" s="53">
        <f>[1]商品マスタ!H8</f>
        <v>100</v>
      </c>
      <c r="N12" s="54">
        <f>[1]商品マスタ!F8</f>
        <v>0</v>
      </c>
      <c r="O12" s="55"/>
    </row>
    <row r="13" spans="2:19">
      <c r="B13" s="48">
        <v>3</v>
      </c>
      <c r="C13" s="48" t="str">
        <f>[1]商品マスタ!D9</f>
        <v>単位</v>
      </c>
      <c r="D13" s="49"/>
      <c r="E13" s="50"/>
      <c r="F13" s="51" t="s">
        <v>149</v>
      </c>
      <c r="G13" s="52"/>
      <c r="H13" s="52"/>
      <c r="I13" s="52"/>
      <c r="J13" s="53">
        <f>[1]商品マスタ!B9</f>
        <v>0</v>
      </c>
      <c r="K13" s="53">
        <f>[1]商品マスタ!C9</f>
        <v>0</v>
      </c>
      <c r="L13" s="53" t="str">
        <f>[1]商品マスタ!G9</f>
        <v>文字</v>
      </c>
      <c r="M13" s="53">
        <f>[1]商品マスタ!H9</f>
        <v>100</v>
      </c>
      <c r="N13" s="54">
        <f>[1]商品マスタ!F9</f>
        <v>0</v>
      </c>
      <c r="O13" s="55"/>
    </row>
    <row r="14" spans="2:19">
      <c r="B14" s="48">
        <v>4</v>
      </c>
      <c r="C14" s="48" t="str">
        <f>[1]商品マスタ!D10</f>
        <v>メーカー名</v>
      </c>
      <c r="D14" s="49" t="s">
        <v>146</v>
      </c>
      <c r="E14" s="56" t="s">
        <v>150</v>
      </c>
      <c r="F14" s="51"/>
      <c r="G14" s="52"/>
      <c r="H14" s="52" t="s">
        <v>144</v>
      </c>
      <c r="I14" s="52" t="s">
        <v>151</v>
      </c>
      <c r="J14" s="53">
        <f>[1]商品マスタ!B10</f>
        <v>0</v>
      </c>
      <c r="K14" s="53">
        <f>[1]商品マスタ!C10</f>
        <v>0</v>
      </c>
      <c r="L14" s="53" t="str">
        <f>[1]商品マスタ!G10</f>
        <v>文字</v>
      </c>
      <c r="M14" s="53">
        <f>[1]商品マスタ!H10</f>
        <v>100</v>
      </c>
      <c r="N14" s="54">
        <f>[1]商品マスタ!F10</f>
        <v>0</v>
      </c>
      <c r="O14" s="57"/>
    </row>
    <row r="15" spans="2:19">
      <c r="B15" s="48">
        <v>5</v>
      </c>
      <c r="C15" s="48" t="str">
        <f>[1]商品マスタ!D11</f>
        <v>仕入先コード</v>
      </c>
      <c r="D15" s="49" t="s">
        <v>142</v>
      </c>
      <c r="E15" s="114" t="s">
        <v>152</v>
      </c>
      <c r="F15" s="59"/>
      <c r="G15" s="60"/>
      <c r="H15" s="52" t="s">
        <v>144</v>
      </c>
      <c r="I15" s="52" t="s">
        <v>153</v>
      </c>
      <c r="J15" s="53">
        <f>[1]商品マスタ!B11</f>
        <v>0</v>
      </c>
      <c r="K15" s="53" t="str">
        <f>[1]商品マスタ!C11</f>
        <v>○</v>
      </c>
      <c r="L15" s="53" t="str">
        <f>[1]商品マスタ!G11</f>
        <v>文字</v>
      </c>
      <c r="M15" s="53">
        <f>[1]商品マスタ!H11</f>
        <v>100</v>
      </c>
      <c r="N15" s="54">
        <f>[1]商品マスタ!F11</f>
        <v>0</v>
      </c>
      <c r="O15" s="61"/>
    </row>
    <row r="16" spans="2:19">
      <c r="B16" s="48">
        <v>6</v>
      </c>
      <c r="C16" s="48" t="str">
        <f>[1]商品マスタ!D12</f>
        <v>仕入単価</v>
      </c>
      <c r="D16" s="49" t="s">
        <v>142</v>
      </c>
      <c r="E16" s="56" t="s">
        <v>154</v>
      </c>
      <c r="F16" s="59"/>
      <c r="G16" s="60"/>
      <c r="H16" s="52" t="s">
        <v>155</v>
      </c>
      <c r="I16" s="52" t="s">
        <v>156</v>
      </c>
      <c r="J16" s="53">
        <f>[1]商品マスタ!B12</f>
        <v>0</v>
      </c>
      <c r="K16" s="53" t="str">
        <f>[1]商品マスタ!C12</f>
        <v>○</v>
      </c>
      <c r="L16" s="53" t="str">
        <f>[1]商品マスタ!G12</f>
        <v>数値</v>
      </c>
      <c r="M16" s="53">
        <f>[1]商品マスタ!H12</f>
        <v>8.2</v>
      </c>
      <c r="N16" s="54" t="str">
        <f>[1]商品マスタ!F12</f>
        <v>0.01～99999999.99</v>
      </c>
      <c r="O16" s="62" t="s">
        <v>157</v>
      </c>
    </row>
    <row r="17" spans="2:15">
      <c r="B17" s="48">
        <v>7</v>
      </c>
      <c r="C17" s="48" t="str">
        <f>[1]商品マスタ!D13</f>
        <v>粗利</v>
      </c>
      <c r="D17" s="49"/>
      <c r="E17" s="58"/>
      <c r="F17" s="59">
        <v>0.01</v>
      </c>
      <c r="G17" s="60"/>
      <c r="H17" s="52"/>
      <c r="I17" s="63"/>
      <c r="J17" s="53">
        <f>[1]商品マスタ!B13</f>
        <v>0</v>
      </c>
      <c r="K17" s="53">
        <f>[1]商品マスタ!C13</f>
        <v>0</v>
      </c>
      <c r="L17" s="53" t="str">
        <f>[1]商品マスタ!G13</f>
        <v>数値</v>
      </c>
      <c r="M17" s="53">
        <f>[1]商品マスタ!H13</f>
        <v>8.2</v>
      </c>
      <c r="N17" s="54" t="str">
        <f>[1]商品マスタ!F13</f>
        <v>0.01～99999999.99</v>
      </c>
      <c r="O17" s="61"/>
    </row>
    <row r="18" spans="2:15">
      <c r="B18" s="48">
        <v>8</v>
      </c>
      <c r="C18" s="48" t="str">
        <f>[1]商品マスタ!D14</f>
        <v>初期在庫</v>
      </c>
      <c r="D18" s="49"/>
      <c r="E18" s="58"/>
      <c r="F18" s="51">
        <v>0</v>
      </c>
      <c r="G18" s="60"/>
      <c r="H18" s="52"/>
      <c r="I18" s="60"/>
      <c r="J18" s="53">
        <f>[1]商品マスタ!B14</f>
        <v>0</v>
      </c>
      <c r="K18" s="53">
        <f>[1]商品マスタ!C14</f>
        <v>0</v>
      </c>
      <c r="L18" s="53" t="str">
        <f>[1]商品マスタ!G14</f>
        <v>整数値</v>
      </c>
      <c r="M18" s="53">
        <f>[1]商品マスタ!H14</f>
        <v>1</v>
      </c>
      <c r="N18" s="54" t="str">
        <f>[1]商品マスタ!F14</f>
        <v>固定値”0”</v>
      </c>
      <c r="O18" s="61"/>
    </row>
    <row r="19" customHeight="1" spans="2:15">
      <c r="B19" s="48">
        <v>9</v>
      </c>
      <c r="C19" s="48" t="str">
        <f>[1]商品マスタ!D15</f>
        <v>荷役費用／回</v>
      </c>
      <c r="D19" s="64"/>
      <c r="E19" s="56"/>
      <c r="F19" s="51">
        <v>1</v>
      </c>
      <c r="G19" s="52"/>
      <c r="H19" s="52"/>
      <c r="I19" s="52"/>
      <c r="J19" s="53">
        <f>[1]商品マスタ!B15</f>
        <v>0</v>
      </c>
      <c r="K19" s="53">
        <f>[1]商品マスタ!C15</f>
        <v>0</v>
      </c>
      <c r="L19" s="53" t="str">
        <f>[1]商品マスタ!G15</f>
        <v>整数値</v>
      </c>
      <c r="M19" s="53">
        <f>[1]商品マスタ!H15</f>
        <v>8</v>
      </c>
      <c r="N19" s="54" t="str">
        <f>[1]商品マスタ!F15</f>
        <v>1～99999999</v>
      </c>
      <c r="O19" s="65"/>
    </row>
    <row r="20" customHeight="1" spans="2:15">
      <c r="B20" s="48">
        <v>10</v>
      </c>
      <c r="C20" s="48" t="str">
        <f>[1]商品マスタ!D16</f>
        <v>年間保管費用／個</v>
      </c>
      <c r="D20" s="49"/>
      <c r="E20" s="50"/>
      <c r="F20" s="51">
        <v>1</v>
      </c>
      <c r="G20" s="57"/>
      <c r="H20" s="57"/>
      <c r="I20" s="57"/>
      <c r="J20" s="53">
        <f>[1]商品マスタ!B16</f>
        <v>0</v>
      </c>
      <c r="K20" s="53">
        <f>[1]商品マスタ!C16</f>
        <v>0</v>
      </c>
      <c r="L20" s="53" t="str">
        <f>[1]商品マスタ!G16</f>
        <v>整数値</v>
      </c>
      <c r="M20" s="53">
        <f>[1]商品マスタ!H16</f>
        <v>8</v>
      </c>
      <c r="N20" s="54" t="str">
        <f>[1]商品マスタ!F16</f>
        <v>1～99999999</v>
      </c>
      <c r="O20" s="66"/>
    </row>
    <row r="21" customHeight="1" spans="2:15">
      <c r="B21" s="48">
        <v>11</v>
      </c>
      <c r="C21" s="48" t="str">
        <f>[1]商品マスタ!D17</f>
        <v>現在庫数　</v>
      </c>
      <c r="D21" s="49" t="s">
        <v>158</v>
      </c>
      <c r="E21" s="56" t="s">
        <v>159</v>
      </c>
      <c r="F21" s="51"/>
      <c r="G21" s="57"/>
      <c r="H21" s="57" t="s">
        <v>155</v>
      </c>
      <c r="I21" s="49">
        <v>7</v>
      </c>
      <c r="J21" s="53">
        <f>[1]商品マスタ!B17</f>
        <v>0</v>
      </c>
      <c r="K21" s="53" t="str">
        <f>[1]商品マスタ!C17</f>
        <v>○</v>
      </c>
      <c r="L21" s="53" t="str">
        <f>[1]商品マスタ!G17</f>
        <v>整数値</v>
      </c>
      <c r="M21" s="53">
        <f>[1]商品マスタ!H17</f>
        <v>8</v>
      </c>
      <c r="N21" s="54" t="str">
        <f>[1]商品マスタ!F17</f>
        <v>-99999999～99999999　※１</v>
      </c>
      <c r="O21" s="65"/>
    </row>
    <row r="22" ht="53.25" customHeight="1" spans="2:15">
      <c r="B22" s="48">
        <v>12</v>
      </c>
      <c r="C22" s="48" t="str">
        <f>[1]商品マスタ!D18</f>
        <v>カテゴリ</v>
      </c>
      <c r="D22" s="49" t="s">
        <v>146</v>
      </c>
      <c r="E22" s="115" t="s">
        <v>160</v>
      </c>
      <c r="F22" s="51"/>
      <c r="G22" s="52"/>
      <c r="H22" s="52" t="s">
        <v>144</v>
      </c>
      <c r="I22" s="63" t="s">
        <v>161</v>
      </c>
      <c r="J22" s="53">
        <f>[1]商品マスタ!B18</f>
        <v>0</v>
      </c>
      <c r="K22" s="53">
        <f>[1]商品マスタ!C18</f>
        <v>0</v>
      </c>
      <c r="L22" s="53" t="str">
        <f>[1]商品マスタ!G18</f>
        <v>整数値</v>
      </c>
      <c r="M22" s="53">
        <f>[1]商品マスタ!H18</f>
        <v>8</v>
      </c>
      <c r="N22" s="54" t="str">
        <f>[1]商品マスタ!F18</f>
        <v>0～99999999</v>
      </c>
      <c r="O22" s="66"/>
    </row>
    <row r="23" customHeight="1" spans="2:15">
      <c r="B23" s="48">
        <v>13</v>
      </c>
      <c r="C23" s="48" t="str">
        <f>[1]商品マスタ!D19</f>
        <v>最低発注数</v>
      </c>
      <c r="D23" s="49"/>
      <c r="E23" s="56"/>
      <c r="F23" s="67" t="s">
        <v>162</v>
      </c>
      <c r="G23" s="52"/>
      <c r="H23" s="52"/>
      <c r="I23" s="52"/>
      <c r="J23" s="53">
        <f>[1]商品マスタ!B19</f>
        <v>0</v>
      </c>
      <c r="K23" s="53">
        <f>[1]商品マスタ!C19</f>
        <v>0</v>
      </c>
      <c r="L23" s="53" t="str">
        <f>[1]商品マスタ!G19</f>
        <v>整数値</v>
      </c>
      <c r="M23" s="53">
        <f>[1]商品マスタ!H19</f>
        <v>8</v>
      </c>
      <c r="N23" s="54" t="str">
        <f>[1]商品マスタ!F19</f>
        <v>NULL値</v>
      </c>
      <c r="O23" s="66"/>
    </row>
    <row r="24" customHeight="1" spans="2:15">
      <c r="B24" s="48">
        <v>14</v>
      </c>
      <c r="C24" s="48" t="str">
        <f>[1]商品マスタ!D20</f>
        <v>重量</v>
      </c>
      <c r="D24" s="49" t="s">
        <v>146</v>
      </c>
      <c r="E24" s="56" t="s">
        <v>163</v>
      </c>
      <c r="F24" s="51"/>
      <c r="G24" s="52"/>
      <c r="H24" s="68" t="s">
        <v>155</v>
      </c>
      <c r="I24" s="52" t="s">
        <v>164</v>
      </c>
      <c r="J24" s="53">
        <f>[1]商品マスタ!B20</f>
        <v>0</v>
      </c>
      <c r="K24" s="53">
        <f>[1]商品マスタ!C20</f>
        <v>0</v>
      </c>
      <c r="L24" s="53" t="str">
        <f>[1]商品マスタ!G20</f>
        <v>数値</v>
      </c>
      <c r="M24" s="53">
        <f>[1]商品マスタ!H20</f>
        <v>16.3</v>
      </c>
      <c r="N24" s="54" t="str">
        <f>[1]商品マスタ!F20</f>
        <v>0.000～9999999999999999.999</v>
      </c>
      <c r="O24" s="66" t="s">
        <v>165</v>
      </c>
    </row>
    <row r="25" customHeight="1" spans="2:15">
      <c r="B25" s="48">
        <v>15</v>
      </c>
      <c r="C25" s="48" t="str">
        <f>[1]商品マスタ!D21</f>
        <v>追加L/T</v>
      </c>
      <c r="D25" s="49"/>
      <c r="E25" s="69"/>
      <c r="F25" s="51">
        <v>0</v>
      </c>
      <c r="G25" s="52"/>
      <c r="H25" s="52"/>
      <c r="I25" s="52"/>
      <c r="J25" s="53">
        <f>[1]商品マスタ!B21</f>
        <v>0</v>
      </c>
      <c r="K25" s="53">
        <f>[1]商品マスタ!C21</f>
        <v>0</v>
      </c>
      <c r="L25" s="53" t="str">
        <f>[1]商品マスタ!G21</f>
        <v>整数値</v>
      </c>
      <c r="M25" s="53">
        <f>[1]商品マスタ!H21</f>
        <v>1</v>
      </c>
      <c r="N25" s="54" t="str">
        <f>[1]商品マスタ!F21</f>
        <v>0～9</v>
      </c>
      <c r="O25" s="70"/>
    </row>
    <row r="26" ht="41.25" customHeight="1" spans="2:15">
      <c r="B26" s="71">
        <v>16</v>
      </c>
      <c r="C26" s="71" t="str">
        <f>[1]商品マスタ!D22</f>
        <v>L/T</v>
      </c>
      <c r="D26" s="49"/>
      <c r="E26" s="56"/>
      <c r="F26" s="51">
        <v>0</v>
      </c>
      <c r="G26" s="52"/>
      <c r="H26" s="72"/>
      <c r="I26" s="72"/>
      <c r="J26" s="73">
        <f>[1]商品マスタ!B22</f>
        <v>0</v>
      </c>
      <c r="K26" s="73" t="str">
        <f>[1]商品マスタ!C22</f>
        <v>○</v>
      </c>
      <c r="L26" s="73" t="str">
        <f>[1]商品マスタ!G22</f>
        <v>整数値</v>
      </c>
      <c r="M26" s="73">
        <f>[1]商品マスタ!H22</f>
        <v>3</v>
      </c>
      <c r="N26" s="74" t="str">
        <f>[1]商品マスタ!F22</f>
        <v>0～365(0の場合は、インポート時に 1 に変換する）</v>
      </c>
      <c r="O26" s="66" t="s">
        <v>166</v>
      </c>
    </row>
    <row r="27" customHeight="1" spans="2:15">
      <c r="B27" s="75">
        <v>17</v>
      </c>
      <c r="C27" s="75" t="str">
        <f>[1]商品マスタ!D23</f>
        <v>更新削除</v>
      </c>
      <c r="D27" s="49"/>
      <c r="E27" s="56"/>
      <c r="F27" s="51"/>
      <c r="G27" s="52"/>
      <c r="H27" s="76"/>
      <c r="I27" s="76"/>
      <c r="J27" s="77">
        <f>[1]商品マスタ!B23</f>
        <v>0</v>
      </c>
      <c r="K27" s="77">
        <f>[1]商品マスタ!C23</f>
        <v>0</v>
      </c>
      <c r="L27" s="77" t="str">
        <f>[1]商品マスタ!G23</f>
        <v>文字</v>
      </c>
      <c r="M27" s="77">
        <f>[1]商品マスタ!H23</f>
        <v>40</v>
      </c>
      <c r="N27" s="78" t="str">
        <f>[1]商品マスタ!F23</f>
        <v>”削除”、”新商品”、”更新”、“新商品更新”、”部分変更”　※２</v>
      </c>
      <c r="O27" s="65"/>
    </row>
    <row r="28" customHeight="1" spans="2:15">
      <c r="B28" s="71">
        <v>18</v>
      </c>
      <c r="C28" s="71" t="str">
        <f>[1]商品マスタ!D24</f>
        <v>発注ロット</v>
      </c>
      <c r="D28" s="49" t="s">
        <v>142</v>
      </c>
      <c r="E28" s="56" t="s">
        <v>167</v>
      </c>
      <c r="F28" s="51"/>
      <c r="G28" s="52"/>
      <c r="H28" s="52" t="s">
        <v>155</v>
      </c>
      <c r="I28" s="72" t="s">
        <v>168</v>
      </c>
      <c r="J28" s="73">
        <f>[1]商品マスタ!B24</f>
        <v>0</v>
      </c>
      <c r="K28" s="73">
        <f>[1]商品マスタ!C24</f>
        <v>0</v>
      </c>
      <c r="L28" s="73" t="str">
        <f>[1]商品マスタ!G24</f>
        <v>整数値</v>
      </c>
      <c r="M28" s="73">
        <f>[1]商品マスタ!H24</f>
        <v>8</v>
      </c>
      <c r="N28" s="74" t="str">
        <f>[1]商品マスタ!F24</f>
        <v>1～99999999</v>
      </c>
      <c r="O28" s="65"/>
    </row>
    <row r="29" customHeight="1" spans="2:15">
      <c r="B29" s="75">
        <v>19</v>
      </c>
      <c r="C29" s="75" t="str">
        <f>[1]商品マスタ!D25</f>
        <v>予備１</v>
      </c>
      <c r="D29" s="49"/>
      <c r="E29" s="56"/>
      <c r="F29" s="51"/>
      <c r="G29" s="52"/>
      <c r="H29" s="76"/>
      <c r="I29" s="76"/>
      <c r="J29" s="77">
        <f>[1]商品マスタ!B25</f>
        <v>0</v>
      </c>
      <c r="K29" s="77">
        <f>[1]商品マスタ!C25</f>
        <v>0</v>
      </c>
      <c r="L29" s="77" t="str">
        <f>[1]商品マスタ!G25</f>
        <v>整数値</v>
      </c>
      <c r="M29" s="77">
        <f>[1]商品マスタ!H25</f>
        <v>15</v>
      </c>
      <c r="N29" s="78" t="str">
        <f>[1]商品マスタ!F25</f>
        <v>000000000000000、700000000000000　※３</v>
      </c>
      <c r="O29" s="65"/>
    </row>
    <row r="30" customHeight="1" spans="2:15">
      <c r="B30" s="48">
        <v>20</v>
      </c>
      <c r="C30" s="48" t="str">
        <f>[1]商品マスタ!D26</f>
        <v>備考</v>
      </c>
      <c r="D30" s="50"/>
      <c r="E30" s="56"/>
      <c r="F30" s="51"/>
      <c r="G30" s="72"/>
      <c r="H30" s="72"/>
      <c r="I30" s="72"/>
      <c r="J30" s="53">
        <f>[1]商品マスタ!B26</f>
        <v>0</v>
      </c>
      <c r="K30" s="53">
        <f>[1]商品マスタ!C26</f>
        <v>0</v>
      </c>
      <c r="L30" s="53" t="str">
        <f>[1]商品マスタ!G26</f>
        <v>文字</v>
      </c>
      <c r="M30" s="53">
        <f>[1]商品マスタ!H26</f>
        <v>100</v>
      </c>
      <c r="N30" s="54" t="str">
        <f>[1]商品マスタ!F26</f>
        <v>固定値 0</v>
      </c>
      <c r="O30" s="79"/>
    </row>
    <row r="32" spans="2:15">
      <c r="C32" s="80" t="s">
        <v>169</v>
      </c>
    </row>
    <row r="33" spans="2:4">
      <c r="C33" s="80" t="s">
        <v>170</v>
      </c>
    </row>
    <row r="34" spans="2:4">
      <c r="C34" s="80" t="s">
        <v>171</v>
      </c>
    </row>
    <row r="35" spans="2:4">
      <c r="C35" s="80" t="s">
        <v>172</v>
      </c>
    </row>
    <row r="36" spans="2:4">
      <c r="C36" s="80" t="s">
        <v>173</v>
      </c>
    </row>
    <row r="38" spans="2:4">
      <c r="B38" s="81" t="s">
        <v>174</v>
      </c>
      <c r="C38" s="81"/>
      <c r="D38" s="81"/>
    </row>
    <row r="39" spans="2:4">
      <c r="B39" s="81" t="s">
        <v>175</v>
      </c>
      <c r="C39" s="81"/>
      <c r="D39" s="81"/>
    </row>
    <row r="40" spans="2:4">
      <c r="B40" s="81" t="s">
        <v>176</v>
      </c>
      <c r="C40" s="81"/>
      <c r="D40" s="81"/>
    </row>
    <row r="41" spans="2:4">
      <c r="B41" s="81" t="s">
        <v>177</v>
      </c>
      <c r="C41" s="81"/>
      <c r="D41" s="81"/>
    </row>
    <row r="42" spans="2:4">
      <c r="B42" s="81" t="s">
        <v>178</v>
      </c>
      <c r="C42" s="81"/>
      <c r="D42" s="81"/>
    </row>
    <row r="43" spans="2:4">
      <c r="B43" s="81"/>
      <c r="C43" s="81"/>
      <c r="D43" s="81"/>
    </row>
    <row r="44" spans="2:4">
      <c r="B44" s="81" t="s">
        <v>179</v>
      </c>
      <c r="C44" s="81"/>
      <c r="D44" s="81"/>
    </row>
    <row r="45" spans="2:4">
      <c r="B45" s="81" t="s">
        <v>180</v>
      </c>
      <c r="C45" s="81"/>
      <c r="D45" s="81"/>
    </row>
    <row r="46" spans="2:4">
      <c r="B46" s="81" t="s">
        <v>181</v>
      </c>
      <c r="C46" s="81"/>
      <c r="D46" s="81"/>
    </row>
    <row r="47" spans="2:4">
      <c r="B47" s="81"/>
      <c r="C47" s="81"/>
      <c r="D47" s="81"/>
    </row>
    <row r="48" spans="2:4">
      <c r="B48" s="81"/>
      <c r="C48" s="81"/>
      <c r="D48" s="81"/>
    </row>
  </sheetData>
  <mergeCells count="14">
    <mergeCell ref="D2:E2"/>
    <mergeCell ref="F2:O2"/>
    <mergeCell ref="F5:G5"/>
    <mergeCell ref="J5:K5"/>
    <mergeCell ref="L5:M5"/>
    <mergeCell ref="N5:O5"/>
    <mergeCell ref="F6:G6"/>
    <mergeCell ref="J6:K6"/>
    <mergeCell ref="L6:M6"/>
    <mergeCell ref="N6:O6"/>
    <mergeCell ref="D9:E9"/>
    <mergeCell ref="B2:C4"/>
    <mergeCell ref="D3:E4"/>
    <mergeCell ref="F3:O4"/>
  </mergeCells>
  <pageMargins left="0.708661417322835" right="0.708661417322835" top="0.748031496062992" bottom="0.748031496062992" header="0.31496062992126" footer="0.31496062992126"/>
  <pageSetup paperSize="9" scale="51" orientation="landscape"/>
  <headerFooter>
    <oddFooter>&amp;C&amp;P ページ</oddFooter>
  </headerFooter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①商品マスタ(mst.txt)</vt:lpstr>
      <vt:lpstr>③判定サマリ</vt:lpstr>
      <vt:lpstr>マッピング(旧参照用)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2026-06-11T06:31:00Z</dcterms:created>
  <dcterms:modified xsi:type="dcterms:W3CDTF">2026-06-17T06:02:39Z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BD33654AFF0741CB9C472C74B77B1CDC_12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